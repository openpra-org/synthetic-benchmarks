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itncsu.sharepoint.com/sites/NEPRAGroup-2021-NEUP-RC-7/Shared Documents/2021-NEUP-RC-7/Outputs/ft-bench2/"/>
    </mc:Choice>
  </mc:AlternateContent>
  <xr:revisionPtr revIDLastSave="9" documentId="8_{8D018B3C-BD09-4A04-B727-C2F5A17B8AEB}" xr6:coauthVersionLast="47" xr6:coauthVersionMax="47" xr10:uidLastSave="{4E5D3E90-B99A-8247-9101-30A69BAAC899}"/>
  <bookViews>
    <workbookView xWindow="0" yWindow="500" windowWidth="51420" windowHeight="26080" xr2:uid="{00000000-000D-0000-FFFF-FFFF00000000}"/>
  </bookViews>
  <sheets>
    <sheet name="Time comparison" sheetId="2" r:id="rId1"/>
    <sheet name="Memory usag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3" i="3" l="1"/>
  <c r="AD4" i="3" s="1"/>
  <c r="AD5" i="3" s="1"/>
  <c r="AD6" i="3" s="1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D52" i="3" s="1"/>
  <c r="AD53" i="3" s="1"/>
  <c r="AD54" i="3" s="1"/>
  <c r="AD55" i="3" s="1"/>
  <c r="AD56" i="3" s="1"/>
  <c r="AD57" i="3" s="1"/>
  <c r="AD58" i="3" s="1"/>
  <c r="AD59" i="3" s="1"/>
  <c r="AD60" i="3" s="1"/>
  <c r="AD61" i="3" s="1"/>
  <c r="AD62" i="3" s="1"/>
  <c r="AD63" i="3" s="1"/>
  <c r="AD64" i="3" s="1"/>
  <c r="AD65" i="3" s="1"/>
  <c r="AD66" i="3" s="1"/>
  <c r="AD67" i="3" s="1"/>
  <c r="AD68" i="3" s="1"/>
  <c r="AD69" i="3" s="1"/>
  <c r="AD70" i="3" s="1"/>
  <c r="AB5" i="2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</calcChain>
</file>

<file path=xl/sharedStrings.xml><?xml version="1.0" encoding="utf-8"?>
<sst xmlns="http://schemas.openxmlformats.org/spreadsheetml/2006/main" count="1215" uniqueCount="252">
  <si>
    <t>inputfile                    status                       cpu time   wall time        host</t>
  </si>
  <si>
    <t>------------------------------------------------------------------------------------------</t>
  </si>
  <si>
    <t>ft-openpsa-10000Gates.xml</t>
  </si>
  <si>
    <t>SEGMENTATION</t>
  </si>
  <si>
    <t>FAULT</t>
  </si>
  <si>
    <t>None</t>
  </si>
  <si>
    <t>ft-openpsa-1000Gates.xml</t>
  </si>
  <si>
    <t>done</t>
  </si>
  <si>
    <t>ft-openpsa-100Gates.xml</t>
  </si>
  <si>
    <t>ft-openpsa-11000Gates.xml</t>
  </si>
  <si>
    <t>ft-openpsa-11Gates.xml</t>
  </si>
  <si>
    <t>ft-openpsa-12000Gates.xml</t>
  </si>
  <si>
    <t>ft-openpsa-13000Gates.xml</t>
  </si>
  <si>
    <t>ft-openpsa-14000Gates.xml</t>
  </si>
  <si>
    <t>ft-openpsa-15000Gates.xml</t>
  </si>
  <si>
    <t>ft-openpsa-16000Gates.xml</t>
  </si>
  <si>
    <t>ft-openpsa-17000Gates.xml</t>
  </si>
  <si>
    <t>ft-openpsa-18000Gates.xml</t>
  </si>
  <si>
    <t>ft-openpsa-19000Gates.xml</t>
  </si>
  <si>
    <t>ft-openpsa-1Gates.xml</t>
  </si>
  <si>
    <t>ft-openpsa-20000Gates.xml</t>
  </si>
  <si>
    <t>ft-openpsa-2000Gates.xml</t>
  </si>
  <si>
    <t>ft-openpsa-200Gates.xml</t>
  </si>
  <si>
    <t>ft-openpsa-21000Gates.xml</t>
  </si>
  <si>
    <t>ft-openpsa-21Gates.xml</t>
  </si>
  <si>
    <t>ft-openpsa-22000Gates.xml</t>
  </si>
  <si>
    <t>ft-openpsa-23000Gates.xml</t>
  </si>
  <si>
    <t>ft-openpsa-24000Gates.xml</t>
  </si>
  <si>
    <t>ft-openpsa-25000Gates.xml</t>
  </si>
  <si>
    <t>ft-openpsa-26000Gates.xml</t>
  </si>
  <si>
    <t>ft-openpsa-27000Gates.xml</t>
  </si>
  <si>
    <t>ft-openpsa-28000Gates.xml</t>
  </si>
  <si>
    <t>ft-openpsa-29000Gates.xml</t>
  </si>
  <si>
    <t>ft-openpsa-30000Gates.xml</t>
  </si>
  <si>
    <t>ft-openpsa-3000Gates.xml</t>
  </si>
  <si>
    <t>ft-openpsa-300Gates.xml</t>
  </si>
  <si>
    <t>ft-openpsa-31000Gates.xml</t>
  </si>
  <si>
    <t>ft-openpsa-31Gates.xml</t>
  </si>
  <si>
    <t>ft-openpsa-32000Gates.xml</t>
  </si>
  <si>
    <t>ft-openpsa-33000Gates.xml</t>
  </si>
  <si>
    <t>ft-openpsa-34000Gates.xml</t>
  </si>
  <si>
    <t>ft-openpsa-35000Gates.xml</t>
  </si>
  <si>
    <t>ft-openpsa-36000Gates.xml</t>
  </si>
  <si>
    <t>ft-openpsa-37000Gates.xml</t>
  </si>
  <si>
    <t>ft-openpsa-38000Gates.xml</t>
  </si>
  <si>
    <t>ft-openpsa-39000Gates.xml</t>
  </si>
  <si>
    <t>ft-openpsa-40000Gates.xml</t>
  </si>
  <si>
    <t>ft-openpsa-4000Gates.xml</t>
  </si>
  <si>
    <t>ft-openpsa-400Gates.xml</t>
  </si>
  <si>
    <t>ft-openpsa-41000Gates.xml</t>
  </si>
  <si>
    <t>ft-openpsa-41Gates.xml</t>
  </si>
  <si>
    <t>ft-openpsa-42000Gates.xml</t>
  </si>
  <si>
    <t>ft-openpsa-43000Gates.xml</t>
  </si>
  <si>
    <t>ft-openpsa-44000Gates.xml</t>
  </si>
  <si>
    <t>ft-openpsa-45000Gates.xml</t>
  </si>
  <si>
    <t>ft-openpsa-46000Gates.xml</t>
  </si>
  <si>
    <t>ft-openpsa-47000Gates.xml</t>
  </si>
  <si>
    <t>ft-openpsa-48000Gates.xml</t>
  </si>
  <si>
    <t>ft-openpsa-49000Gates.xml</t>
  </si>
  <si>
    <t>ft-openpsa-50000Gates.xml</t>
  </si>
  <si>
    <t>ft-openpsa-5000Gates.xml</t>
  </si>
  <si>
    <t>ft-openpsa-500Gates.xml</t>
  </si>
  <si>
    <t>ft-openpsa-51Gates.xml</t>
  </si>
  <si>
    <t>ft-openpsa-6000Gates.xml</t>
  </si>
  <si>
    <t>ft-openpsa-600Gates.xml</t>
  </si>
  <si>
    <t>ft-openpsa-61Gates.xml</t>
  </si>
  <si>
    <t>ft-openpsa-7000Gates.xml</t>
  </si>
  <si>
    <t>ft-openpsa-700Gates.xml</t>
  </si>
  <si>
    <t>ft-openpsa-71Gates.xml</t>
  </si>
  <si>
    <t>ft-openpsa-8000Gates.xml</t>
  </si>
  <si>
    <t>ft-openpsa-800Gates.xml</t>
  </si>
  <si>
    <t>ft-openpsa-81Gates.xml</t>
  </si>
  <si>
    <t>ft-openpsa-9000Gates.xml</t>
  </si>
  <si>
    <t>ft-openpsa-900Gates.xml</t>
  </si>
  <si>
    <t>ft-openpsa-91Gates.xml</t>
  </si>
  <si>
    <t>inputfile</t>
  </si>
  <si>
    <t>status</t>
  </si>
  <si>
    <t>cpu time</t>
  </si>
  <si>
    <t>wall time</t>
  </si>
  <si>
    <t>host</t>
  </si>
  <si>
    <t>----------------------------------</t>
  </si>
  <si>
    <t>------------</t>
  </si>
  <si>
    <t>-----------</t>
  </si>
  <si>
    <t>--------------</t>
  </si>
  <si>
    <t>---------------</t>
  </si>
  <si>
    <t>---------</t>
  </si>
  <si>
    <t>xfta-ft-openpsa-10000Gates.xml</t>
  </si>
  <si>
    <t>xfta-ft-openpsa-1000Gates.xml</t>
  </si>
  <si>
    <t>ERROR</t>
  </si>
  <si>
    <t>xfta-ft-openpsa-100Gates.xml</t>
  </si>
  <si>
    <t>xfta-ft-openpsa-11000Gates.xml</t>
  </si>
  <si>
    <t>xfta-ft-openpsa-11Gates.xml</t>
  </si>
  <si>
    <t>xfta-ft-openpsa-12000Gates.xml</t>
  </si>
  <si>
    <t>xfta-ft-openpsa-13000Gates.xml</t>
  </si>
  <si>
    <t>xfta-ft-openpsa-14000Gates.xml</t>
  </si>
  <si>
    <t>xfta-ft-openpsa-15000Gates.xml</t>
  </si>
  <si>
    <t>xfta-ft-openpsa-16000Gates.xml</t>
  </si>
  <si>
    <t>xfta-ft-openpsa-17000Gates.xml</t>
  </si>
  <si>
    <t>xfta-ft-openpsa-18000Gates.xml</t>
  </si>
  <si>
    <t>xfta-ft-openpsa-19000Gates.xml</t>
  </si>
  <si>
    <t>xfta-ft-openpsa-1Gates.xml</t>
  </si>
  <si>
    <t>xfta-ft-openpsa-20000Gates.xml</t>
  </si>
  <si>
    <t>xfta-ft-openpsa-2000Gates.xml</t>
  </si>
  <si>
    <t>xfta-ft-openpsa-200Gates.xml</t>
  </si>
  <si>
    <t>xfta-ft-openpsa-21000Gates.xml</t>
  </si>
  <si>
    <t>xfta-ft-openpsa-21Gates.xml</t>
  </si>
  <si>
    <t>xfta-ft-openpsa-22000Gates.xml</t>
  </si>
  <si>
    <t>xfta-ft-openpsa-23000Gates.xml</t>
  </si>
  <si>
    <t>xfta-ft-openpsa-24000Gates.xml</t>
  </si>
  <si>
    <t>xfta-ft-openpsa-25000Gates.xml</t>
  </si>
  <si>
    <t>xfta-ft-openpsa-26000Gates.xml</t>
  </si>
  <si>
    <t>xfta-ft-openpsa-27000Gates.xml</t>
  </si>
  <si>
    <t>xfta-ft-openpsa-28000Gates.xml</t>
  </si>
  <si>
    <t>xfta-ft-openpsa-29000Gates.xml</t>
  </si>
  <si>
    <t>xfta-ft-openpsa-30000Gates.xml</t>
  </si>
  <si>
    <t>xfta-ft-openpsa-3000Gates.xml</t>
  </si>
  <si>
    <t>xfta-ft-openpsa-300Gates.xml</t>
  </si>
  <si>
    <t>xfta-ft-openpsa-31000Gates.xml</t>
  </si>
  <si>
    <t>xfta-ft-openpsa-31Gates.xml</t>
  </si>
  <si>
    <t>xfta-ft-openpsa-32000Gates.xml</t>
  </si>
  <si>
    <t>xfta-ft-openpsa-33000Gates.xml</t>
  </si>
  <si>
    <t>xfta-ft-openpsa-34000Gates.xml</t>
  </si>
  <si>
    <t>xfta-ft-openpsa-35000Gates.xml</t>
  </si>
  <si>
    <t>xfta-ft-openpsa-36000Gates.xml</t>
  </si>
  <si>
    <t>xfta-ft-openpsa-37000Gates.xml</t>
  </si>
  <si>
    <t>xfta-ft-openpsa-38000Gates.xml</t>
  </si>
  <si>
    <t>xfta-ft-openpsa-39000Gates.xml</t>
  </si>
  <si>
    <t>xfta-ft-openpsa-40000Gates.xml</t>
  </si>
  <si>
    <t>xfta-ft-openpsa-4000Gates.xml</t>
  </si>
  <si>
    <t>xfta-ft-openpsa-400Gates.xml</t>
  </si>
  <si>
    <t>xfta-ft-openpsa-41000Gates.xml</t>
  </si>
  <si>
    <t>xfta-ft-openpsa-41Gates.xml</t>
  </si>
  <si>
    <t>xfta-ft-openpsa-42000Gates.xml</t>
  </si>
  <si>
    <t>xfta-ft-openpsa-43000Gates.xml</t>
  </si>
  <si>
    <t>xfta-ft-openpsa-44000Gates.xml</t>
  </si>
  <si>
    <t>xfta-ft-openpsa-45000Gates.xml</t>
  </si>
  <si>
    <t>xfta-ft-openpsa-46000Gates.xml</t>
  </si>
  <si>
    <t>xfta-ft-openpsa-47000Gates.xml</t>
  </si>
  <si>
    <t>xfta-ft-openpsa-48000Gates.xml</t>
  </si>
  <si>
    <t>xfta-ft-openpsa-49000Gates.xml</t>
  </si>
  <si>
    <t>xfta-ft-openpsa-50000Gates.xml</t>
  </si>
  <si>
    <t>xfta-ft-openpsa-5000Gates.xml</t>
  </si>
  <si>
    <t>xfta-ft-openpsa-500Gates.xml</t>
  </si>
  <si>
    <t>xfta-ft-openpsa-51Gates.xml</t>
  </si>
  <si>
    <t>xfta-ft-openpsa-6000Gates.xml</t>
  </si>
  <si>
    <t>xfta-ft-openpsa-600Gates.xml</t>
  </si>
  <si>
    <t>xfta-ft-openpsa-61Gates.xml</t>
  </si>
  <si>
    <t>xfta-ft-openpsa-7000Gates.xml</t>
  </si>
  <si>
    <t>xfta-ft-openpsa-700Gates.xml</t>
  </si>
  <si>
    <t>xfta-ft-openpsa-71Gates.xml</t>
  </si>
  <si>
    <t>xfta-ft-openpsa-8000Gates.xml</t>
  </si>
  <si>
    <t>xfta-ft-openpsa-800Gates.xml</t>
  </si>
  <si>
    <t>xfta-ft-openpsa-81Gates.xml</t>
  </si>
  <si>
    <t>xfta-ft-openpsa-9000Gates.xml</t>
  </si>
  <si>
    <t>xfta-ft-openpsa-900Gates.xml</t>
  </si>
  <si>
    <t>xfta-ft-openpsa-91Gates.xml</t>
  </si>
  <si>
    <t>ERROR (1)</t>
  </si>
  <si>
    <t>Run set 1</t>
  </si>
  <si>
    <t>-</t>
  </si>
  <si>
    <t>Statistics:             69 Files</t>
  </si>
  <si>
    <t>correct:               0</t>
  </si>
  <si>
    <t>correct true:        0</t>
  </si>
  <si>
    <t>correct false:       0</t>
  </si>
  <si>
    <t>incorrect:             0</t>
  </si>
  <si>
    <t>incorrect true:      0</t>
  </si>
  <si>
    <t>incorrect false:     0</t>
  </si>
  <si>
    <t>unknown:              69</t>
  </si>
  <si>
    <t>Configuration number</t>
  </si>
  <si>
    <t>SCRAM</t>
  </si>
  <si>
    <t>XFTA</t>
  </si>
  <si>
    <t>---------------------------------</t>
  </si>
  <si>
    <t>-----------------</t>
  </si>
  <si>
    <t>--------------------</t>
  </si>
  <si>
    <t>ft-saphsolve-10000Gates.JSInp</t>
  </si>
  <si>
    <t>ft-saphsolve-1000Gates.JSInp</t>
  </si>
  <si>
    <t>ft-saphsolve-100Gates.JSInp</t>
  </si>
  <si>
    <t>ft-saphsolve-11000Gates.JSInp</t>
  </si>
  <si>
    <t>ft-saphsolve-11Gates.JSInp</t>
  </si>
  <si>
    <t>ft-saphsolve-12000Gates.JSInp</t>
  </si>
  <si>
    <t>ft-saphsolve-13000Gates.JSInp</t>
  </si>
  <si>
    <t>ft-saphsolve-14000Gates.JSInp</t>
  </si>
  <si>
    <t>ft-saphsolve-15000Gates.JSInp</t>
  </si>
  <si>
    <t>ft-saphsolve-16000Gates.JSInp</t>
  </si>
  <si>
    <t>ft-saphsolve-17000Gates.JSInp</t>
  </si>
  <si>
    <t>ft-saphsolve-18000Gates.JSInp</t>
  </si>
  <si>
    <t>ft-saphsolve-19000Gates.JSInp</t>
  </si>
  <si>
    <t>ft-saphsolve-1Gates.JSInp</t>
  </si>
  <si>
    <t>ft-saphsolve-20000Gates.JSInp</t>
  </si>
  <si>
    <t>ft-saphsolve-2000Gates.JSInp</t>
  </si>
  <si>
    <t>ft-saphsolve-200Gates.JSInp</t>
  </si>
  <si>
    <t>ft-saphsolve-21000Gates.JSInp</t>
  </si>
  <si>
    <t>ft-saphsolve-21Gates.JSInp</t>
  </si>
  <si>
    <t>ft-saphsolve-22000Gates.JSInp</t>
  </si>
  <si>
    <t>ft-saphsolve-23000Gates.JSInp</t>
  </si>
  <si>
    <t>ft-saphsolve-24000Gates.JSInp</t>
  </si>
  <si>
    <t>ft-saphsolve-25000Gates.JSInp</t>
  </si>
  <si>
    <t>ft-saphsolve-26000Gates.JSInp</t>
  </si>
  <si>
    <t>ft-saphsolve-27000Gates.JSInp</t>
  </si>
  <si>
    <t>ft-saphsolve-28000Gates.JSInp</t>
  </si>
  <si>
    <t>ft-saphsolve-29000Gates.JSInp</t>
  </si>
  <si>
    <t>ft-saphsolve-30000Gates.JSInp</t>
  </si>
  <si>
    <t>ft-saphsolve-3000Gates.JSInp</t>
  </si>
  <si>
    <t>ft-saphsolve-300Gates.JSInp</t>
  </si>
  <si>
    <t>ft-saphsolve-31000Gates.JSInp</t>
  </si>
  <si>
    <t>ft-saphsolve-31Gates.JSInp</t>
  </si>
  <si>
    <t>ft-saphsolve-32000Gates.JSInp</t>
  </si>
  <si>
    <t>ft-saphsolve-33000Gates.JSInp</t>
  </si>
  <si>
    <t>ft-saphsolve-34000Gates.JSInp</t>
  </si>
  <si>
    <t>ft-saphsolve-35000Gates.JSInp</t>
  </si>
  <si>
    <t>ft-saphsolve-36000Gates.JSInp</t>
  </si>
  <si>
    <t>ft-saphsolve-37000Gates.JSInp</t>
  </si>
  <si>
    <t>ft-saphsolve-38000Gates.JSInp</t>
  </si>
  <si>
    <t>ft-saphsolve-39000Gates.JSInp</t>
  </si>
  <si>
    <t>ft-saphsolve-40000Gates.JSInp</t>
  </si>
  <si>
    <t>ft-saphsolve-4000Gates.JSInp</t>
  </si>
  <si>
    <t>ft-saphsolve-400Gates.JSInp</t>
  </si>
  <si>
    <t>ft-saphsolve-41000Gates.JSInp</t>
  </si>
  <si>
    <t>ft-saphsolve-41Gates.JSInp</t>
  </si>
  <si>
    <t>ft-saphsolve-42000Gates.JSInp</t>
  </si>
  <si>
    <t>ft-saphsolve-43000Gates.JSInp</t>
  </si>
  <si>
    <t>ft-saphsolve-44000Gates.JSInp</t>
  </si>
  <si>
    <t>ft-saphsolve-45000Gates.JSInp</t>
  </si>
  <si>
    <t>ft-saphsolve-46000Gates.JSInp</t>
  </si>
  <si>
    <t>ft-saphsolve-47000Gates.JSInp</t>
  </si>
  <si>
    <t>ft-saphsolve-48000Gates.JSInp</t>
  </si>
  <si>
    <t>ft-saphsolve-49000Gates.JSInp</t>
  </si>
  <si>
    <t>ft-saphsolve-50000Gates.JSInp</t>
  </si>
  <si>
    <t>ft-saphsolve-5000Gates.JSInp</t>
  </si>
  <si>
    <t>ft-saphsolve-500Gates.JSInp</t>
  </si>
  <si>
    <t>ft-saphsolve-51Gates.JSInp</t>
  </si>
  <si>
    <t>ft-saphsolve-6000Gates.JSInp</t>
  </si>
  <si>
    <t>ft-saphsolve-600Gates.JSInp</t>
  </si>
  <si>
    <t>ft-saphsolve-61Gates.JSInp</t>
  </si>
  <si>
    <t>ft-saphsolve-7000Gates.JSInp</t>
  </si>
  <si>
    <t>ft-saphsolve-700Gates.JSInp</t>
  </si>
  <si>
    <t>ft-saphsolve-71Gates.JSInp</t>
  </si>
  <si>
    <t>ft-saphsolve-8000Gates.JSInp</t>
  </si>
  <si>
    <t>ft-saphsolve-800Gates.JSInp</t>
  </si>
  <si>
    <t>ft-saphsolve-81Gates.JSInp</t>
  </si>
  <si>
    <t>ft-saphsolve-9000Gates.JSInp</t>
  </si>
  <si>
    <t>ft-saphsolve-900Gates.JSInp</t>
  </si>
  <si>
    <t>ft-saphsolve-91Gates.JSInp</t>
  </si>
  <si>
    <t>SAPHSOLVE</t>
  </si>
  <si>
    <t xml:space="preserve">CPU TIME </t>
  </si>
  <si>
    <t>Wall Time</t>
  </si>
  <si>
    <t>../models/models2/scram/</t>
  </si>
  <si>
    <t>cputime (s)</t>
  </si>
  <si>
    <t>walltime (s)</t>
  </si>
  <si>
    <t>memory (MB)</t>
  </si>
  <si>
    <t>SEGMENTATION FAULT</t>
  </si>
  <si>
    <t>../models/models2/xfta/</t>
  </si>
  <si>
    <t>../models/models2/saphsolve/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</si>
</sst>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</a:t>
            </a:r>
            <a:r>
              <a:rPr lang="en-US" baseline="0"/>
              <a:t> Time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'Time comparison'!$AC$3</c:f>
              <c:strCache>
                <c:ptCount val="1"/>
                <c:pt idx="0">
                  <c:v>SCRAM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comparison'!$AB$11:$AB$79</c:f>
              <c:numCache>
                <c:formatCode>General</c:formatCode>
                <c:ptCount val="6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</c:numCache>
            </c:numRef>
          </c:xVal>
          <c:yVal>
            <c:numRef>
              <c:f>'Time comparison'!$AC$11:$AC$79</c:f>
              <c:numCache>
                <c:formatCode>General</c:formatCode>
                <c:ptCount val="69"/>
                <c:pt idx="0">
                  <c:v>1.07</c:v>
                </c:pt>
                <c:pt idx="1">
                  <c:v>1.1399999999999999</c:v>
                </c:pt>
                <c:pt idx="2">
                  <c:v>1.22</c:v>
                </c:pt>
                <c:pt idx="3">
                  <c:v>1.29</c:v>
                </c:pt>
                <c:pt idx="4">
                  <c:v>1.38</c:v>
                </c:pt>
                <c:pt idx="5">
                  <c:v>1.44</c:v>
                </c:pt>
                <c:pt idx="6">
                  <c:v>0.08</c:v>
                </c:pt>
                <c:pt idx="7">
                  <c:v>1.52</c:v>
                </c:pt>
                <c:pt idx="8">
                  <c:v>1.67</c:v>
                </c:pt>
                <c:pt idx="9">
                  <c:v>0.12</c:v>
                </c:pt>
                <c:pt idx="10">
                  <c:v>1.6</c:v>
                </c:pt>
                <c:pt idx="11">
                  <c:v>0.09</c:v>
                </c:pt>
                <c:pt idx="12">
                  <c:v>1.67</c:v>
                </c:pt>
                <c:pt idx="13">
                  <c:v>1.79</c:v>
                </c:pt>
                <c:pt idx="14">
                  <c:v>1.82</c:v>
                </c:pt>
                <c:pt idx="15">
                  <c:v>1.91</c:v>
                </c:pt>
                <c:pt idx="16">
                  <c:v>2.0099999999999998</c:v>
                </c:pt>
                <c:pt idx="17">
                  <c:v>2.0699999999999998</c:v>
                </c:pt>
                <c:pt idx="18">
                  <c:v>2.15</c:v>
                </c:pt>
                <c:pt idx="19">
                  <c:v>2.2200000000000002</c:v>
                </c:pt>
                <c:pt idx="20">
                  <c:v>2.27</c:v>
                </c:pt>
                <c:pt idx="21">
                  <c:v>3.52</c:v>
                </c:pt>
                <c:pt idx="22">
                  <c:v>0.15</c:v>
                </c:pt>
                <c:pt idx="23">
                  <c:v>2.34</c:v>
                </c:pt>
                <c:pt idx="24">
                  <c:v>0.09</c:v>
                </c:pt>
                <c:pt idx="25">
                  <c:v>2.4</c:v>
                </c:pt>
                <c:pt idx="26">
                  <c:v>2.48</c:v>
                </c:pt>
                <c:pt idx="27">
                  <c:v>2.5499999999999998</c:v>
                </c:pt>
                <c:pt idx="28">
                  <c:v>2.61</c:v>
                </c:pt>
                <c:pt idx="29">
                  <c:v>2.67</c:v>
                </c:pt>
                <c:pt idx="30">
                  <c:v>2.76</c:v>
                </c:pt>
                <c:pt idx="31">
                  <c:v>2.85</c:v>
                </c:pt>
                <c:pt idx="32">
                  <c:v>2.92</c:v>
                </c:pt>
                <c:pt idx="33">
                  <c:v>3.04</c:v>
                </c:pt>
                <c:pt idx="34">
                  <c:v>6.07</c:v>
                </c:pt>
                <c:pt idx="35">
                  <c:v>0.18</c:v>
                </c:pt>
                <c:pt idx="36">
                  <c:v>3.1</c:v>
                </c:pt>
                <c:pt idx="37">
                  <c:v>0.09</c:v>
                </c:pt>
                <c:pt idx="38">
                  <c:v>3.13</c:v>
                </c:pt>
                <c:pt idx="39">
                  <c:v>3.22</c:v>
                </c:pt>
                <c:pt idx="40">
                  <c:v>3.34</c:v>
                </c:pt>
                <c:pt idx="41">
                  <c:v>3.45</c:v>
                </c:pt>
                <c:pt idx="42">
                  <c:v>3.37</c:v>
                </c:pt>
                <c:pt idx="43">
                  <c:v>3.42</c:v>
                </c:pt>
                <c:pt idx="44">
                  <c:v>3.62</c:v>
                </c:pt>
                <c:pt idx="45">
                  <c:v>3.76</c:v>
                </c:pt>
                <c:pt idx="46">
                  <c:v>3.87</c:v>
                </c:pt>
                <c:pt idx="47">
                  <c:v>0.53</c:v>
                </c:pt>
                <c:pt idx="48">
                  <c:v>0.22</c:v>
                </c:pt>
                <c:pt idx="49">
                  <c:v>0.09</c:v>
                </c:pt>
                <c:pt idx="50">
                  <c:v>0.6</c:v>
                </c:pt>
                <c:pt idx="51">
                  <c:v>0.27</c:v>
                </c:pt>
                <c:pt idx="52">
                  <c:v>0.09</c:v>
                </c:pt>
                <c:pt idx="53">
                  <c:v>0.68</c:v>
                </c:pt>
                <c:pt idx="54">
                  <c:v>0.32</c:v>
                </c:pt>
                <c:pt idx="55">
                  <c:v>0.09</c:v>
                </c:pt>
                <c:pt idx="56">
                  <c:v>0.76</c:v>
                </c:pt>
                <c:pt idx="57">
                  <c:v>0.39</c:v>
                </c:pt>
                <c:pt idx="58">
                  <c:v>0.1</c:v>
                </c:pt>
                <c:pt idx="59">
                  <c:v>0.83</c:v>
                </c:pt>
                <c:pt idx="60">
                  <c:v>0.45</c:v>
                </c:pt>
                <c:pt idx="6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2-449D-A410-101F6A84185C}"/>
            </c:ext>
          </c:extLst>
        </c:ser>
        <c:ser>
          <c:idx val="1"/>
          <c:order val="1"/>
          <c:tx>
            <c:strRef>
              <c:f>'Time comparison'!$AD$3</c:f>
              <c:strCache>
                <c:ptCount val="1"/>
                <c:pt idx="0">
                  <c:v>XFTA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'Time comparison'!$AB$11:$AB$79</c:f>
              <c:numCache>
                <c:formatCode>General</c:formatCode>
                <c:ptCount val="6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</c:numCache>
            </c:numRef>
          </c:xVal>
          <c:yVal>
            <c:numRef>
              <c:f>'Time comparison'!$AD$11:$AD$79</c:f>
              <c:numCache>
                <c:formatCode>General</c:formatCode>
                <c:ptCount val="69"/>
                <c:pt idx="0">
                  <c:v>1.52</c:v>
                </c:pt>
                <c:pt idx="1">
                  <c:v>1.63</c:v>
                </c:pt>
                <c:pt idx="2">
                  <c:v>1.74</c:v>
                </c:pt>
                <c:pt idx="3">
                  <c:v>1.86</c:v>
                </c:pt>
                <c:pt idx="4">
                  <c:v>1.98</c:v>
                </c:pt>
                <c:pt idx="5">
                  <c:v>2.09</c:v>
                </c:pt>
                <c:pt idx="6">
                  <c:v>0</c:v>
                </c:pt>
                <c:pt idx="7">
                  <c:v>2.2200000000000002</c:v>
                </c:pt>
                <c:pt idx="8">
                  <c:v>0.23</c:v>
                </c:pt>
                <c:pt idx="9">
                  <c:v>0.03</c:v>
                </c:pt>
                <c:pt idx="10">
                  <c:v>2.31</c:v>
                </c:pt>
                <c:pt idx="11">
                  <c:v>0.01</c:v>
                </c:pt>
                <c:pt idx="12">
                  <c:v>2.4300000000000002</c:v>
                </c:pt>
                <c:pt idx="13">
                  <c:v>2.5499999999999998</c:v>
                </c:pt>
                <c:pt idx="14">
                  <c:v>2.67</c:v>
                </c:pt>
                <c:pt idx="15">
                  <c:v>2.81</c:v>
                </c:pt>
                <c:pt idx="16">
                  <c:v>2.9</c:v>
                </c:pt>
                <c:pt idx="17">
                  <c:v>3.03</c:v>
                </c:pt>
                <c:pt idx="18">
                  <c:v>3.13</c:v>
                </c:pt>
                <c:pt idx="19">
                  <c:v>3.27</c:v>
                </c:pt>
                <c:pt idx="20">
                  <c:v>3.35</c:v>
                </c:pt>
                <c:pt idx="21">
                  <c:v>0.36</c:v>
                </c:pt>
                <c:pt idx="22">
                  <c:v>0.04</c:v>
                </c:pt>
                <c:pt idx="23">
                  <c:v>3.47</c:v>
                </c:pt>
                <c:pt idx="24">
                  <c:v>0.01</c:v>
                </c:pt>
                <c:pt idx="25">
                  <c:v>3.59</c:v>
                </c:pt>
                <c:pt idx="26">
                  <c:v>3.74</c:v>
                </c:pt>
                <c:pt idx="27">
                  <c:v>3.83</c:v>
                </c:pt>
                <c:pt idx="28">
                  <c:v>3.95</c:v>
                </c:pt>
                <c:pt idx="29">
                  <c:v>4.05</c:v>
                </c:pt>
                <c:pt idx="30">
                  <c:v>4.17</c:v>
                </c:pt>
                <c:pt idx="31">
                  <c:v>4.33</c:v>
                </c:pt>
                <c:pt idx="32">
                  <c:v>4.42</c:v>
                </c:pt>
                <c:pt idx="33">
                  <c:v>4.53</c:v>
                </c:pt>
                <c:pt idx="34">
                  <c:v>0.51</c:v>
                </c:pt>
                <c:pt idx="35">
                  <c:v>0.05</c:v>
                </c:pt>
                <c:pt idx="36">
                  <c:v>2.8</c:v>
                </c:pt>
                <c:pt idx="37">
                  <c:v>0.01</c:v>
                </c:pt>
                <c:pt idx="38">
                  <c:v>2.88</c:v>
                </c:pt>
                <c:pt idx="39">
                  <c:v>2.95</c:v>
                </c:pt>
                <c:pt idx="40">
                  <c:v>3.01</c:v>
                </c:pt>
                <c:pt idx="41">
                  <c:v>3.08</c:v>
                </c:pt>
                <c:pt idx="42">
                  <c:v>3.17</c:v>
                </c:pt>
                <c:pt idx="43">
                  <c:v>3.22</c:v>
                </c:pt>
                <c:pt idx="44">
                  <c:v>2.25</c:v>
                </c:pt>
                <c:pt idx="45">
                  <c:v>2.3199999999999998</c:v>
                </c:pt>
                <c:pt idx="46">
                  <c:v>2.34</c:v>
                </c:pt>
                <c:pt idx="47">
                  <c:v>0.5</c:v>
                </c:pt>
                <c:pt idx="48">
                  <c:v>0.06</c:v>
                </c:pt>
                <c:pt idx="49">
                  <c:v>0.01</c:v>
                </c:pt>
                <c:pt idx="50">
                  <c:v>0.62</c:v>
                </c:pt>
                <c:pt idx="51">
                  <c:v>7.0000000000000007E-2</c:v>
                </c:pt>
                <c:pt idx="52">
                  <c:v>0.01</c:v>
                </c:pt>
                <c:pt idx="53">
                  <c:v>0.73</c:v>
                </c:pt>
                <c:pt idx="54">
                  <c:v>0.08</c:v>
                </c:pt>
                <c:pt idx="55">
                  <c:v>0.01</c:v>
                </c:pt>
                <c:pt idx="56">
                  <c:v>0.84</c:v>
                </c:pt>
                <c:pt idx="57">
                  <c:v>0.09</c:v>
                </c:pt>
                <c:pt idx="58">
                  <c:v>0.01</c:v>
                </c:pt>
                <c:pt idx="59">
                  <c:v>0.96</c:v>
                </c:pt>
                <c:pt idx="60">
                  <c:v>0.1</c:v>
                </c:pt>
                <c:pt idx="6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2-449D-A410-101F6A84185C}"/>
            </c:ext>
          </c:extLst>
        </c:ser>
        <c:ser>
          <c:idx val="2"/>
          <c:order val="2"/>
          <c:tx>
            <c:strRef>
              <c:f>'Time comparison'!$AE$3</c:f>
              <c:strCache>
                <c:ptCount val="1"/>
                <c:pt idx="0">
                  <c:v>SAPHSOLVE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'Time comparison'!$AB$11:$AB$79</c:f>
              <c:numCache>
                <c:formatCode>General</c:formatCode>
                <c:ptCount val="69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</c:numCache>
            </c:numRef>
          </c:xVal>
          <c:yVal>
            <c:numRef>
              <c:f>'Time comparison'!$AE$11:$AE$79</c:f>
              <c:numCache>
                <c:formatCode>General</c:formatCode>
                <c:ptCount val="69"/>
                <c:pt idx="0">
                  <c:v>3.25</c:v>
                </c:pt>
                <c:pt idx="1">
                  <c:v>3.49</c:v>
                </c:pt>
                <c:pt idx="2">
                  <c:v>3.72</c:v>
                </c:pt>
                <c:pt idx="3">
                  <c:v>3.98</c:v>
                </c:pt>
                <c:pt idx="4">
                  <c:v>4.2</c:v>
                </c:pt>
                <c:pt idx="5">
                  <c:v>4.42</c:v>
                </c:pt>
                <c:pt idx="6">
                  <c:v>0.02</c:v>
                </c:pt>
                <c:pt idx="7">
                  <c:v>4.66</c:v>
                </c:pt>
                <c:pt idx="8">
                  <c:v>0.48</c:v>
                </c:pt>
                <c:pt idx="9">
                  <c:v>0.06</c:v>
                </c:pt>
                <c:pt idx="10">
                  <c:v>4.88</c:v>
                </c:pt>
                <c:pt idx="11">
                  <c:v>0.02</c:v>
                </c:pt>
                <c:pt idx="12">
                  <c:v>5.12</c:v>
                </c:pt>
                <c:pt idx="13">
                  <c:v>5.36</c:v>
                </c:pt>
                <c:pt idx="14">
                  <c:v>5.61</c:v>
                </c:pt>
                <c:pt idx="15">
                  <c:v>5.85</c:v>
                </c:pt>
                <c:pt idx="16">
                  <c:v>6.08</c:v>
                </c:pt>
                <c:pt idx="17">
                  <c:v>6.35</c:v>
                </c:pt>
                <c:pt idx="18">
                  <c:v>6.53</c:v>
                </c:pt>
                <c:pt idx="19">
                  <c:v>6.79</c:v>
                </c:pt>
                <c:pt idx="20">
                  <c:v>6.97</c:v>
                </c:pt>
                <c:pt idx="21">
                  <c:v>0.71</c:v>
                </c:pt>
                <c:pt idx="22">
                  <c:v>0.09</c:v>
                </c:pt>
                <c:pt idx="23">
                  <c:v>7.24</c:v>
                </c:pt>
                <c:pt idx="24">
                  <c:v>0.02</c:v>
                </c:pt>
                <c:pt idx="25">
                  <c:v>7.45</c:v>
                </c:pt>
                <c:pt idx="26">
                  <c:v>7.75</c:v>
                </c:pt>
                <c:pt idx="27">
                  <c:v>7.97</c:v>
                </c:pt>
                <c:pt idx="28">
                  <c:v>8.2100000000000009</c:v>
                </c:pt>
                <c:pt idx="29">
                  <c:v>8.43</c:v>
                </c:pt>
                <c:pt idx="30">
                  <c:v>8.69</c:v>
                </c:pt>
                <c:pt idx="31">
                  <c:v>8.93</c:v>
                </c:pt>
                <c:pt idx="32">
                  <c:v>9.14</c:v>
                </c:pt>
                <c:pt idx="33">
                  <c:v>9.36</c:v>
                </c:pt>
                <c:pt idx="34">
                  <c:v>0.93</c:v>
                </c:pt>
                <c:pt idx="35">
                  <c:v>0.11</c:v>
                </c:pt>
                <c:pt idx="36">
                  <c:v>9.76</c:v>
                </c:pt>
                <c:pt idx="37">
                  <c:v>0.02</c:v>
                </c:pt>
                <c:pt idx="38">
                  <c:v>9.81</c:v>
                </c:pt>
                <c:pt idx="39">
                  <c:v>10.039999999999999</c:v>
                </c:pt>
                <c:pt idx="40">
                  <c:v>10.28</c:v>
                </c:pt>
                <c:pt idx="41">
                  <c:v>10.52</c:v>
                </c:pt>
                <c:pt idx="42">
                  <c:v>10.74</c:v>
                </c:pt>
                <c:pt idx="43">
                  <c:v>10.99</c:v>
                </c:pt>
                <c:pt idx="44">
                  <c:v>11.21</c:v>
                </c:pt>
                <c:pt idx="45">
                  <c:v>11.46</c:v>
                </c:pt>
                <c:pt idx="46">
                  <c:v>11.69</c:v>
                </c:pt>
                <c:pt idx="47">
                  <c:v>1.1599999999999999</c:v>
                </c:pt>
                <c:pt idx="48">
                  <c:v>0.13</c:v>
                </c:pt>
                <c:pt idx="49">
                  <c:v>0.03</c:v>
                </c:pt>
                <c:pt idx="50">
                  <c:v>1.39</c:v>
                </c:pt>
                <c:pt idx="51">
                  <c:v>0.15</c:v>
                </c:pt>
                <c:pt idx="52">
                  <c:v>0.03</c:v>
                </c:pt>
                <c:pt idx="53">
                  <c:v>1.63</c:v>
                </c:pt>
                <c:pt idx="54">
                  <c:v>0.18</c:v>
                </c:pt>
                <c:pt idx="55">
                  <c:v>0.03</c:v>
                </c:pt>
                <c:pt idx="56">
                  <c:v>1.85</c:v>
                </c:pt>
                <c:pt idx="57">
                  <c:v>0.2</c:v>
                </c:pt>
                <c:pt idx="58">
                  <c:v>0.03</c:v>
                </c:pt>
                <c:pt idx="59">
                  <c:v>2.09</c:v>
                </c:pt>
                <c:pt idx="60">
                  <c:v>0.22</c:v>
                </c:pt>
                <c:pt idx="61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82-449D-A410-101F6A841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094271"/>
        <c:axId val="1243097599"/>
      </c:scatterChart>
      <c:valAx>
        <c:axId val="124309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97599"/>
        <c:crosses val="autoZero"/>
        <c:crossBetween val="midCat"/>
      </c:valAx>
      <c:valAx>
        <c:axId val="124309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</a:t>
                </a:r>
                <a:r>
                  <a:rPr lang="en-US" baseline="0"/>
                  <a:t> Time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9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85824709043001"/>
          <c:y val="0.23300139721340807"/>
          <c:w val="0.32222466531306226"/>
          <c:h val="3.8726604957512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Wall</a:t>
            </a:r>
            <a:r>
              <a:rPr lang="en-US" baseline="0"/>
              <a:t> Time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'Time comparison'!$AK$3</c:f>
              <c:strCache>
                <c:ptCount val="1"/>
                <c:pt idx="0">
                  <c:v>SCRAM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comparison'!$AJ$4:$AJ$72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xVal>
          <c:yVal>
            <c:numRef>
              <c:f>'Time comparison'!$AK$4:$AK$72</c:f>
              <c:numCache>
                <c:formatCode>General</c:formatCode>
                <c:ptCount val="69"/>
                <c:pt idx="0">
                  <c:v>1.1100000000000001</c:v>
                </c:pt>
                <c:pt idx="1">
                  <c:v>0.55000000000000004</c:v>
                </c:pt>
                <c:pt idx="2">
                  <c:v>0.11</c:v>
                </c:pt>
                <c:pt idx="3">
                  <c:v>1.19</c:v>
                </c:pt>
                <c:pt idx="4">
                  <c:v>0.11</c:v>
                </c:pt>
                <c:pt idx="5">
                  <c:v>1.29</c:v>
                </c:pt>
                <c:pt idx="6">
                  <c:v>1.36</c:v>
                </c:pt>
                <c:pt idx="7">
                  <c:v>1.3</c:v>
                </c:pt>
                <c:pt idx="8">
                  <c:v>1.36</c:v>
                </c:pt>
                <c:pt idx="9">
                  <c:v>1.41</c:v>
                </c:pt>
                <c:pt idx="10">
                  <c:v>1.51</c:v>
                </c:pt>
                <c:pt idx="11">
                  <c:v>1.6</c:v>
                </c:pt>
                <c:pt idx="12">
                  <c:v>1.65</c:v>
                </c:pt>
                <c:pt idx="13">
                  <c:v>0.11</c:v>
                </c:pt>
                <c:pt idx="14">
                  <c:v>1.73</c:v>
                </c:pt>
                <c:pt idx="15">
                  <c:v>1.69</c:v>
                </c:pt>
                <c:pt idx="16">
                  <c:v>0.16</c:v>
                </c:pt>
                <c:pt idx="17">
                  <c:v>1.83</c:v>
                </c:pt>
                <c:pt idx="18">
                  <c:v>0.12</c:v>
                </c:pt>
                <c:pt idx="19">
                  <c:v>1.87</c:v>
                </c:pt>
                <c:pt idx="20">
                  <c:v>2</c:v>
                </c:pt>
                <c:pt idx="21">
                  <c:v>2.0299999999999998</c:v>
                </c:pt>
                <c:pt idx="22">
                  <c:v>2.11</c:v>
                </c:pt>
                <c:pt idx="23">
                  <c:v>2.21</c:v>
                </c:pt>
                <c:pt idx="24">
                  <c:v>2.27</c:v>
                </c:pt>
                <c:pt idx="25">
                  <c:v>2.35</c:v>
                </c:pt>
                <c:pt idx="26">
                  <c:v>2.4300000000000002</c:v>
                </c:pt>
                <c:pt idx="27">
                  <c:v>2.44</c:v>
                </c:pt>
                <c:pt idx="28">
                  <c:v>3.56</c:v>
                </c:pt>
                <c:pt idx="29">
                  <c:v>0.17</c:v>
                </c:pt>
                <c:pt idx="30">
                  <c:v>2.5499999999999998</c:v>
                </c:pt>
                <c:pt idx="31">
                  <c:v>0.12</c:v>
                </c:pt>
                <c:pt idx="32">
                  <c:v>2.6</c:v>
                </c:pt>
                <c:pt idx="33">
                  <c:v>2.69</c:v>
                </c:pt>
                <c:pt idx="34">
                  <c:v>2.75</c:v>
                </c:pt>
                <c:pt idx="35">
                  <c:v>2.82</c:v>
                </c:pt>
                <c:pt idx="36">
                  <c:v>2.89</c:v>
                </c:pt>
                <c:pt idx="37">
                  <c:v>2.97</c:v>
                </c:pt>
                <c:pt idx="38">
                  <c:v>3.05</c:v>
                </c:pt>
                <c:pt idx="39">
                  <c:v>3.12</c:v>
                </c:pt>
                <c:pt idx="40">
                  <c:v>3.25</c:v>
                </c:pt>
                <c:pt idx="41">
                  <c:v>6.1</c:v>
                </c:pt>
                <c:pt idx="42">
                  <c:v>0.2</c:v>
                </c:pt>
                <c:pt idx="43">
                  <c:v>3.3</c:v>
                </c:pt>
                <c:pt idx="44">
                  <c:v>0.12</c:v>
                </c:pt>
                <c:pt idx="45">
                  <c:v>3.35</c:v>
                </c:pt>
                <c:pt idx="46">
                  <c:v>3.42</c:v>
                </c:pt>
                <c:pt idx="47">
                  <c:v>3.55</c:v>
                </c:pt>
                <c:pt idx="48">
                  <c:v>3.66</c:v>
                </c:pt>
                <c:pt idx="49">
                  <c:v>3.59</c:v>
                </c:pt>
                <c:pt idx="50">
                  <c:v>3.63</c:v>
                </c:pt>
                <c:pt idx="51">
                  <c:v>3.83</c:v>
                </c:pt>
                <c:pt idx="52">
                  <c:v>3.96</c:v>
                </c:pt>
                <c:pt idx="53">
                  <c:v>4.08</c:v>
                </c:pt>
                <c:pt idx="54">
                  <c:v>0.73</c:v>
                </c:pt>
                <c:pt idx="55">
                  <c:v>0.24</c:v>
                </c:pt>
                <c:pt idx="56">
                  <c:v>0.12</c:v>
                </c:pt>
                <c:pt idx="57">
                  <c:v>0.8</c:v>
                </c:pt>
                <c:pt idx="58">
                  <c:v>0.28999999999999998</c:v>
                </c:pt>
                <c:pt idx="59">
                  <c:v>0.12</c:v>
                </c:pt>
                <c:pt idx="60">
                  <c:v>0.89</c:v>
                </c:pt>
                <c:pt idx="61">
                  <c:v>0.34</c:v>
                </c:pt>
                <c:pt idx="62">
                  <c:v>0.14000000000000001</c:v>
                </c:pt>
                <c:pt idx="63">
                  <c:v>0.95</c:v>
                </c:pt>
                <c:pt idx="64">
                  <c:v>0.41</c:v>
                </c:pt>
                <c:pt idx="65">
                  <c:v>0.11</c:v>
                </c:pt>
                <c:pt idx="66">
                  <c:v>1.03</c:v>
                </c:pt>
                <c:pt idx="67">
                  <c:v>0.47</c:v>
                </c:pt>
                <c:pt idx="68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2-46BC-BACB-F555A597C565}"/>
            </c:ext>
          </c:extLst>
        </c:ser>
        <c:ser>
          <c:idx val="1"/>
          <c:order val="1"/>
          <c:tx>
            <c:strRef>
              <c:f>'Time comparison'!$AL$3</c:f>
              <c:strCache>
                <c:ptCount val="1"/>
                <c:pt idx="0">
                  <c:v>XFTA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'Time comparison'!$AJ$4:$AJ$72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xVal>
          <c:yVal>
            <c:numRef>
              <c:f>'Time comparison'!$AL$4:$AL$72</c:f>
              <c:numCache>
                <c:formatCode>General</c:formatCode>
                <c:ptCount val="69"/>
                <c:pt idx="0">
                  <c:v>1.28</c:v>
                </c:pt>
                <c:pt idx="1">
                  <c:v>0.15</c:v>
                </c:pt>
                <c:pt idx="2">
                  <c:v>0.04</c:v>
                </c:pt>
                <c:pt idx="3">
                  <c:v>1.4</c:v>
                </c:pt>
                <c:pt idx="4">
                  <c:v>0.04</c:v>
                </c:pt>
                <c:pt idx="5">
                  <c:v>1.48</c:v>
                </c:pt>
                <c:pt idx="6">
                  <c:v>1.6</c:v>
                </c:pt>
                <c:pt idx="7">
                  <c:v>1.73</c:v>
                </c:pt>
                <c:pt idx="8">
                  <c:v>1.82</c:v>
                </c:pt>
                <c:pt idx="9">
                  <c:v>1.94</c:v>
                </c:pt>
                <c:pt idx="10">
                  <c:v>2.08</c:v>
                </c:pt>
                <c:pt idx="11">
                  <c:v>2.19</c:v>
                </c:pt>
                <c:pt idx="12">
                  <c:v>2.3199999999999998</c:v>
                </c:pt>
                <c:pt idx="13">
                  <c:v>0.03</c:v>
                </c:pt>
                <c:pt idx="14">
                  <c:v>2.42</c:v>
                </c:pt>
                <c:pt idx="15">
                  <c:v>0.26</c:v>
                </c:pt>
                <c:pt idx="16">
                  <c:v>7.0000000000000007E-2</c:v>
                </c:pt>
                <c:pt idx="17">
                  <c:v>2.5299999999999998</c:v>
                </c:pt>
                <c:pt idx="18">
                  <c:v>7.0000000000000007E-2</c:v>
                </c:pt>
                <c:pt idx="19">
                  <c:v>2.63</c:v>
                </c:pt>
                <c:pt idx="20">
                  <c:v>2.76</c:v>
                </c:pt>
                <c:pt idx="21">
                  <c:v>2.87</c:v>
                </c:pt>
                <c:pt idx="22">
                  <c:v>3.03</c:v>
                </c:pt>
                <c:pt idx="23">
                  <c:v>3.1</c:v>
                </c:pt>
                <c:pt idx="24">
                  <c:v>3.24</c:v>
                </c:pt>
                <c:pt idx="25">
                  <c:v>3.34</c:v>
                </c:pt>
                <c:pt idx="26">
                  <c:v>3.47</c:v>
                </c:pt>
                <c:pt idx="27">
                  <c:v>3.56</c:v>
                </c:pt>
                <c:pt idx="28">
                  <c:v>0.4</c:v>
                </c:pt>
                <c:pt idx="29">
                  <c:v>0.09</c:v>
                </c:pt>
                <c:pt idx="30">
                  <c:v>3.68</c:v>
                </c:pt>
                <c:pt idx="31">
                  <c:v>0.03</c:v>
                </c:pt>
                <c:pt idx="32">
                  <c:v>3.79</c:v>
                </c:pt>
                <c:pt idx="33">
                  <c:v>3.96</c:v>
                </c:pt>
                <c:pt idx="34">
                  <c:v>4.04</c:v>
                </c:pt>
                <c:pt idx="35">
                  <c:v>4.1500000000000004</c:v>
                </c:pt>
                <c:pt idx="36">
                  <c:v>4.2699999999999996</c:v>
                </c:pt>
                <c:pt idx="37">
                  <c:v>4.3899999999999997</c:v>
                </c:pt>
                <c:pt idx="38">
                  <c:v>4.54</c:v>
                </c:pt>
                <c:pt idx="39">
                  <c:v>4.62</c:v>
                </c:pt>
                <c:pt idx="40">
                  <c:v>4.72</c:v>
                </c:pt>
                <c:pt idx="41">
                  <c:v>0.53</c:v>
                </c:pt>
                <c:pt idx="42">
                  <c:v>7.0000000000000007E-2</c:v>
                </c:pt>
                <c:pt idx="43">
                  <c:v>3</c:v>
                </c:pt>
                <c:pt idx="44">
                  <c:v>0.04</c:v>
                </c:pt>
                <c:pt idx="45">
                  <c:v>3.09</c:v>
                </c:pt>
                <c:pt idx="46">
                  <c:v>3.15</c:v>
                </c:pt>
                <c:pt idx="47">
                  <c:v>3.21</c:v>
                </c:pt>
                <c:pt idx="48">
                  <c:v>3.28</c:v>
                </c:pt>
                <c:pt idx="49">
                  <c:v>3.38</c:v>
                </c:pt>
                <c:pt idx="50">
                  <c:v>3.43</c:v>
                </c:pt>
                <c:pt idx="51">
                  <c:v>2.4500000000000002</c:v>
                </c:pt>
                <c:pt idx="52">
                  <c:v>2.52</c:v>
                </c:pt>
                <c:pt idx="53">
                  <c:v>2.54</c:v>
                </c:pt>
                <c:pt idx="54">
                  <c:v>0.71</c:v>
                </c:pt>
                <c:pt idx="55">
                  <c:v>0.09</c:v>
                </c:pt>
                <c:pt idx="56">
                  <c:v>0.04</c:v>
                </c:pt>
                <c:pt idx="57">
                  <c:v>0.83</c:v>
                </c:pt>
                <c:pt idx="58">
                  <c:v>0.11</c:v>
                </c:pt>
                <c:pt idx="59">
                  <c:v>0.04</c:v>
                </c:pt>
                <c:pt idx="60">
                  <c:v>0.94</c:v>
                </c:pt>
                <c:pt idx="61">
                  <c:v>0.12</c:v>
                </c:pt>
                <c:pt idx="62">
                  <c:v>0.04</c:v>
                </c:pt>
                <c:pt idx="63">
                  <c:v>1.04</c:v>
                </c:pt>
                <c:pt idx="64">
                  <c:v>0.13</c:v>
                </c:pt>
                <c:pt idx="65">
                  <c:v>0.06</c:v>
                </c:pt>
                <c:pt idx="66">
                  <c:v>1.1599999999999999</c:v>
                </c:pt>
                <c:pt idx="67">
                  <c:v>0.14000000000000001</c:v>
                </c:pt>
                <c:pt idx="68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2-46BC-BACB-F555A597C565}"/>
            </c:ext>
          </c:extLst>
        </c:ser>
        <c:ser>
          <c:idx val="2"/>
          <c:order val="2"/>
          <c:tx>
            <c:strRef>
              <c:f>'Time comparison'!$AM$3</c:f>
              <c:strCache>
                <c:ptCount val="1"/>
                <c:pt idx="0">
                  <c:v>SAPHSOLVE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'Time comparison'!$AJ$4:$AJ$72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xVal>
          <c:yVal>
            <c:numRef>
              <c:f>'Time comparison'!$AM$4:$AM$72</c:f>
              <c:numCache>
                <c:formatCode>General</c:formatCode>
                <c:ptCount val="69"/>
                <c:pt idx="0">
                  <c:v>2.35</c:v>
                </c:pt>
                <c:pt idx="1">
                  <c:v>0.26</c:v>
                </c:pt>
                <c:pt idx="2">
                  <c:v>0.06</c:v>
                </c:pt>
                <c:pt idx="3">
                  <c:v>2.59</c:v>
                </c:pt>
                <c:pt idx="4">
                  <c:v>0.03</c:v>
                </c:pt>
                <c:pt idx="5">
                  <c:v>2.8</c:v>
                </c:pt>
                <c:pt idx="6">
                  <c:v>3.06</c:v>
                </c:pt>
                <c:pt idx="7">
                  <c:v>3.29</c:v>
                </c:pt>
                <c:pt idx="8">
                  <c:v>3.51</c:v>
                </c:pt>
                <c:pt idx="9">
                  <c:v>3.75</c:v>
                </c:pt>
                <c:pt idx="10">
                  <c:v>4.01</c:v>
                </c:pt>
                <c:pt idx="11">
                  <c:v>4.2300000000000004</c:v>
                </c:pt>
                <c:pt idx="12">
                  <c:v>4.4400000000000004</c:v>
                </c:pt>
                <c:pt idx="13">
                  <c:v>0.04</c:v>
                </c:pt>
                <c:pt idx="14">
                  <c:v>4.7</c:v>
                </c:pt>
                <c:pt idx="15">
                  <c:v>0.51</c:v>
                </c:pt>
                <c:pt idx="16">
                  <c:v>0.08</c:v>
                </c:pt>
                <c:pt idx="17">
                  <c:v>4.91</c:v>
                </c:pt>
                <c:pt idx="18">
                  <c:v>0.05</c:v>
                </c:pt>
                <c:pt idx="19">
                  <c:v>5.16</c:v>
                </c:pt>
                <c:pt idx="20">
                  <c:v>5.38</c:v>
                </c:pt>
                <c:pt idx="21">
                  <c:v>5.64</c:v>
                </c:pt>
                <c:pt idx="22">
                  <c:v>5.88</c:v>
                </c:pt>
                <c:pt idx="23">
                  <c:v>6.1</c:v>
                </c:pt>
                <c:pt idx="24">
                  <c:v>6.39</c:v>
                </c:pt>
                <c:pt idx="25">
                  <c:v>6.56</c:v>
                </c:pt>
                <c:pt idx="26">
                  <c:v>6.82</c:v>
                </c:pt>
                <c:pt idx="27">
                  <c:v>6.99</c:v>
                </c:pt>
                <c:pt idx="28">
                  <c:v>0.73</c:v>
                </c:pt>
                <c:pt idx="29">
                  <c:v>0.11</c:v>
                </c:pt>
                <c:pt idx="30">
                  <c:v>7.27</c:v>
                </c:pt>
                <c:pt idx="31">
                  <c:v>0.05</c:v>
                </c:pt>
                <c:pt idx="32">
                  <c:v>7.48</c:v>
                </c:pt>
                <c:pt idx="33">
                  <c:v>7.77</c:v>
                </c:pt>
                <c:pt idx="34">
                  <c:v>8</c:v>
                </c:pt>
                <c:pt idx="35">
                  <c:v>8.23</c:v>
                </c:pt>
                <c:pt idx="36">
                  <c:v>8.4499999999999993</c:v>
                </c:pt>
                <c:pt idx="37">
                  <c:v>8.7100000000000009</c:v>
                </c:pt>
                <c:pt idx="38">
                  <c:v>8.9600000000000009</c:v>
                </c:pt>
                <c:pt idx="39">
                  <c:v>9.17</c:v>
                </c:pt>
                <c:pt idx="40">
                  <c:v>9.39</c:v>
                </c:pt>
                <c:pt idx="41">
                  <c:v>0.96</c:v>
                </c:pt>
                <c:pt idx="42">
                  <c:v>0.13</c:v>
                </c:pt>
                <c:pt idx="43">
                  <c:v>9.7899999999999991</c:v>
                </c:pt>
                <c:pt idx="44">
                  <c:v>0.04</c:v>
                </c:pt>
                <c:pt idx="45">
                  <c:v>9.84</c:v>
                </c:pt>
                <c:pt idx="46">
                  <c:v>10.06</c:v>
                </c:pt>
                <c:pt idx="47">
                  <c:v>10.31</c:v>
                </c:pt>
                <c:pt idx="48">
                  <c:v>10.53</c:v>
                </c:pt>
                <c:pt idx="49">
                  <c:v>10.77</c:v>
                </c:pt>
                <c:pt idx="50">
                  <c:v>11.01</c:v>
                </c:pt>
                <c:pt idx="51">
                  <c:v>11.24</c:v>
                </c:pt>
                <c:pt idx="52">
                  <c:v>11.49</c:v>
                </c:pt>
                <c:pt idx="53">
                  <c:v>11.71</c:v>
                </c:pt>
                <c:pt idx="54">
                  <c:v>1.18</c:v>
                </c:pt>
                <c:pt idx="55">
                  <c:v>0.14000000000000001</c:v>
                </c:pt>
                <c:pt idx="56">
                  <c:v>0.06</c:v>
                </c:pt>
                <c:pt idx="57">
                  <c:v>1.42</c:v>
                </c:pt>
                <c:pt idx="58">
                  <c:v>0.19</c:v>
                </c:pt>
                <c:pt idx="59">
                  <c:v>0.06</c:v>
                </c:pt>
                <c:pt idx="60">
                  <c:v>1.65</c:v>
                </c:pt>
                <c:pt idx="61">
                  <c:v>0.19</c:v>
                </c:pt>
                <c:pt idx="62">
                  <c:v>0.05</c:v>
                </c:pt>
                <c:pt idx="63">
                  <c:v>1.87</c:v>
                </c:pt>
                <c:pt idx="64">
                  <c:v>0.22</c:v>
                </c:pt>
                <c:pt idx="65">
                  <c:v>0.06</c:v>
                </c:pt>
                <c:pt idx="66">
                  <c:v>2.11</c:v>
                </c:pt>
                <c:pt idx="67">
                  <c:v>0.25</c:v>
                </c:pt>
                <c:pt idx="68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92-46BC-BACB-F555A597C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361951"/>
        <c:axId val="917362367"/>
      </c:scatterChart>
      <c:valAx>
        <c:axId val="91736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62367"/>
        <c:crosses val="autoZero"/>
        <c:crossBetween val="midCat"/>
      </c:valAx>
      <c:valAx>
        <c:axId val="9173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Wall</a:t>
                </a:r>
                <a:r>
                  <a:rPr lang="en-US" baseline="0"/>
                  <a:t> Time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97604790942774"/>
          <c:y val="0.27165329530659066"/>
          <c:w val="0.26670337836929431"/>
          <c:h val="3.5433318866637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</a:t>
            </a:r>
            <a:r>
              <a:rPr lang="en-US" baseline="0"/>
              <a:t> Usage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'Memory usage'!$AE$1</c:f>
              <c:strCache>
                <c:ptCount val="1"/>
                <c:pt idx="0">
                  <c:v>SCRAM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'Memory usage'!$AD$2:$AD$70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xVal>
          <c:yVal>
            <c:numRef>
              <c:f>'Memory usage'!$AE$2:$AE$70</c:f>
              <c:numCache>
                <c:formatCode>General</c:formatCode>
                <c:ptCount val="69"/>
                <c:pt idx="0">
                  <c:v>72.998912000000004</c:v>
                </c:pt>
                <c:pt idx="1">
                  <c:v>37.212159999999997</c:v>
                </c:pt>
                <c:pt idx="2">
                  <c:v>7.1966720000000004</c:v>
                </c:pt>
                <c:pt idx="3">
                  <c:v>74.829824000000002</c:v>
                </c:pt>
                <c:pt idx="4">
                  <c:v>5.75488</c:v>
                </c:pt>
                <c:pt idx="5">
                  <c:v>76.664832000000004</c:v>
                </c:pt>
                <c:pt idx="6">
                  <c:v>78.761983999999998</c:v>
                </c:pt>
                <c:pt idx="7">
                  <c:v>75.751424</c:v>
                </c:pt>
                <c:pt idx="8">
                  <c:v>79.941631999999998</c:v>
                </c:pt>
                <c:pt idx="9">
                  <c:v>84.267008000000004</c:v>
                </c:pt>
                <c:pt idx="10">
                  <c:v>88.330240000000003</c:v>
                </c:pt>
                <c:pt idx="11">
                  <c:v>92.528639999999996</c:v>
                </c:pt>
                <c:pt idx="12">
                  <c:v>96.718847999999994</c:v>
                </c:pt>
                <c:pt idx="13">
                  <c:v>5.7589759999999997</c:v>
                </c:pt>
                <c:pt idx="14">
                  <c:v>100.913152</c:v>
                </c:pt>
                <c:pt idx="15">
                  <c:v>105.50067199999999</c:v>
                </c:pt>
                <c:pt idx="16">
                  <c:v>9.0316799999999997</c:v>
                </c:pt>
                <c:pt idx="17">
                  <c:v>104.18995200000001</c:v>
                </c:pt>
                <c:pt idx="18">
                  <c:v>5.8859519999999996</c:v>
                </c:pt>
                <c:pt idx="19">
                  <c:v>110.481408</c:v>
                </c:pt>
                <c:pt idx="20">
                  <c:v>114.675712</c:v>
                </c:pt>
                <c:pt idx="21">
                  <c:v>119.001088</c:v>
                </c:pt>
                <c:pt idx="22">
                  <c:v>124.243968</c:v>
                </c:pt>
                <c:pt idx="23">
                  <c:v>128.30719999999999</c:v>
                </c:pt>
                <c:pt idx="24">
                  <c:v>132.632576</c:v>
                </c:pt>
                <c:pt idx="25">
                  <c:v>135.90937600000001</c:v>
                </c:pt>
                <c:pt idx="26">
                  <c:v>140.10368</c:v>
                </c:pt>
                <c:pt idx="27">
                  <c:v>144.429056</c:v>
                </c:pt>
                <c:pt idx="28">
                  <c:v>212.58649600000001</c:v>
                </c:pt>
                <c:pt idx="29">
                  <c:v>11.259904000000001</c:v>
                </c:pt>
                <c:pt idx="30">
                  <c:v>148.492288</c:v>
                </c:pt>
                <c:pt idx="31">
                  <c:v>6.1521920000000003</c:v>
                </c:pt>
                <c:pt idx="32">
                  <c:v>152.82176000000001</c:v>
                </c:pt>
                <c:pt idx="33">
                  <c:v>156.09855999999999</c:v>
                </c:pt>
                <c:pt idx="34">
                  <c:v>160.288768</c:v>
                </c:pt>
                <c:pt idx="35">
                  <c:v>164.87628799999999</c:v>
                </c:pt>
                <c:pt idx="36">
                  <c:v>169.33273600000001</c:v>
                </c:pt>
                <c:pt idx="37">
                  <c:v>173.65811199999999</c:v>
                </c:pt>
                <c:pt idx="38">
                  <c:v>177.72134399999999</c:v>
                </c:pt>
                <c:pt idx="39">
                  <c:v>182.04671999999999</c:v>
                </c:pt>
                <c:pt idx="40">
                  <c:v>185.065472</c:v>
                </c:pt>
                <c:pt idx="41">
                  <c:v>356.24140799999998</c:v>
                </c:pt>
                <c:pt idx="42">
                  <c:v>13.881344</c:v>
                </c:pt>
                <c:pt idx="43">
                  <c:v>189.386752</c:v>
                </c:pt>
                <c:pt idx="44">
                  <c:v>6.1480959999999998</c:v>
                </c:pt>
                <c:pt idx="45">
                  <c:v>193.71622400000001</c:v>
                </c:pt>
                <c:pt idx="46">
                  <c:v>197.906432</c:v>
                </c:pt>
                <c:pt idx="47">
                  <c:v>205.246464</c:v>
                </c:pt>
                <c:pt idx="48">
                  <c:v>209.57184000000001</c:v>
                </c:pt>
                <c:pt idx="49">
                  <c:v>213.766144</c:v>
                </c:pt>
                <c:pt idx="50">
                  <c:v>217.96044800000001</c:v>
                </c:pt>
                <c:pt idx="51">
                  <c:v>221.24544</c:v>
                </c:pt>
                <c:pt idx="52">
                  <c:v>225.43155200000001</c:v>
                </c:pt>
                <c:pt idx="53">
                  <c:v>232.37836799999999</c:v>
                </c:pt>
                <c:pt idx="54">
                  <c:v>63.688704000000001</c:v>
                </c:pt>
                <c:pt idx="55">
                  <c:v>16.633856000000002</c:v>
                </c:pt>
                <c:pt idx="56">
                  <c:v>6.2791680000000003</c:v>
                </c:pt>
                <c:pt idx="57">
                  <c:v>65.785855999999995</c:v>
                </c:pt>
                <c:pt idx="58">
                  <c:v>20.172799999999999</c:v>
                </c:pt>
                <c:pt idx="59">
                  <c:v>6.5413119999999996</c:v>
                </c:pt>
                <c:pt idx="60">
                  <c:v>67.751936000000001</c:v>
                </c:pt>
                <c:pt idx="61">
                  <c:v>23.842815999999999</c:v>
                </c:pt>
                <c:pt idx="62">
                  <c:v>6.5413119999999996</c:v>
                </c:pt>
                <c:pt idx="63">
                  <c:v>69.586944000000003</c:v>
                </c:pt>
                <c:pt idx="64">
                  <c:v>27.906047999999998</c:v>
                </c:pt>
                <c:pt idx="65">
                  <c:v>6.8116479999999999</c:v>
                </c:pt>
                <c:pt idx="66">
                  <c:v>71.159807999999998</c:v>
                </c:pt>
                <c:pt idx="67">
                  <c:v>32.235520000000001</c:v>
                </c:pt>
                <c:pt idx="68">
                  <c:v>7.0655999999999999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3-46BB-A2F9-2D60047C9027}"/>
            </c:ext>
          </c:extLst>
        </c:ser>
        <c:ser>
          <c:idx val="1"/>
          <c:order val="1"/>
          <c:tx>
            <c:strRef>
              <c:f>'Memory usage'!$AF$1</c:f>
              <c:strCache>
                <c:ptCount val="1"/>
                <c:pt idx="0">
                  <c:v>XFTA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'Memory usage'!$AD$2:$AD$70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xVal>
          <c:yVal>
            <c:numRef>
              <c:f>'Memory usage'!$AF$2:$AF$70</c:f>
              <c:numCache>
                <c:formatCode>General</c:formatCode>
                <c:ptCount val="69"/>
                <c:pt idx="0">
                  <c:v>67.883008000000004</c:v>
                </c:pt>
                <c:pt idx="1">
                  <c:v>8.3763199999999998</c:v>
                </c:pt>
                <c:pt idx="2">
                  <c:v>2.3552</c:v>
                </c:pt>
                <c:pt idx="3">
                  <c:v>74.698751999999999</c:v>
                </c:pt>
                <c:pt idx="4">
                  <c:v>1.69984</c:v>
                </c:pt>
                <c:pt idx="5">
                  <c:v>81.252352000000002</c:v>
                </c:pt>
                <c:pt idx="6">
                  <c:v>87.805952000000005</c:v>
                </c:pt>
                <c:pt idx="7">
                  <c:v>94.490623999999997</c:v>
                </c:pt>
                <c:pt idx="8">
                  <c:v>101.044224</c:v>
                </c:pt>
                <c:pt idx="9">
                  <c:v>107.72889600000001</c:v>
                </c:pt>
                <c:pt idx="10">
                  <c:v>114.413568</c:v>
                </c:pt>
                <c:pt idx="11">
                  <c:v>120.967168</c:v>
                </c:pt>
                <c:pt idx="12">
                  <c:v>127.520768</c:v>
                </c:pt>
                <c:pt idx="13">
                  <c:v>1.69984</c:v>
                </c:pt>
                <c:pt idx="14">
                  <c:v>134.20544000000001</c:v>
                </c:pt>
                <c:pt idx="15">
                  <c:v>15.056896</c:v>
                </c:pt>
                <c:pt idx="16">
                  <c:v>3.0105599999999999</c:v>
                </c:pt>
                <c:pt idx="17">
                  <c:v>140.763136</c:v>
                </c:pt>
                <c:pt idx="18">
                  <c:v>1.8309120000000001</c:v>
                </c:pt>
                <c:pt idx="19">
                  <c:v>147.443712</c:v>
                </c:pt>
                <c:pt idx="20">
                  <c:v>154.13247999999999</c:v>
                </c:pt>
                <c:pt idx="21">
                  <c:v>160.681984</c:v>
                </c:pt>
                <c:pt idx="22">
                  <c:v>167.23558399999999</c:v>
                </c:pt>
                <c:pt idx="23">
                  <c:v>173.92025599999999</c:v>
                </c:pt>
                <c:pt idx="24">
                  <c:v>180.47385600000001</c:v>
                </c:pt>
                <c:pt idx="25">
                  <c:v>187.15852799999999</c:v>
                </c:pt>
                <c:pt idx="26">
                  <c:v>193.8432</c:v>
                </c:pt>
                <c:pt idx="27">
                  <c:v>200.39680000000001</c:v>
                </c:pt>
                <c:pt idx="28">
                  <c:v>21.872640000000001</c:v>
                </c:pt>
                <c:pt idx="29">
                  <c:v>3.7888000000000002</c:v>
                </c:pt>
                <c:pt idx="30">
                  <c:v>207.08147199999999</c:v>
                </c:pt>
                <c:pt idx="31">
                  <c:v>1.961984</c:v>
                </c:pt>
                <c:pt idx="32">
                  <c:v>213.63507200000001</c:v>
                </c:pt>
                <c:pt idx="33">
                  <c:v>220.188672</c:v>
                </c:pt>
                <c:pt idx="34">
                  <c:v>227.00441599999999</c:v>
                </c:pt>
                <c:pt idx="35">
                  <c:v>233.55801600000001</c:v>
                </c:pt>
                <c:pt idx="36">
                  <c:v>240.111616</c:v>
                </c:pt>
                <c:pt idx="37">
                  <c:v>246.796288</c:v>
                </c:pt>
                <c:pt idx="38">
                  <c:v>253.34988799999999</c:v>
                </c:pt>
                <c:pt idx="39">
                  <c:v>259.90348799999998</c:v>
                </c:pt>
                <c:pt idx="40">
                  <c:v>266.71923199999998</c:v>
                </c:pt>
                <c:pt idx="41">
                  <c:v>28.42624</c:v>
                </c:pt>
                <c:pt idx="42">
                  <c:v>4.4400639999999996</c:v>
                </c:pt>
                <c:pt idx="43">
                  <c:v>273.14175999999998</c:v>
                </c:pt>
                <c:pt idx="44">
                  <c:v>1.961984</c:v>
                </c:pt>
                <c:pt idx="45">
                  <c:v>279.43321600000002</c:v>
                </c:pt>
                <c:pt idx="46">
                  <c:v>285.98681599999998</c:v>
                </c:pt>
                <c:pt idx="47">
                  <c:v>292.27827200000002</c:v>
                </c:pt>
                <c:pt idx="48">
                  <c:v>298.70080000000002</c:v>
                </c:pt>
                <c:pt idx="49">
                  <c:v>305.12332800000001</c:v>
                </c:pt>
                <c:pt idx="50">
                  <c:v>311.54585600000001</c:v>
                </c:pt>
                <c:pt idx="51">
                  <c:v>317.96838400000001</c:v>
                </c:pt>
                <c:pt idx="52">
                  <c:v>324.39091200000001</c:v>
                </c:pt>
                <c:pt idx="53">
                  <c:v>330.682368</c:v>
                </c:pt>
                <c:pt idx="54">
                  <c:v>34.852863999999997</c:v>
                </c:pt>
                <c:pt idx="55">
                  <c:v>5.0954240000000004</c:v>
                </c:pt>
                <c:pt idx="56">
                  <c:v>2.0930559999999998</c:v>
                </c:pt>
                <c:pt idx="57">
                  <c:v>41.537536000000003</c:v>
                </c:pt>
                <c:pt idx="58">
                  <c:v>5.75488</c:v>
                </c:pt>
                <c:pt idx="59">
                  <c:v>2.0930559999999998</c:v>
                </c:pt>
                <c:pt idx="60">
                  <c:v>48.091135999999999</c:v>
                </c:pt>
                <c:pt idx="61">
                  <c:v>6.4102399999999999</c:v>
                </c:pt>
                <c:pt idx="62">
                  <c:v>2.0930559999999998</c:v>
                </c:pt>
                <c:pt idx="63">
                  <c:v>54.644736000000002</c:v>
                </c:pt>
                <c:pt idx="64">
                  <c:v>7.1925759999999999</c:v>
                </c:pt>
                <c:pt idx="65">
                  <c:v>2.2241279999999999</c:v>
                </c:pt>
                <c:pt idx="66">
                  <c:v>61.329408000000001</c:v>
                </c:pt>
                <c:pt idx="67">
                  <c:v>7.7209599999999998</c:v>
                </c:pt>
                <c:pt idx="68">
                  <c:v>1.69984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13-46BB-A2F9-2D60047C9027}"/>
            </c:ext>
          </c:extLst>
        </c:ser>
        <c:ser>
          <c:idx val="2"/>
          <c:order val="2"/>
          <c:tx>
            <c:strRef>
              <c:f>'Memory usage'!$AG$1</c:f>
              <c:strCache>
                <c:ptCount val="1"/>
                <c:pt idx="0">
                  <c:v>SAPHSOLVE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'Memory usage'!$AD$2:$AD$70</c:f>
              <c:numCache>
                <c:formatCode>General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xVal>
          <c:yVal>
            <c:numRef>
              <c:f>'Memory usage'!$AG$2:$AG$70</c:f>
              <c:numCache>
                <c:formatCode>General</c:formatCode>
                <c:ptCount val="69"/>
                <c:pt idx="0">
                  <c:v>13.225984</c:v>
                </c:pt>
                <c:pt idx="1">
                  <c:v>2.8712960000000001</c:v>
                </c:pt>
                <c:pt idx="2">
                  <c:v>1.8227199999999999</c:v>
                </c:pt>
                <c:pt idx="3">
                  <c:v>14.409727999999999</c:v>
                </c:pt>
                <c:pt idx="4">
                  <c:v>1.69984</c:v>
                </c:pt>
                <c:pt idx="5">
                  <c:v>15.585279999999999</c:v>
                </c:pt>
                <c:pt idx="6">
                  <c:v>16.764928000000001</c:v>
                </c:pt>
                <c:pt idx="7">
                  <c:v>17.813503999999998</c:v>
                </c:pt>
                <c:pt idx="8">
                  <c:v>18.993151999999998</c:v>
                </c:pt>
                <c:pt idx="9">
                  <c:v>20.172799999999999</c:v>
                </c:pt>
                <c:pt idx="10">
                  <c:v>21.356544</c:v>
                </c:pt>
                <c:pt idx="11">
                  <c:v>22.532095999999999</c:v>
                </c:pt>
                <c:pt idx="12">
                  <c:v>23.580672</c:v>
                </c:pt>
                <c:pt idx="13">
                  <c:v>1.69984</c:v>
                </c:pt>
                <c:pt idx="14">
                  <c:v>24.76032</c:v>
                </c:pt>
                <c:pt idx="15">
                  <c:v>4.0509440000000003</c:v>
                </c:pt>
                <c:pt idx="16">
                  <c:v>1.9578880000000001</c:v>
                </c:pt>
                <c:pt idx="17">
                  <c:v>25.939968</c:v>
                </c:pt>
                <c:pt idx="18">
                  <c:v>1.69984</c:v>
                </c:pt>
                <c:pt idx="19">
                  <c:v>26.988544000000001</c:v>
                </c:pt>
                <c:pt idx="20">
                  <c:v>28.168192000000001</c:v>
                </c:pt>
                <c:pt idx="21">
                  <c:v>29.347840000000001</c:v>
                </c:pt>
                <c:pt idx="22">
                  <c:v>30.527488000000002</c:v>
                </c:pt>
                <c:pt idx="23">
                  <c:v>31.707135999999998</c:v>
                </c:pt>
                <c:pt idx="24">
                  <c:v>32.755712000000003</c:v>
                </c:pt>
                <c:pt idx="25">
                  <c:v>33.935360000000003</c:v>
                </c:pt>
                <c:pt idx="26">
                  <c:v>35.115008000000003</c:v>
                </c:pt>
                <c:pt idx="27">
                  <c:v>36.294656000000003</c:v>
                </c:pt>
                <c:pt idx="28">
                  <c:v>5.2305919999999997</c:v>
                </c:pt>
                <c:pt idx="29">
                  <c:v>2.0848640000000001</c:v>
                </c:pt>
                <c:pt idx="30">
                  <c:v>37.474303999999997</c:v>
                </c:pt>
                <c:pt idx="31">
                  <c:v>1.8309120000000001</c:v>
                </c:pt>
                <c:pt idx="32">
                  <c:v>38.522880000000001</c:v>
                </c:pt>
                <c:pt idx="33">
                  <c:v>39.702528000000001</c:v>
                </c:pt>
                <c:pt idx="34">
                  <c:v>40.882176000000001</c:v>
                </c:pt>
                <c:pt idx="35">
                  <c:v>41.930751999999998</c:v>
                </c:pt>
                <c:pt idx="36">
                  <c:v>43.110399999999998</c:v>
                </c:pt>
                <c:pt idx="37">
                  <c:v>44.290047999999999</c:v>
                </c:pt>
                <c:pt idx="38">
                  <c:v>45.469695999999999</c:v>
                </c:pt>
                <c:pt idx="39">
                  <c:v>46.649343999999999</c:v>
                </c:pt>
                <c:pt idx="40">
                  <c:v>47.828992</c:v>
                </c:pt>
                <c:pt idx="41">
                  <c:v>6.4102399999999999</c:v>
                </c:pt>
                <c:pt idx="42">
                  <c:v>2.2159360000000001</c:v>
                </c:pt>
                <c:pt idx="43">
                  <c:v>48.877567999999997</c:v>
                </c:pt>
                <c:pt idx="44">
                  <c:v>1.8227199999999999</c:v>
                </c:pt>
                <c:pt idx="45">
                  <c:v>50.057215999999997</c:v>
                </c:pt>
                <c:pt idx="46">
                  <c:v>51.236863999999997</c:v>
                </c:pt>
                <c:pt idx="47">
                  <c:v>52.420608000000001</c:v>
                </c:pt>
                <c:pt idx="48">
                  <c:v>53.465088000000002</c:v>
                </c:pt>
                <c:pt idx="49">
                  <c:v>54.644736000000002</c:v>
                </c:pt>
                <c:pt idx="50">
                  <c:v>55.824384000000002</c:v>
                </c:pt>
                <c:pt idx="51">
                  <c:v>57.004032000000002</c:v>
                </c:pt>
                <c:pt idx="52">
                  <c:v>58.183680000000003</c:v>
                </c:pt>
                <c:pt idx="53">
                  <c:v>59.232256</c:v>
                </c:pt>
                <c:pt idx="54">
                  <c:v>7.4588159999999997</c:v>
                </c:pt>
                <c:pt idx="55">
                  <c:v>2.2159360000000001</c:v>
                </c:pt>
                <c:pt idx="56">
                  <c:v>1.8309120000000001</c:v>
                </c:pt>
                <c:pt idx="57">
                  <c:v>8.6384640000000008</c:v>
                </c:pt>
                <c:pt idx="58">
                  <c:v>2.4780799999999998</c:v>
                </c:pt>
                <c:pt idx="59">
                  <c:v>1.8309120000000001</c:v>
                </c:pt>
                <c:pt idx="60">
                  <c:v>9.8181119999999993</c:v>
                </c:pt>
                <c:pt idx="61">
                  <c:v>2.6091519999999999</c:v>
                </c:pt>
                <c:pt idx="62">
                  <c:v>1.8227199999999999</c:v>
                </c:pt>
                <c:pt idx="63">
                  <c:v>10.99776</c:v>
                </c:pt>
                <c:pt idx="64">
                  <c:v>2.6091519999999999</c:v>
                </c:pt>
                <c:pt idx="65">
                  <c:v>1.8309120000000001</c:v>
                </c:pt>
                <c:pt idx="66">
                  <c:v>12.046336</c:v>
                </c:pt>
                <c:pt idx="67">
                  <c:v>2.740224</c:v>
                </c:pt>
                <c:pt idx="68">
                  <c:v>1.8227199999999999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13-46BB-A2F9-2D60047C9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911183"/>
        <c:axId val="1035905775"/>
      </c:scatterChart>
      <c:valAx>
        <c:axId val="103591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05775"/>
        <c:crosses val="autoZero"/>
        <c:crossBetween val="midCat"/>
      </c:valAx>
      <c:valAx>
        <c:axId val="103590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Usage (MB)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911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584198668756018"/>
          <c:y val="0.23063444655624948"/>
          <c:w val="0.20894668096292326"/>
          <c:h val="3.3733369535704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320675</xdr:colOff>
      <xdr:row>32</xdr:row>
      <xdr:rowOff>15875</xdr:rowOff>
    </xdr:from>
    <xdr:to>
      <xdr:col>26</xdr:col>
      <xdr:colOff>577850</xdr:colOff>
      <xdr:row>61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7D28A-5E09-6C2A-EE1E-2F2026774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604836</xdr:colOff>
      <xdr:row>14</xdr:row>
      <xdr:rowOff>142875</xdr:rowOff>
    </xdr:from>
    <xdr:to>
      <xdr:col>34</xdr:col>
      <xdr:colOff>609599</xdr:colOff>
      <xdr:row>46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491B65-F261-4BA3-1971-60CAB027E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18</xdr:row>
      <xdr:rowOff>9524</xdr:rowOff>
    </xdr:from>
    <xdr:to>
      <xdr:col>30</xdr:col>
      <xdr:colOff>95249</xdr:colOff>
      <xdr:row>51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99E7A-3176-9C5E-AE5E-6A2C59B6E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3"/>
  <sheetViews>
    <sheetView tabSelected="1" topLeftCell="A49" workbookViewId="0">
      <selection activeCell="D110" sqref="D110"/>
    </sheetView>
  </sheetViews>
  <sheetFormatPr baseColWidth="10" defaultColWidth="8.83203125" defaultRowHeight="15" x14ac:dyDescent="0.2"/>
  <cols>
    <col min="1" max="1" width="28.5" customWidth="1"/>
    <col min="2" max="2" width="25.6640625" customWidth="1"/>
    <col min="4" max="4" width="14.1640625" customWidth="1"/>
  </cols>
  <sheetData>
    <row r="1" spans="1:39" x14ac:dyDescent="0.2">
      <c r="A1" s="1" t="s">
        <v>168</v>
      </c>
      <c r="B1" s="1"/>
      <c r="C1" s="1"/>
      <c r="D1" s="1"/>
      <c r="E1" s="1"/>
      <c r="F1" s="1"/>
      <c r="L1" s="1" t="s">
        <v>169</v>
      </c>
      <c r="M1" s="1"/>
      <c r="N1" s="1"/>
      <c r="O1" s="1"/>
      <c r="P1" s="1"/>
      <c r="Q1" s="1"/>
      <c r="T1" s="1" t="s">
        <v>242</v>
      </c>
      <c r="U1" s="1"/>
      <c r="V1" s="1"/>
      <c r="W1" s="1"/>
      <c r="X1" s="1"/>
    </row>
    <row r="2" spans="1:39" x14ac:dyDescent="0.2">
      <c r="A2" t="s">
        <v>0</v>
      </c>
      <c r="L2" t="s">
        <v>75</v>
      </c>
      <c r="M2" t="s">
        <v>76</v>
      </c>
      <c r="O2" t="s">
        <v>77</v>
      </c>
      <c r="P2" t="s">
        <v>78</v>
      </c>
      <c r="Q2" t="s">
        <v>79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AB2" s="1" t="s">
        <v>243</v>
      </c>
      <c r="AC2" s="1"/>
      <c r="AD2" s="1"/>
      <c r="AE2" s="1"/>
      <c r="AJ2" s="1" t="s">
        <v>244</v>
      </c>
      <c r="AK2" s="1"/>
      <c r="AL2" s="1"/>
      <c r="AM2" s="1"/>
    </row>
    <row r="3" spans="1:39" x14ac:dyDescent="0.2">
      <c r="A3" t="s">
        <v>1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T3" t="s">
        <v>170</v>
      </c>
      <c r="U3" t="s">
        <v>171</v>
      </c>
      <c r="V3" t="s">
        <v>172</v>
      </c>
      <c r="W3" t="s">
        <v>84</v>
      </c>
      <c r="X3" t="s">
        <v>85</v>
      </c>
      <c r="AB3" t="s">
        <v>167</v>
      </c>
      <c r="AC3" t="s">
        <v>168</v>
      </c>
      <c r="AD3" t="s">
        <v>169</v>
      </c>
      <c r="AE3" t="s">
        <v>242</v>
      </c>
      <c r="AJ3" t="s">
        <v>167</v>
      </c>
      <c r="AK3" t="s">
        <v>168</v>
      </c>
      <c r="AL3" t="s">
        <v>169</v>
      </c>
      <c r="AM3" t="s">
        <v>242</v>
      </c>
    </row>
    <row r="4" spans="1:39" x14ac:dyDescent="0.2">
      <c r="A4" t="s">
        <v>2</v>
      </c>
      <c r="B4" t="s">
        <v>3</v>
      </c>
      <c r="C4" t="s">
        <v>4</v>
      </c>
      <c r="D4">
        <v>0.9</v>
      </c>
      <c r="E4">
        <v>1.1100000000000001</v>
      </c>
      <c r="F4" t="s">
        <v>5</v>
      </c>
      <c r="L4" t="s">
        <v>86</v>
      </c>
      <c r="M4" t="s">
        <v>3</v>
      </c>
      <c r="N4" t="s">
        <v>4</v>
      </c>
      <c r="O4">
        <v>1.06</v>
      </c>
      <c r="P4">
        <v>1.28</v>
      </c>
      <c r="Q4" t="s">
        <v>5</v>
      </c>
      <c r="T4" t="s">
        <v>173</v>
      </c>
      <c r="U4" t="s">
        <v>88</v>
      </c>
      <c r="V4">
        <v>2.3199999999999998</v>
      </c>
      <c r="W4">
        <v>2.35</v>
      </c>
      <c r="X4" t="s">
        <v>5</v>
      </c>
      <c r="AB4">
        <v>1</v>
      </c>
      <c r="AC4">
        <v>0.9</v>
      </c>
      <c r="AD4">
        <v>1.06</v>
      </c>
      <c r="AE4">
        <v>2.3199999999999998</v>
      </c>
      <c r="AJ4">
        <v>1</v>
      </c>
      <c r="AK4">
        <v>1.1100000000000001</v>
      </c>
      <c r="AL4">
        <v>1.28</v>
      </c>
      <c r="AM4">
        <v>2.35</v>
      </c>
    </row>
    <row r="5" spans="1:39" x14ac:dyDescent="0.2">
      <c r="A5" t="s">
        <v>6</v>
      </c>
      <c r="B5" t="s">
        <v>7</v>
      </c>
      <c r="D5">
        <v>0.53</v>
      </c>
      <c r="E5">
        <v>0.55000000000000004</v>
      </c>
      <c r="F5" t="s">
        <v>5</v>
      </c>
      <c r="L5" t="s">
        <v>87</v>
      </c>
      <c r="M5" t="s">
        <v>88</v>
      </c>
      <c r="O5">
        <v>0.12</v>
      </c>
      <c r="P5">
        <v>0.15</v>
      </c>
      <c r="Q5" t="s">
        <v>5</v>
      </c>
      <c r="T5" t="s">
        <v>174</v>
      </c>
      <c r="U5" t="s">
        <v>88</v>
      </c>
      <c r="V5">
        <v>0.24</v>
      </c>
      <c r="W5">
        <v>0.26</v>
      </c>
      <c r="X5" t="s">
        <v>5</v>
      </c>
      <c r="AB5">
        <f>AB4+1</f>
        <v>2</v>
      </c>
      <c r="AC5">
        <v>0.53</v>
      </c>
      <c r="AD5">
        <v>0.12</v>
      </c>
      <c r="AE5">
        <v>0.24</v>
      </c>
      <c r="AJ5">
        <v>2</v>
      </c>
      <c r="AK5">
        <v>0.55000000000000004</v>
      </c>
      <c r="AL5">
        <v>0.15</v>
      </c>
      <c r="AM5">
        <v>0.26</v>
      </c>
    </row>
    <row r="6" spans="1:39" x14ac:dyDescent="0.2">
      <c r="A6" t="s">
        <v>8</v>
      </c>
      <c r="B6" t="s">
        <v>7</v>
      </c>
      <c r="D6">
        <v>0.1</v>
      </c>
      <c r="E6">
        <v>0.11</v>
      </c>
      <c r="F6" t="s">
        <v>5</v>
      </c>
      <c r="L6" t="s">
        <v>89</v>
      </c>
      <c r="M6" t="s">
        <v>88</v>
      </c>
      <c r="O6">
        <v>0.02</v>
      </c>
      <c r="P6">
        <v>0.04</v>
      </c>
      <c r="Q6" t="s">
        <v>5</v>
      </c>
      <c r="T6" t="s">
        <v>175</v>
      </c>
      <c r="U6" t="s">
        <v>88</v>
      </c>
      <c r="V6">
        <v>0.04</v>
      </c>
      <c r="W6">
        <v>0.06</v>
      </c>
      <c r="X6" t="s">
        <v>5</v>
      </c>
      <c r="AB6">
        <f t="shared" ref="AB6:AB69" si="0">AB5+1</f>
        <v>3</v>
      </c>
      <c r="AC6">
        <v>0.1</v>
      </c>
      <c r="AD6">
        <v>0.02</v>
      </c>
      <c r="AE6">
        <v>0.04</v>
      </c>
      <c r="AJ6">
        <v>3</v>
      </c>
      <c r="AK6">
        <v>0.11</v>
      </c>
      <c r="AL6">
        <v>0.04</v>
      </c>
      <c r="AM6">
        <v>0.06</v>
      </c>
    </row>
    <row r="7" spans="1:39" x14ac:dyDescent="0.2">
      <c r="A7" t="s">
        <v>9</v>
      </c>
      <c r="B7" t="s">
        <v>3</v>
      </c>
      <c r="C7" t="s">
        <v>4</v>
      </c>
      <c r="D7">
        <v>0.99</v>
      </c>
      <c r="E7">
        <v>1.19</v>
      </c>
      <c r="F7" t="s">
        <v>5</v>
      </c>
      <c r="L7" t="s">
        <v>90</v>
      </c>
      <c r="M7" t="s">
        <v>3</v>
      </c>
      <c r="N7" t="s">
        <v>4</v>
      </c>
      <c r="O7">
        <v>1.18</v>
      </c>
      <c r="P7">
        <v>1.4</v>
      </c>
      <c r="Q7" t="s">
        <v>5</v>
      </c>
      <c r="T7" t="s">
        <v>176</v>
      </c>
      <c r="U7" t="s">
        <v>88</v>
      </c>
      <c r="V7">
        <v>2.56</v>
      </c>
      <c r="W7">
        <v>2.59</v>
      </c>
      <c r="X7" t="s">
        <v>5</v>
      </c>
      <c r="AB7">
        <f t="shared" si="0"/>
        <v>4</v>
      </c>
      <c r="AC7">
        <v>0.99</v>
      </c>
      <c r="AD7">
        <v>1.18</v>
      </c>
      <c r="AE7">
        <v>2.56</v>
      </c>
      <c r="AJ7">
        <v>4</v>
      </c>
      <c r="AK7">
        <v>1.19</v>
      </c>
      <c r="AL7">
        <v>1.4</v>
      </c>
      <c r="AM7">
        <v>2.59</v>
      </c>
    </row>
    <row r="8" spans="1:39" x14ac:dyDescent="0.2">
      <c r="A8" t="s">
        <v>10</v>
      </c>
      <c r="B8" t="s">
        <v>7</v>
      </c>
      <c r="D8">
        <v>0.08</v>
      </c>
      <c r="E8">
        <v>0.11</v>
      </c>
      <c r="F8" t="s">
        <v>5</v>
      </c>
      <c r="L8" t="s">
        <v>91</v>
      </c>
      <c r="M8" t="s">
        <v>88</v>
      </c>
      <c r="O8">
        <v>0.01</v>
      </c>
      <c r="P8">
        <v>0.04</v>
      </c>
      <c r="Q8" t="s">
        <v>5</v>
      </c>
      <c r="T8" t="s">
        <v>177</v>
      </c>
      <c r="U8" t="s">
        <v>88</v>
      </c>
      <c r="V8">
        <v>0.02</v>
      </c>
      <c r="W8">
        <v>0.03</v>
      </c>
      <c r="X8" t="s">
        <v>5</v>
      </c>
      <c r="AB8">
        <f t="shared" si="0"/>
        <v>5</v>
      </c>
      <c r="AC8">
        <v>0.08</v>
      </c>
      <c r="AD8">
        <v>0.01</v>
      </c>
      <c r="AE8">
        <v>0.02</v>
      </c>
      <c r="AJ8">
        <v>5</v>
      </c>
      <c r="AK8">
        <v>0.11</v>
      </c>
      <c r="AL8">
        <v>0.04</v>
      </c>
      <c r="AM8">
        <v>0.03</v>
      </c>
    </row>
    <row r="9" spans="1:39" x14ac:dyDescent="0.2">
      <c r="A9" t="s">
        <v>11</v>
      </c>
      <c r="B9" t="s">
        <v>3</v>
      </c>
      <c r="C9" t="s">
        <v>4</v>
      </c>
      <c r="D9">
        <v>1.08</v>
      </c>
      <c r="E9">
        <v>1.29</v>
      </c>
      <c r="F9" t="s">
        <v>5</v>
      </c>
      <c r="L9" t="s">
        <v>92</v>
      </c>
      <c r="M9" t="s">
        <v>3</v>
      </c>
      <c r="N9" t="s">
        <v>4</v>
      </c>
      <c r="O9">
        <v>1.29</v>
      </c>
      <c r="P9">
        <v>1.48</v>
      </c>
      <c r="Q9" t="s">
        <v>5</v>
      </c>
      <c r="T9" t="s">
        <v>178</v>
      </c>
      <c r="U9" t="s">
        <v>88</v>
      </c>
      <c r="V9">
        <v>2.78</v>
      </c>
      <c r="W9">
        <v>2.8</v>
      </c>
      <c r="X9" t="s">
        <v>5</v>
      </c>
      <c r="AB9">
        <f t="shared" si="0"/>
        <v>6</v>
      </c>
      <c r="AC9">
        <v>1.08</v>
      </c>
      <c r="AD9">
        <v>1.29</v>
      </c>
      <c r="AE9">
        <v>2.78</v>
      </c>
      <c r="AJ9">
        <v>6</v>
      </c>
      <c r="AK9">
        <v>1.29</v>
      </c>
      <c r="AL9">
        <v>1.48</v>
      </c>
      <c r="AM9">
        <v>2.8</v>
      </c>
    </row>
    <row r="10" spans="1:39" x14ac:dyDescent="0.2">
      <c r="A10" t="s">
        <v>12</v>
      </c>
      <c r="B10" t="s">
        <v>3</v>
      </c>
      <c r="C10" t="s">
        <v>4</v>
      </c>
      <c r="D10">
        <v>1.1499999999999999</v>
      </c>
      <c r="E10">
        <v>1.36</v>
      </c>
      <c r="F10" t="s">
        <v>5</v>
      </c>
      <c r="L10" t="s">
        <v>93</v>
      </c>
      <c r="M10" t="s">
        <v>3</v>
      </c>
      <c r="N10" t="s">
        <v>4</v>
      </c>
      <c r="O10">
        <v>1.39</v>
      </c>
      <c r="P10">
        <v>1.6</v>
      </c>
      <c r="Q10" t="s">
        <v>5</v>
      </c>
      <c r="T10" t="s">
        <v>179</v>
      </c>
      <c r="U10" t="s">
        <v>88</v>
      </c>
      <c r="V10">
        <v>3.03</v>
      </c>
      <c r="W10">
        <v>3.06</v>
      </c>
      <c r="X10" t="s">
        <v>5</v>
      </c>
      <c r="AB10">
        <f t="shared" si="0"/>
        <v>7</v>
      </c>
      <c r="AC10">
        <v>1.1499999999999999</v>
      </c>
      <c r="AD10">
        <v>1.39</v>
      </c>
      <c r="AE10">
        <v>3.03</v>
      </c>
      <c r="AJ10">
        <v>7</v>
      </c>
      <c r="AK10">
        <v>1.36</v>
      </c>
      <c r="AL10">
        <v>1.6</v>
      </c>
      <c r="AM10">
        <v>3.06</v>
      </c>
    </row>
    <row r="11" spans="1:39" x14ac:dyDescent="0.2">
      <c r="A11" t="s">
        <v>13</v>
      </c>
      <c r="B11" t="s">
        <v>3</v>
      </c>
      <c r="C11" t="s">
        <v>4</v>
      </c>
      <c r="D11">
        <v>1.07</v>
      </c>
      <c r="E11">
        <v>1.3</v>
      </c>
      <c r="F11" t="s">
        <v>5</v>
      </c>
      <c r="L11" t="s">
        <v>94</v>
      </c>
      <c r="M11" t="s">
        <v>3</v>
      </c>
      <c r="N11" t="s">
        <v>4</v>
      </c>
      <c r="O11">
        <v>1.52</v>
      </c>
      <c r="P11">
        <v>1.73</v>
      </c>
      <c r="Q11" t="s">
        <v>5</v>
      </c>
      <c r="T11" t="s">
        <v>180</v>
      </c>
      <c r="U11" t="s">
        <v>88</v>
      </c>
      <c r="V11">
        <v>3.25</v>
      </c>
      <c r="W11">
        <v>3.29</v>
      </c>
      <c r="X11" t="s">
        <v>5</v>
      </c>
      <c r="AB11">
        <f t="shared" si="0"/>
        <v>8</v>
      </c>
      <c r="AC11">
        <v>1.07</v>
      </c>
      <c r="AD11">
        <v>1.52</v>
      </c>
      <c r="AE11">
        <v>3.25</v>
      </c>
      <c r="AJ11">
        <v>8</v>
      </c>
      <c r="AK11">
        <v>1.3</v>
      </c>
      <c r="AL11">
        <v>1.73</v>
      </c>
      <c r="AM11">
        <v>3.29</v>
      </c>
    </row>
    <row r="12" spans="1:39" x14ac:dyDescent="0.2">
      <c r="A12" t="s">
        <v>14</v>
      </c>
      <c r="B12" t="s">
        <v>3</v>
      </c>
      <c r="C12" t="s">
        <v>4</v>
      </c>
      <c r="D12">
        <v>1.1399999999999999</v>
      </c>
      <c r="E12">
        <v>1.36</v>
      </c>
      <c r="F12" t="s">
        <v>5</v>
      </c>
      <c r="L12" t="s">
        <v>95</v>
      </c>
      <c r="M12" t="s">
        <v>3</v>
      </c>
      <c r="N12" t="s">
        <v>4</v>
      </c>
      <c r="O12">
        <v>1.63</v>
      </c>
      <c r="P12">
        <v>1.82</v>
      </c>
      <c r="Q12" t="s">
        <v>5</v>
      </c>
      <c r="T12" t="s">
        <v>181</v>
      </c>
      <c r="U12" t="s">
        <v>88</v>
      </c>
      <c r="V12">
        <v>3.49</v>
      </c>
      <c r="W12">
        <v>3.51</v>
      </c>
      <c r="X12" t="s">
        <v>5</v>
      </c>
      <c r="AB12">
        <f t="shared" si="0"/>
        <v>9</v>
      </c>
      <c r="AC12">
        <v>1.1399999999999999</v>
      </c>
      <c r="AD12">
        <v>1.63</v>
      </c>
      <c r="AE12">
        <v>3.49</v>
      </c>
      <c r="AJ12">
        <v>9</v>
      </c>
      <c r="AK12">
        <v>1.36</v>
      </c>
      <c r="AL12">
        <v>1.82</v>
      </c>
      <c r="AM12">
        <v>3.51</v>
      </c>
    </row>
    <row r="13" spans="1:39" x14ac:dyDescent="0.2">
      <c r="A13" t="s">
        <v>15</v>
      </c>
      <c r="B13" t="s">
        <v>3</v>
      </c>
      <c r="C13" t="s">
        <v>4</v>
      </c>
      <c r="D13">
        <v>1.22</v>
      </c>
      <c r="E13">
        <v>1.41</v>
      </c>
      <c r="F13" t="s">
        <v>5</v>
      </c>
      <c r="L13" t="s">
        <v>96</v>
      </c>
      <c r="M13" t="s">
        <v>3</v>
      </c>
      <c r="N13" t="s">
        <v>4</v>
      </c>
      <c r="O13">
        <v>1.74</v>
      </c>
      <c r="P13">
        <v>1.94</v>
      </c>
      <c r="Q13" t="s">
        <v>5</v>
      </c>
      <c r="T13" t="s">
        <v>182</v>
      </c>
      <c r="U13" t="s">
        <v>88</v>
      </c>
      <c r="V13">
        <v>3.72</v>
      </c>
      <c r="W13">
        <v>3.75</v>
      </c>
      <c r="X13" t="s">
        <v>5</v>
      </c>
      <c r="AB13">
        <f t="shared" si="0"/>
        <v>10</v>
      </c>
      <c r="AC13">
        <v>1.22</v>
      </c>
      <c r="AD13">
        <v>1.74</v>
      </c>
      <c r="AE13">
        <v>3.72</v>
      </c>
      <c r="AJ13">
        <v>10</v>
      </c>
      <c r="AK13">
        <v>1.41</v>
      </c>
      <c r="AL13">
        <v>1.94</v>
      </c>
      <c r="AM13">
        <v>3.75</v>
      </c>
    </row>
    <row r="14" spans="1:39" x14ac:dyDescent="0.2">
      <c r="A14" t="s">
        <v>16</v>
      </c>
      <c r="B14" t="s">
        <v>3</v>
      </c>
      <c r="C14" t="s">
        <v>4</v>
      </c>
      <c r="D14">
        <v>1.29</v>
      </c>
      <c r="E14">
        <v>1.51</v>
      </c>
      <c r="F14" t="s">
        <v>5</v>
      </c>
      <c r="L14" t="s">
        <v>97</v>
      </c>
      <c r="M14" t="s">
        <v>3</v>
      </c>
      <c r="N14" t="s">
        <v>4</v>
      </c>
      <c r="O14">
        <v>1.86</v>
      </c>
      <c r="P14">
        <v>2.08</v>
      </c>
      <c r="Q14" t="s">
        <v>5</v>
      </c>
      <c r="T14" t="s">
        <v>183</v>
      </c>
      <c r="U14" t="s">
        <v>88</v>
      </c>
      <c r="V14">
        <v>3.98</v>
      </c>
      <c r="W14">
        <v>4.01</v>
      </c>
      <c r="X14" t="s">
        <v>5</v>
      </c>
      <c r="AB14">
        <f t="shared" si="0"/>
        <v>11</v>
      </c>
      <c r="AC14">
        <v>1.29</v>
      </c>
      <c r="AD14">
        <v>1.86</v>
      </c>
      <c r="AE14">
        <v>3.98</v>
      </c>
      <c r="AJ14">
        <v>11</v>
      </c>
      <c r="AK14">
        <v>1.51</v>
      </c>
      <c r="AL14">
        <v>2.08</v>
      </c>
      <c r="AM14">
        <v>4.01</v>
      </c>
    </row>
    <row r="15" spans="1:39" x14ac:dyDescent="0.2">
      <c r="A15" t="s">
        <v>17</v>
      </c>
      <c r="B15" t="s">
        <v>3</v>
      </c>
      <c r="C15" t="s">
        <v>4</v>
      </c>
      <c r="D15">
        <v>1.38</v>
      </c>
      <c r="E15">
        <v>1.6</v>
      </c>
      <c r="F15" t="s">
        <v>5</v>
      </c>
      <c r="L15" t="s">
        <v>98</v>
      </c>
      <c r="M15" t="s">
        <v>3</v>
      </c>
      <c r="N15" t="s">
        <v>4</v>
      </c>
      <c r="O15">
        <v>1.98</v>
      </c>
      <c r="P15">
        <v>2.19</v>
      </c>
      <c r="Q15" t="s">
        <v>5</v>
      </c>
      <c r="T15" t="s">
        <v>184</v>
      </c>
      <c r="U15" t="s">
        <v>88</v>
      </c>
      <c r="V15">
        <v>4.2</v>
      </c>
      <c r="W15">
        <v>4.2300000000000004</v>
      </c>
      <c r="X15" t="s">
        <v>5</v>
      </c>
      <c r="AB15">
        <f t="shared" si="0"/>
        <v>12</v>
      </c>
      <c r="AC15">
        <v>1.38</v>
      </c>
      <c r="AD15">
        <v>1.98</v>
      </c>
      <c r="AE15">
        <v>4.2</v>
      </c>
      <c r="AJ15">
        <v>12</v>
      </c>
      <c r="AK15">
        <v>1.6</v>
      </c>
      <c r="AL15">
        <v>2.19</v>
      </c>
      <c r="AM15">
        <v>4.2300000000000004</v>
      </c>
    </row>
    <row r="16" spans="1:39" x14ac:dyDescent="0.2">
      <c r="A16" t="s">
        <v>18</v>
      </c>
      <c r="B16" t="s">
        <v>3</v>
      </c>
      <c r="C16" t="s">
        <v>4</v>
      </c>
      <c r="D16">
        <v>1.44</v>
      </c>
      <c r="E16">
        <v>1.65</v>
      </c>
      <c r="F16" t="s">
        <v>5</v>
      </c>
      <c r="L16" t="s">
        <v>99</v>
      </c>
      <c r="M16" t="s">
        <v>3</v>
      </c>
      <c r="N16" t="s">
        <v>4</v>
      </c>
      <c r="O16">
        <v>2.09</v>
      </c>
      <c r="P16">
        <v>2.3199999999999998</v>
      </c>
      <c r="Q16" t="s">
        <v>5</v>
      </c>
      <c r="T16" t="s">
        <v>185</v>
      </c>
      <c r="U16" t="s">
        <v>88</v>
      </c>
      <c r="V16">
        <v>4.42</v>
      </c>
      <c r="W16">
        <v>4.4400000000000004</v>
      </c>
      <c r="X16" t="s">
        <v>5</v>
      </c>
      <c r="AB16">
        <f t="shared" si="0"/>
        <v>13</v>
      </c>
      <c r="AC16">
        <v>1.44</v>
      </c>
      <c r="AD16">
        <v>2.09</v>
      </c>
      <c r="AE16">
        <v>4.42</v>
      </c>
      <c r="AJ16">
        <v>13</v>
      </c>
      <c r="AK16">
        <v>1.65</v>
      </c>
      <c r="AL16">
        <v>2.3199999999999998</v>
      </c>
      <c r="AM16">
        <v>4.4400000000000004</v>
      </c>
    </row>
    <row r="17" spans="1:39" x14ac:dyDescent="0.2">
      <c r="A17" t="s">
        <v>19</v>
      </c>
      <c r="B17" t="s">
        <v>7</v>
      </c>
      <c r="D17">
        <v>0.08</v>
      </c>
      <c r="E17">
        <v>0.11</v>
      </c>
      <c r="F17" t="s">
        <v>5</v>
      </c>
      <c r="L17" t="s">
        <v>100</v>
      </c>
      <c r="M17" t="s">
        <v>88</v>
      </c>
      <c r="O17">
        <v>0</v>
      </c>
      <c r="P17">
        <v>0.03</v>
      </c>
      <c r="Q17" t="s">
        <v>5</v>
      </c>
      <c r="T17" t="s">
        <v>186</v>
      </c>
      <c r="U17" t="s">
        <v>88</v>
      </c>
      <c r="V17">
        <v>0.02</v>
      </c>
      <c r="W17">
        <v>0.04</v>
      </c>
      <c r="X17" t="s">
        <v>5</v>
      </c>
      <c r="AB17">
        <f t="shared" si="0"/>
        <v>14</v>
      </c>
      <c r="AC17">
        <v>0.08</v>
      </c>
      <c r="AD17">
        <v>0</v>
      </c>
      <c r="AE17">
        <v>0.02</v>
      </c>
      <c r="AJ17">
        <v>14</v>
      </c>
      <c r="AK17">
        <v>0.11</v>
      </c>
      <c r="AL17">
        <v>0.03</v>
      </c>
      <c r="AM17">
        <v>0.04</v>
      </c>
    </row>
    <row r="18" spans="1:39" x14ac:dyDescent="0.2">
      <c r="A18" t="s">
        <v>20</v>
      </c>
      <c r="B18" t="s">
        <v>3</v>
      </c>
      <c r="C18" t="s">
        <v>4</v>
      </c>
      <c r="D18">
        <v>1.52</v>
      </c>
      <c r="E18">
        <v>1.73</v>
      </c>
      <c r="F18" t="s">
        <v>5</v>
      </c>
      <c r="L18" t="s">
        <v>101</v>
      </c>
      <c r="M18" t="s">
        <v>3</v>
      </c>
      <c r="N18" t="s">
        <v>4</v>
      </c>
      <c r="O18">
        <v>2.2200000000000002</v>
      </c>
      <c r="P18">
        <v>2.42</v>
      </c>
      <c r="Q18" t="s">
        <v>5</v>
      </c>
      <c r="T18" t="s">
        <v>187</v>
      </c>
      <c r="U18" t="s">
        <v>88</v>
      </c>
      <c r="V18">
        <v>4.66</v>
      </c>
      <c r="W18">
        <v>4.7</v>
      </c>
      <c r="X18" t="s">
        <v>5</v>
      </c>
      <c r="AB18">
        <f t="shared" si="0"/>
        <v>15</v>
      </c>
      <c r="AC18">
        <v>1.52</v>
      </c>
      <c r="AD18">
        <v>2.2200000000000002</v>
      </c>
      <c r="AE18">
        <v>4.66</v>
      </c>
      <c r="AJ18">
        <v>15</v>
      </c>
      <c r="AK18">
        <v>1.73</v>
      </c>
      <c r="AL18">
        <v>2.42</v>
      </c>
      <c r="AM18">
        <v>4.7</v>
      </c>
    </row>
    <row r="19" spans="1:39" x14ac:dyDescent="0.2">
      <c r="A19" t="s">
        <v>21</v>
      </c>
      <c r="B19" t="s">
        <v>7</v>
      </c>
      <c r="D19">
        <v>1.67</v>
      </c>
      <c r="E19">
        <v>1.69</v>
      </c>
      <c r="F19" t="s">
        <v>5</v>
      </c>
      <c r="L19" t="s">
        <v>102</v>
      </c>
      <c r="M19" t="s">
        <v>88</v>
      </c>
      <c r="O19">
        <v>0.23</v>
      </c>
      <c r="P19">
        <v>0.26</v>
      </c>
      <c r="Q19" t="s">
        <v>5</v>
      </c>
      <c r="T19" t="s">
        <v>188</v>
      </c>
      <c r="U19" t="s">
        <v>88</v>
      </c>
      <c r="V19">
        <v>0.48</v>
      </c>
      <c r="W19">
        <v>0.51</v>
      </c>
      <c r="X19" t="s">
        <v>5</v>
      </c>
      <c r="AB19">
        <f t="shared" si="0"/>
        <v>16</v>
      </c>
      <c r="AC19">
        <v>1.67</v>
      </c>
      <c r="AD19">
        <v>0.23</v>
      </c>
      <c r="AE19">
        <v>0.48</v>
      </c>
      <c r="AJ19">
        <v>16</v>
      </c>
      <c r="AK19">
        <v>1.69</v>
      </c>
      <c r="AL19">
        <v>0.26</v>
      </c>
      <c r="AM19">
        <v>0.51</v>
      </c>
    </row>
    <row r="20" spans="1:39" x14ac:dyDescent="0.2">
      <c r="A20" t="s">
        <v>22</v>
      </c>
      <c r="B20" t="s">
        <v>7</v>
      </c>
      <c r="D20">
        <v>0.12</v>
      </c>
      <c r="E20">
        <v>0.16</v>
      </c>
      <c r="F20" t="s">
        <v>5</v>
      </c>
      <c r="L20" t="s">
        <v>103</v>
      </c>
      <c r="M20" t="s">
        <v>88</v>
      </c>
      <c r="O20">
        <v>0.03</v>
      </c>
      <c r="P20">
        <v>7.0000000000000007E-2</v>
      </c>
      <c r="Q20" t="s">
        <v>5</v>
      </c>
      <c r="T20" t="s">
        <v>189</v>
      </c>
      <c r="U20" t="s">
        <v>88</v>
      </c>
      <c r="V20">
        <v>0.06</v>
      </c>
      <c r="W20">
        <v>0.08</v>
      </c>
      <c r="X20" t="s">
        <v>5</v>
      </c>
      <c r="AB20">
        <f t="shared" si="0"/>
        <v>17</v>
      </c>
      <c r="AC20">
        <v>0.12</v>
      </c>
      <c r="AD20">
        <v>0.03</v>
      </c>
      <c r="AE20">
        <v>0.06</v>
      </c>
      <c r="AJ20">
        <v>17</v>
      </c>
      <c r="AK20">
        <v>0.16</v>
      </c>
      <c r="AL20">
        <v>7.0000000000000007E-2</v>
      </c>
      <c r="AM20">
        <v>0.08</v>
      </c>
    </row>
    <row r="21" spans="1:39" x14ac:dyDescent="0.2">
      <c r="A21" t="s">
        <v>23</v>
      </c>
      <c r="B21" t="s">
        <v>3</v>
      </c>
      <c r="C21" t="s">
        <v>4</v>
      </c>
      <c r="D21">
        <v>1.6</v>
      </c>
      <c r="E21">
        <v>1.83</v>
      </c>
      <c r="F21" t="s">
        <v>5</v>
      </c>
      <c r="L21" t="s">
        <v>104</v>
      </c>
      <c r="M21" t="s">
        <v>3</v>
      </c>
      <c r="N21" t="s">
        <v>4</v>
      </c>
      <c r="O21">
        <v>2.31</v>
      </c>
      <c r="P21">
        <v>2.5299999999999998</v>
      </c>
      <c r="Q21" t="s">
        <v>5</v>
      </c>
      <c r="T21" t="s">
        <v>190</v>
      </c>
      <c r="U21" t="s">
        <v>88</v>
      </c>
      <c r="V21">
        <v>4.88</v>
      </c>
      <c r="W21">
        <v>4.91</v>
      </c>
      <c r="X21" t="s">
        <v>5</v>
      </c>
      <c r="AB21">
        <f t="shared" si="0"/>
        <v>18</v>
      </c>
      <c r="AC21">
        <v>1.6</v>
      </c>
      <c r="AD21">
        <v>2.31</v>
      </c>
      <c r="AE21">
        <v>4.88</v>
      </c>
      <c r="AJ21">
        <v>18</v>
      </c>
      <c r="AK21">
        <v>1.83</v>
      </c>
      <c r="AL21">
        <v>2.5299999999999998</v>
      </c>
      <c r="AM21">
        <v>4.91</v>
      </c>
    </row>
    <row r="22" spans="1:39" x14ac:dyDescent="0.2">
      <c r="A22" t="s">
        <v>24</v>
      </c>
      <c r="B22" t="s">
        <v>7</v>
      </c>
      <c r="D22">
        <v>0.09</v>
      </c>
      <c r="E22">
        <v>0.12</v>
      </c>
      <c r="F22" t="s">
        <v>5</v>
      </c>
      <c r="L22" t="s">
        <v>105</v>
      </c>
      <c r="M22" t="s">
        <v>88</v>
      </c>
      <c r="O22">
        <v>0.01</v>
      </c>
      <c r="P22">
        <v>7.0000000000000007E-2</v>
      </c>
      <c r="Q22" t="s">
        <v>5</v>
      </c>
      <c r="T22" t="s">
        <v>191</v>
      </c>
      <c r="U22" t="s">
        <v>88</v>
      </c>
      <c r="V22">
        <v>0.02</v>
      </c>
      <c r="W22">
        <v>0.05</v>
      </c>
      <c r="X22" t="s">
        <v>5</v>
      </c>
      <c r="AB22">
        <f t="shared" si="0"/>
        <v>19</v>
      </c>
      <c r="AC22">
        <v>0.09</v>
      </c>
      <c r="AD22">
        <v>0.01</v>
      </c>
      <c r="AE22">
        <v>0.02</v>
      </c>
      <c r="AJ22">
        <v>19</v>
      </c>
      <c r="AK22">
        <v>0.12</v>
      </c>
      <c r="AL22">
        <v>7.0000000000000007E-2</v>
      </c>
      <c r="AM22">
        <v>0.05</v>
      </c>
    </row>
    <row r="23" spans="1:39" x14ac:dyDescent="0.2">
      <c r="A23" t="s">
        <v>25</v>
      </c>
      <c r="B23" t="s">
        <v>3</v>
      </c>
      <c r="C23" t="s">
        <v>4</v>
      </c>
      <c r="D23">
        <v>1.67</v>
      </c>
      <c r="E23">
        <v>1.87</v>
      </c>
      <c r="F23" t="s">
        <v>5</v>
      </c>
      <c r="L23" t="s">
        <v>106</v>
      </c>
      <c r="M23" t="s">
        <v>3</v>
      </c>
      <c r="N23" t="s">
        <v>4</v>
      </c>
      <c r="O23">
        <v>2.4300000000000002</v>
      </c>
      <c r="P23">
        <v>2.63</v>
      </c>
      <c r="Q23" t="s">
        <v>5</v>
      </c>
      <c r="T23" t="s">
        <v>192</v>
      </c>
      <c r="U23" t="s">
        <v>88</v>
      </c>
      <c r="V23">
        <v>5.12</v>
      </c>
      <c r="W23">
        <v>5.16</v>
      </c>
      <c r="X23" t="s">
        <v>5</v>
      </c>
      <c r="AB23">
        <f t="shared" si="0"/>
        <v>20</v>
      </c>
      <c r="AC23">
        <v>1.67</v>
      </c>
      <c r="AD23">
        <v>2.4300000000000002</v>
      </c>
      <c r="AE23">
        <v>5.12</v>
      </c>
      <c r="AJ23">
        <v>20</v>
      </c>
      <c r="AK23">
        <v>1.87</v>
      </c>
      <c r="AL23">
        <v>2.63</v>
      </c>
      <c r="AM23">
        <v>5.16</v>
      </c>
    </row>
    <row r="24" spans="1:39" x14ac:dyDescent="0.2">
      <c r="A24" t="s">
        <v>26</v>
      </c>
      <c r="B24" t="s">
        <v>3</v>
      </c>
      <c r="C24" t="s">
        <v>4</v>
      </c>
      <c r="D24">
        <v>1.79</v>
      </c>
      <c r="E24">
        <v>2</v>
      </c>
      <c r="F24" t="s">
        <v>5</v>
      </c>
      <c r="L24" t="s">
        <v>107</v>
      </c>
      <c r="M24" t="s">
        <v>3</v>
      </c>
      <c r="N24" t="s">
        <v>4</v>
      </c>
      <c r="O24">
        <v>2.5499999999999998</v>
      </c>
      <c r="P24">
        <v>2.76</v>
      </c>
      <c r="Q24" t="s">
        <v>5</v>
      </c>
      <c r="T24" t="s">
        <v>193</v>
      </c>
      <c r="U24" t="s">
        <v>88</v>
      </c>
      <c r="V24">
        <v>5.36</v>
      </c>
      <c r="W24">
        <v>5.38</v>
      </c>
      <c r="X24" t="s">
        <v>5</v>
      </c>
      <c r="AB24">
        <f t="shared" si="0"/>
        <v>21</v>
      </c>
      <c r="AC24">
        <v>1.79</v>
      </c>
      <c r="AD24">
        <v>2.5499999999999998</v>
      </c>
      <c r="AE24">
        <v>5.36</v>
      </c>
      <c r="AJ24">
        <v>21</v>
      </c>
      <c r="AK24">
        <v>2</v>
      </c>
      <c r="AL24">
        <v>2.76</v>
      </c>
      <c r="AM24">
        <v>5.38</v>
      </c>
    </row>
    <row r="25" spans="1:39" x14ac:dyDescent="0.2">
      <c r="A25" t="s">
        <v>27</v>
      </c>
      <c r="B25" t="s">
        <v>3</v>
      </c>
      <c r="C25" t="s">
        <v>4</v>
      </c>
      <c r="D25">
        <v>1.82</v>
      </c>
      <c r="E25">
        <v>2.0299999999999998</v>
      </c>
      <c r="F25" t="s">
        <v>5</v>
      </c>
      <c r="L25" t="s">
        <v>108</v>
      </c>
      <c r="M25" t="s">
        <v>3</v>
      </c>
      <c r="N25" t="s">
        <v>4</v>
      </c>
      <c r="O25">
        <v>2.67</v>
      </c>
      <c r="P25">
        <v>2.87</v>
      </c>
      <c r="Q25" t="s">
        <v>5</v>
      </c>
      <c r="T25" t="s">
        <v>194</v>
      </c>
      <c r="U25" t="s">
        <v>88</v>
      </c>
      <c r="V25">
        <v>5.61</v>
      </c>
      <c r="W25">
        <v>5.64</v>
      </c>
      <c r="X25" t="s">
        <v>5</v>
      </c>
      <c r="AB25">
        <f t="shared" si="0"/>
        <v>22</v>
      </c>
      <c r="AC25">
        <v>1.82</v>
      </c>
      <c r="AD25">
        <v>2.67</v>
      </c>
      <c r="AE25">
        <v>5.61</v>
      </c>
      <c r="AJ25">
        <v>22</v>
      </c>
      <c r="AK25">
        <v>2.0299999999999998</v>
      </c>
      <c r="AL25">
        <v>2.87</v>
      </c>
      <c r="AM25">
        <v>5.64</v>
      </c>
    </row>
    <row r="26" spans="1:39" x14ac:dyDescent="0.2">
      <c r="A26" t="s">
        <v>28</v>
      </c>
      <c r="B26" t="s">
        <v>3</v>
      </c>
      <c r="C26" t="s">
        <v>4</v>
      </c>
      <c r="D26">
        <v>1.91</v>
      </c>
      <c r="E26">
        <v>2.11</v>
      </c>
      <c r="F26" t="s">
        <v>5</v>
      </c>
      <c r="L26" t="s">
        <v>109</v>
      </c>
      <c r="M26" t="s">
        <v>3</v>
      </c>
      <c r="N26" t="s">
        <v>4</v>
      </c>
      <c r="O26">
        <v>2.81</v>
      </c>
      <c r="P26">
        <v>3.03</v>
      </c>
      <c r="Q26" t="s">
        <v>5</v>
      </c>
      <c r="T26" t="s">
        <v>195</v>
      </c>
      <c r="U26" t="s">
        <v>88</v>
      </c>
      <c r="V26">
        <v>5.85</v>
      </c>
      <c r="W26">
        <v>5.88</v>
      </c>
      <c r="X26" t="s">
        <v>5</v>
      </c>
      <c r="AB26">
        <f t="shared" si="0"/>
        <v>23</v>
      </c>
      <c r="AC26">
        <v>1.91</v>
      </c>
      <c r="AD26">
        <v>2.81</v>
      </c>
      <c r="AE26">
        <v>5.85</v>
      </c>
      <c r="AJ26">
        <v>23</v>
      </c>
      <c r="AK26">
        <v>2.11</v>
      </c>
      <c r="AL26">
        <v>3.03</v>
      </c>
      <c r="AM26">
        <v>5.88</v>
      </c>
    </row>
    <row r="27" spans="1:39" x14ac:dyDescent="0.2">
      <c r="A27" t="s">
        <v>29</v>
      </c>
      <c r="B27" t="s">
        <v>3</v>
      </c>
      <c r="C27" t="s">
        <v>4</v>
      </c>
      <c r="D27">
        <v>2.0099999999999998</v>
      </c>
      <c r="E27">
        <v>2.21</v>
      </c>
      <c r="F27" t="s">
        <v>5</v>
      </c>
      <c r="L27" t="s">
        <v>110</v>
      </c>
      <c r="M27" t="s">
        <v>3</v>
      </c>
      <c r="N27" t="s">
        <v>4</v>
      </c>
      <c r="O27">
        <v>2.9</v>
      </c>
      <c r="P27">
        <v>3.1</v>
      </c>
      <c r="Q27" t="s">
        <v>5</v>
      </c>
      <c r="T27" t="s">
        <v>196</v>
      </c>
      <c r="U27" t="s">
        <v>88</v>
      </c>
      <c r="V27">
        <v>6.08</v>
      </c>
      <c r="W27">
        <v>6.1</v>
      </c>
      <c r="X27" t="s">
        <v>5</v>
      </c>
      <c r="AB27">
        <f t="shared" si="0"/>
        <v>24</v>
      </c>
      <c r="AC27">
        <v>2.0099999999999998</v>
      </c>
      <c r="AD27">
        <v>2.9</v>
      </c>
      <c r="AE27">
        <v>6.08</v>
      </c>
      <c r="AJ27">
        <v>24</v>
      </c>
      <c r="AK27">
        <v>2.21</v>
      </c>
      <c r="AL27">
        <v>3.1</v>
      </c>
      <c r="AM27">
        <v>6.1</v>
      </c>
    </row>
    <row r="28" spans="1:39" x14ac:dyDescent="0.2">
      <c r="A28" t="s">
        <v>30</v>
      </c>
      <c r="B28" t="s">
        <v>3</v>
      </c>
      <c r="C28" t="s">
        <v>4</v>
      </c>
      <c r="D28">
        <v>2.0699999999999998</v>
      </c>
      <c r="E28">
        <v>2.27</v>
      </c>
      <c r="F28" t="s">
        <v>5</v>
      </c>
      <c r="L28" t="s">
        <v>111</v>
      </c>
      <c r="M28" t="s">
        <v>3</v>
      </c>
      <c r="N28" t="s">
        <v>4</v>
      </c>
      <c r="O28">
        <v>3.03</v>
      </c>
      <c r="P28">
        <v>3.24</v>
      </c>
      <c r="Q28" t="s">
        <v>5</v>
      </c>
      <c r="T28" t="s">
        <v>197</v>
      </c>
      <c r="U28" t="s">
        <v>88</v>
      </c>
      <c r="V28">
        <v>6.35</v>
      </c>
      <c r="W28">
        <v>6.39</v>
      </c>
      <c r="X28" t="s">
        <v>5</v>
      </c>
      <c r="AB28">
        <f t="shared" si="0"/>
        <v>25</v>
      </c>
      <c r="AC28">
        <v>2.0699999999999998</v>
      </c>
      <c r="AD28">
        <v>3.03</v>
      </c>
      <c r="AE28">
        <v>6.35</v>
      </c>
      <c r="AJ28">
        <v>25</v>
      </c>
      <c r="AK28">
        <v>2.27</v>
      </c>
      <c r="AL28">
        <v>3.24</v>
      </c>
      <c r="AM28">
        <v>6.39</v>
      </c>
    </row>
    <row r="29" spans="1:39" x14ac:dyDescent="0.2">
      <c r="A29" t="s">
        <v>31</v>
      </c>
      <c r="B29" t="s">
        <v>3</v>
      </c>
      <c r="C29" t="s">
        <v>4</v>
      </c>
      <c r="D29">
        <v>2.15</v>
      </c>
      <c r="E29">
        <v>2.35</v>
      </c>
      <c r="F29" t="s">
        <v>5</v>
      </c>
      <c r="L29" t="s">
        <v>112</v>
      </c>
      <c r="M29" t="s">
        <v>3</v>
      </c>
      <c r="N29" t="s">
        <v>4</v>
      </c>
      <c r="O29">
        <v>3.13</v>
      </c>
      <c r="P29">
        <v>3.34</v>
      </c>
      <c r="Q29" t="s">
        <v>5</v>
      </c>
      <c r="T29" t="s">
        <v>198</v>
      </c>
      <c r="U29" t="s">
        <v>88</v>
      </c>
      <c r="V29">
        <v>6.53</v>
      </c>
      <c r="W29">
        <v>6.56</v>
      </c>
      <c r="X29" t="s">
        <v>5</v>
      </c>
      <c r="AB29">
        <f t="shared" si="0"/>
        <v>26</v>
      </c>
      <c r="AC29">
        <v>2.15</v>
      </c>
      <c r="AD29">
        <v>3.13</v>
      </c>
      <c r="AE29">
        <v>6.53</v>
      </c>
      <c r="AJ29">
        <v>26</v>
      </c>
      <c r="AK29">
        <v>2.35</v>
      </c>
      <c r="AL29">
        <v>3.34</v>
      </c>
      <c r="AM29">
        <v>6.56</v>
      </c>
    </row>
    <row r="30" spans="1:39" x14ac:dyDescent="0.2">
      <c r="A30" t="s">
        <v>32</v>
      </c>
      <c r="B30" t="s">
        <v>3</v>
      </c>
      <c r="C30" t="s">
        <v>4</v>
      </c>
      <c r="D30">
        <v>2.2200000000000002</v>
      </c>
      <c r="E30">
        <v>2.4300000000000002</v>
      </c>
      <c r="F30" t="s">
        <v>5</v>
      </c>
      <c r="L30" t="s">
        <v>113</v>
      </c>
      <c r="M30" t="s">
        <v>3</v>
      </c>
      <c r="N30" t="s">
        <v>4</v>
      </c>
      <c r="O30">
        <v>3.27</v>
      </c>
      <c r="P30">
        <v>3.47</v>
      </c>
      <c r="Q30" t="s">
        <v>5</v>
      </c>
      <c r="T30" t="s">
        <v>199</v>
      </c>
      <c r="U30" t="s">
        <v>88</v>
      </c>
      <c r="V30">
        <v>6.79</v>
      </c>
      <c r="W30">
        <v>6.82</v>
      </c>
      <c r="X30" t="s">
        <v>5</v>
      </c>
      <c r="AB30">
        <f t="shared" si="0"/>
        <v>27</v>
      </c>
      <c r="AC30">
        <v>2.2200000000000002</v>
      </c>
      <c r="AD30">
        <v>3.27</v>
      </c>
      <c r="AE30">
        <v>6.79</v>
      </c>
      <c r="AJ30">
        <v>27</v>
      </c>
      <c r="AK30">
        <v>2.4300000000000002</v>
      </c>
      <c r="AL30">
        <v>3.47</v>
      </c>
      <c r="AM30">
        <v>6.82</v>
      </c>
    </row>
    <row r="31" spans="1:39" x14ac:dyDescent="0.2">
      <c r="A31" t="s">
        <v>33</v>
      </c>
      <c r="B31" t="s">
        <v>3</v>
      </c>
      <c r="C31" t="s">
        <v>4</v>
      </c>
      <c r="D31">
        <v>2.27</v>
      </c>
      <c r="E31">
        <v>2.44</v>
      </c>
      <c r="F31" t="s">
        <v>5</v>
      </c>
      <c r="L31" t="s">
        <v>114</v>
      </c>
      <c r="M31" t="s">
        <v>3</v>
      </c>
      <c r="N31" t="s">
        <v>4</v>
      </c>
      <c r="O31">
        <v>3.35</v>
      </c>
      <c r="P31">
        <v>3.56</v>
      </c>
      <c r="Q31" t="s">
        <v>5</v>
      </c>
      <c r="T31" t="s">
        <v>200</v>
      </c>
      <c r="U31" t="s">
        <v>88</v>
      </c>
      <c r="V31">
        <v>6.97</v>
      </c>
      <c r="W31">
        <v>6.99</v>
      </c>
      <c r="X31" t="s">
        <v>5</v>
      </c>
      <c r="AB31">
        <f t="shared" si="0"/>
        <v>28</v>
      </c>
      <c r="AC31">
        <v>2.27</v>
      </c>
      <c r="AD31">
        <v>3.35</v>
      </c>
      <c r="AE31">
        <v>6.97</v>
      </c>
      <c r="AJ31">
        <v>28</v>
      </c>
      <c r="AK31">
        <v>2.44</v>
      </c>
      <c r="AL31">
        <v>3.56</v>
      </c>
      <c r="AM31">
        <v>6.99</v>
      </c>
    </row>
    <row r="32" spans="1:39" x14ac:dyDescent="0.2">
      <c r="A32" t="s">
        <v>34</v>
      </c>
      <c r="B32" t="s">
        <v>7</v>
      </c>
      <c r="D32">
        <v>3.52</v>
      </c>
      <c r="E32">
        <v>3.56</v>
      </c>
      <c r="F32" t="s">
        <v>5</v>
      </c>
      <c r="L32" t="s">
        <v>115</v>
      </c>
      <c r="M32" t="s">
        <v>88</v>
      </c>
      <c r="O32">
        <v>0.36</v>
      </c>
      <c r="P32">
        <v>0.4</v>
      </c>
      <c r="Q32" t="s">
        <v>5</v>
      </c>
      <c r="T32" t="s">
        <v>201</v>
      </c>
      <c r="U32" t="s">
        <v>88</v>
      </c>
      <c r="V32">
        <v>0.71</v>
      </c>
      <c r="W32">
        <v>0.73</v>
      </c>
      <c r="X32" t="s">
        <v>5</v>
      </c>
      <c r="AB32">
        <f t="shared" si="0"/>
        <v>29</v>
      </c>
      <c r="AC32">
        <v>3.52</v>
      </c>
      <c r="AD32">
        <v>0.36</v>
      </c>
      <c r="AE32">
        <v>0.71</v>
      </c>
      <c r="AJ32">
        <v>29</v>
      </c>
      <c r="AK32">
        <v>3.56</v>
      </c>
      <c r="AL32">
        <v>0.4</v>
      </c>
      <c r="AM32">
        <v>0.73</v>
      </c>
    </row>
    <row r="33" spans="1:39" x14ac:dyDescent="0.2">
      <c r="A33" t="s">
        <v>35</v>
      </c>
      <c r="B33" t="s">
        <v>7</v>
      </c>
      <c r="D33">
        <v>0.15</v>
      </c>
      <c r="E33">
        <v>0.17</v>
      </c>
      <c r="F33" t="s">
        <v>5</v>
      </c>
      <c r="L33" t="s">
        <v>116</v>
      </c>
      <c r="M33" t="s">
        <v>88</v>
      </c>
      <c r="O33">
        <v>0.04</v>
      </c>
      <c r="P33">
        <v>0.09</v>
      </c>
      <c r="Q33" t="s">
        <v>5</v>
      </c>
      <c r="T33" t="s">
        <v>202</v>
      </c>
      <c r="U33" t="s">
        <v>88</v>
      </c>
      <c r="V33">
        <v>0.09</v>
      </c>
      <c r="W33">
        <v>0.11</v>
      </c>
      <c r="X33" t="s">
        <v>5</v>
      </c>
      <c r="AB33">
        <f t="shared" si="0"/>
        <v>30</v>
      </c>
      <c r="AC33">
        <v>0.15</v>
      </c>
      <c r="AD33">
        <v>0.04</v>
      </c>
      <c r="AE33">
        <v>0.09</v>
      </c>
      <c r="AJ33">
        <v>30</v>
      </c>
      <c r="AK33">
        <v>0.17</v>
      </c>
      <c r="AL33">
        <v>0.09</v>
      </c>
      <c r="AM33">
        <v>0.11</v>
      </c>
    </row>
    <row r="34" spans="1:39" x14ac:dyDescent="0.2">
      <c r="A34" t="s">
        <v>36</v>
      </c>
      <c r="B34" t="s">
        <v>3</v>
      </c>
      <c r="C34" t="s">
        <v>4</v>
      </c>
      <c r="D34">
        <v>2.34</v>
      </c>
      <c r="E34">
        <v>2.5499999999999998</v>
      </c>
      <c r="F34" t="s">
        <v>5</v>
      </c>
      <c r="L34" t="s">
        <v>117</v>
      </c>
      <c r="M34" t="s">
        <v>3</v>
      </c>
      <c r="N34" t="s">
        <v>4</v>
      </c>
      <c r="O34">
        <v>3.47</v>
      </c>
      <c r="P34">
        <v>3.68</v>
      </c>
      <c r="Q34" t="s">
        <v>5</v>
      </c>
      <c r="T34" t="s">
        <v>203</v>
      </c>
      <c r="U34" t="s">
        <v>88</v>
      </c>
      <c r="V34">
        <v>7.24</v>
      </c>
      <c r="W34">
        <v>7.27</v>
      </c>
      <c r="X34" t="s">
        <v>5</v>
      </c>
      <c r="AB34">
        <f t="shared" si="0"/>
        <v>31</v>
      </c>
      <c r="AC34">
        <v>2.34</v>
      </c>
      <c r="AD34">
        <v>3.47</v>
      </c>
      <c r="AE34">
        <v>7.24</v>
      </c>
      <c r="AJ34">
        <v>31</v>
      </c>
      <c r="AK34">
        <v>2.5499999999999998</v>
      </c>
      <c r="AL34">
        <v>3.68</v>
      </c>
      <c r="AM34">
        <v>7.27</v>
      </c>
    </row>
    <row r="35" spans="1:39" x14ac:dyDescent="0.2">
      <c r="A35" t="s">
        <v>37</v>
      </c>
      <c r="B35" t="s">
        <v>7</v>
      </c>
      <c r="D35">
        <v>0.09</v>
      </c>
      <c r="E35">
        <v>0.12</v>
      </c>
      <c r="F35" t="s">
        <v>5</v>
      </c>
      <c r="L35" t="s">
        <v>118</v>
      </c>
      <c r="M35" t="s">
        <v>88</v>
      </c>
      <c r="O35">
        <v>0.01</v>
      </c>
      <c r="P35">
        <v>0.03</v>
      </c>
      <c r="Q35" t="s">
        <v>5</v>
      </c>
      <c r="T35" t="s">
        <v>204</v>
      </c>
      <c r="U35" t="s">
        <v>88</v>
      </c>
      <c r="V35">
        <v>0.02</v>
      </c>
      <c r="W35">
        <v>0.05</v>
      </c>
      <c r="X35" t="s">
        <v>5</v>
      </c>
      <c r="AB35">
        <f t="shared" si="0"/>
        <v>32</v>
      </c>
      <c r="AC35">
        <v>0.09</v>
      </c>
      <c r="AD35">
        <v>0.01</v>
      </c>
      <c r="AE35">
        <v>0.02</v>
      </c>
      <c r="AJ35">
        <v>32</v>
      </c>
      <c r="AK35">
        <v>0.12</v>
      </c>
      <c r="AL35">
        <v>0.03</v>
      </c>
      <c r="AM35">
        <v>0.05</v>
      </c>
    </row>
    <row r="36" spans="1:39" x14ac:dyDescent="0.2">
      <c r="A36" t="s">
        <v>38</v>
      </c>
      <c r="B36" t="s">
        <v>3</v>
      </c>
      <c r="C36" t="s">
        <v>4</v>
      </c>
      <c r="D36">
        <v>2.4</v>
      </c>
      <c r="E36">
        <v>2.6</v>
      </c>
      <c r="F36" t="s">
        <v>5</v>
      </c>
      <c r="L36" t="s">
        <v>119</v>
      </c>
      <c r="M36" t="s">
        <v>3</v>
      </c>
      <c r="N36" t="s">
        <v>4</v>
      </c>
      <c r="O36">
        <v>3.59</v>
      </c>
      <c r="P36">
        <v>3.79</v>
      </c>
      <c r="Q36" t="s">
        <v>5</v>
      </c>
      <c r="T36" t="s">
        <v>205</v>
      </c>
      <c r="U36" t="s">
        <v>88</v>
      </c>
      <c r="V36">
        <v>7.45</v>
      </c>
      <c r="W36">
        <v>7.48</v>
      </c>
      <c r="X36" t="s">
        <v>5</v>
      </c>
      <c r="AB36">
        <f t="shared" si="0"/>
        <v>33</v>
      </c>
      <c r="AC36">
        <v>2.4</v>
      </c>
      <c r="AD36">
        <v>3.59</v>
      </c>
      <c r="AE36">
        <v>7.45</v>
      </c>
      <c r="AJ36">
        <v>33</v>
      </c>
      <c r="AK36">
        <v>2.6</v>
      </c>
      <c r="AL36">
        <v>3.79</v>
      </c>
      <c r="AM36">
        <v>7.48</v>
      </c>
    </row>
    <row r="37" spans="1:39" x14ac:dyDescent="0.2">
      <c r="A37" t="s">
        <v>39</v>
      </c>
      <c r="B37" t="s">
        <v>3</v>
      </c>
      <c r="C37" t="s">
        <v>4</v>
      </c>
      <c r="D37">
        <v>2.48</v>
      </c>
      <c r="E37">
        <v>2.69</v>
      </c>
      <c r="F37" t="s">
        <v>5</v>
      </c>
      <c r="L37" t="s">
        <v>120</v>
      </c>
      <c r="M37" t="s">
        <v>3</v>
      </c>
      <c r="N37" t="s">
        <v>4</v>
      </c>
      <c r="O37">
        <v>3.74</v>
      </c>
      <c r="P37">
        <v>3.96</v>
      </c>
      <c r="Q37" t="s">
        <v>5</v>
      </c>
      <c r="T37" t="s">
        <v>206</v>
      </c>
      <c r="U37" t="s">
        <v>88</v>
      </c>
      <c r="V37">
        <v>7.75</v>
      </c>
      <c r="W37">
        <v>7.77</v>
      </c>
      <c r="X37" t="s">
        <v>5</v>
      </c>
      <c r="AB37">
        <f t="shared" si="0"/>
        <v>34</v>
      </c>
      <c r="AC37">
        <v>2.48</v>
      </c>
      <c r="AD37">
        <v>3.74</v>
      </c>
      <c r="AE37">
        <v>7.75</v>
      </c>
      <c r="AJ37">
        <v>34</v>
      </c>
      <c r="AK37">
        <v>2.69</v>
      </c>
      <c r="AL37">
        <v>3.96</v>
      </c>
      <c r="AM37">
        <v>7.77</v>
      </c>
    </row>
    <row r="38" spans="1:39" x14ac:dyDescent="0.2">
      <c r="A38" t="s">
        <v>40</v>
      </c>
      <c r="B38" t="s">
        <v>3</v>
      </c>
      <c r="C38" t="s">
        <v>4</v>
      </c>
      <c r="D38">
        <v>2.5499999999999998</v>
      </c>
      <c r="E38">
        <v>2.75</v>
      </c>
      <c r="F38" t="s">
        <v>5</v>
      </c>
      <c r="L38" t="s">
        <v>121</v>
      </c>
      <c r="M38" t="s">
        <v>3</v>
      </c>
      <c r="N38" t="s">
        <v>4</v>
      </c>
      <c r="O38">
        <v>3.83</v>
      </c>
      <c r="P38">
        <v>4.04</v>
      </c>
      <c r="Q38" t="s">
        <v>5</v>
      </c>
      <c r="T38" t="s">
        <v>207</v>
      </c>
      <c r="U38" t="s">
        <v>88</v>
      </c>
      <c r="V38">
        <v>7.97</v>
      </c>
      <c r="W38">
        <v>8</v>
      </c>
      <c r="X38" t="s">
        <v>5</v>
      </c>
      <c r="AB38">
        <f t="shared" si="0"/>
        <v>35</v>
      </c>
      <c r="AC38">
        <v>2.5499999999999998</v>
      </c>
      <c r="AD38">
        <v>3.83</v>
      </c>
      <c r="AE38">
        <v>7.97</v>
      </c>
      <c r="AJ38">
        <v>35</v>
      </c>
      <c r="AK38">
        <v>2.75</v>
      </c>
      <c r="AL38">
        <v>4.04</v>
      </c>
      <c r="AM38">
        <v>8</v>
      </c>
    </row>
    <row r="39" spans="1:39" x14ac:dyDescent="0.2">
      <c r="A39" t="s">
        <v>41</v>
      </c>
      <c r="B39" t="s">
        <v>3</v>
      </c>
      <c r="C39" t="s">
        <v>4</v>
      </c>
      <c r="D39">
        <v>2.61</v>
      </c>
      <c r="E39">
        <v>2.82</v>
      </c>
      <c r="F39" t="s">
        <v>5</v>
      </c>
      <c r="L39" t="s">
        <v>122</v>
      </c>
      <c r="M39" t="s">
        <v>3</v>
      </c>
      <c r="N39" t="s">
        <v>4</v>
      </c>
      <c r="O39">
        <v>3.95</v>
      </c>
      <c r="P39">
        <v>4.1500000000000004</v>
      </c>
      <c r="Q39" t="s">
        <v>5</v>
      </c>
      <c r="T39" t="s">
        <v>208</v>
      </c>
      <c r="U39" t="s">
        <v>88</v>
      </c>
      <c r="V39">
        <v>8.2100000000000009</v>
      </c>
      <c r="W39">
        <v>8.23</v>
      </c>
      <c r="X39" t="s">
        <v>5</v>
      </c>
      <c r="AB39">
        <f t="shared" si="0"/>
        <v>36</v>
      </c>
      <c r="AC39">
        <v>2.61</v>
      </c>
      <c r="AD39">
        <v>3.95</v>
      </c>
      <c r="AE39">
        <v>8.2100000000000009</v>
      </c>
      <c r="AJ39">
        <v>36</v>
      </c>
      <c r="AK39">
        <v>2.82</v>
      </c>
      <c r="AL39">
        <v>4.1500000000000004</v>
      </c>
      <c r="AM39">
        <v>8.23</v>
      </c>
    </row>
    <row r="40" spans="1:39" x14ac:dyDescent="0.2">
      <c r="A40" t="s">
        <v>42</v>
      </c>
      <c r="B40" t="s">
        <v>3</v>
      </c>
      <c r="C40" t="s">
        <v>4</v>
      </c>
      <c r="D40">
        <v>2.67</v>
      </c>
      <c r="E40">
        <v>2.89</v>
      </c>
      <c r="F40" t="s">
        <v>5</v>
      </c>
      <c r="L40" t="s">
        <v>123</v>
      </c>
      <c r="M40" t="s">
        <v>3</v>
      </c>
      <c r="N40" t="s">
        <v>4</v>
      </c>
      <c r="O40">
        <v>4.05</v>
      </c>
      <c r="P40">
        <v>4.2699999999999996</v>
      </c>
      <c r="Q40" t="s">
        <v>5</v>
      </c>
      <c r="T40" t="s">
        <v>209</v>
      </c>
      <c r="U40" t="s">
        <v>88</v>
      </c>
      <c r="V40">
        <v>8.43</v>
      </c>
      <c r="W40">
        <v>8.4499999999999993</v>
      </c>
      <c r="X40" t="s">
        <v>5</v>
      </c>
      <c r="AB40">
        <f t="shared" si="0"/>
        <v>37</v>
      </c>
      <c r="AC40">
        <v>2.67</v>
      </c>
      <c r="AD40">
        <v>4.05</v>
      </c>
      <c r="AE40">
        <v>8.43</v>
      </c>
      <c r="AJ40">
        <v>37</v>
      </c>
      <c r="AK40">
        <v>2.89</v>
      </c>
      <c r="AL40">
        <v>4.2699999999999996</v>
      </c>
      <c r="AM40">
        <v>8.4499999999999993</v>
      </c>
    </row>
    <row r="41" spans="1:39" x14ac:dyDescent="0.2">
      <c r="A41" t="s">
        <v>43</v>
      </c>
      <c r="B41" t="s">
        <v>3</v>
      </c>
      <c r="C41" t="s">
        <v>4</v>
      </c>
      <c r="D41">
        <v>2.76</v>
      </c>
      <c r="E41">
        <v>2.97</v>
      </c>
      <c r="F41" t="s">
        <v>5</v>
      </c>
      <c r="L41" t="s">
        <v>124</v>
      </c>
      <c r="M41" t="s">
        <v>3</v>
      </c>
      <c r="N41" t="s">
        <v>4</v>
      </c>
      <c r="O41">
        <v>4.17</v>
      </c>
      <c r="P41">
        <v>4.3899999999999997</v>
      </c>
      <c r="Q41" t="s">
        <v>5</v>
      </c>
      <c r="T41" t="s">
        <v>210</v>
      </c>
      <c r="U41" t="s">
        <v>88</v>
      </c>
      <c r="V41">
        <v>8.69</v>
      </c>
      <c r="W41">
        <v>8.7100000000000009</v>
      </c>
      <c r="X41" t="s">
        <v>5</v>
      </c>
      <c r="AB41">
        <f t="shared" si="0"/>
        <v>38</v>
      </c>
      <c r="AC41">
        <v>2.76</v>
      </c>
      <c r="AD41">
        <v>4.17</v>
      </c>
      <c r="AE41">
        <v>8.69</v>
      </c>
      <c r="AJ41">
        <v>38</v>
      </c>
      <c r="AK41">
        <v>2.97</v>
      </c>
      <c r="AL41">
        <v>4.3899999999999997</v>
      </c>
      <c r="AM41">
        <v>8.7100000000000009</v>
      </c>
    </row>
    <row r="42" spans="1:39" x14ac:dyDescent="0.2">
      <c r="A42" t="s">
        <v>44</v>
      </c>
      <c r="B42" t="s">
        <v>3</v>
      </c>
      <c r="C42" t="s">
        <v>4</v>
      </c>
      <c r="D42">
        <v>2.85</v>
      </c>
      <c r="E42">
        <v>3.05</v>
      </c>
      <c r="F42" t="s">
        <v>5</v>
      </c>
      <c r="L42" t="s">
        <v>125</v>
      </c>
      <c r="M42" t="s">
        <v>3</v>
      </c>
      <c r="N42" t="s">
        <v>4</v>
      </c>
      <c r="O42">
        <v>4.33</v>
      </c>
      <c r="P42">
        <v>4.54</v>
      </c>
      <c r="Q42" t="s">
        <v>5</v>
      </c>
      <c r="T42" t="s">
        <v>211</v>
      </c>
      <c r="U42" t="s">
        <v>88</v>
      </c>
      <c r="V42">
        <v>8.93</v>
      </c>
      <c r="W42">
        <v>8.9600000000000009</v>
      </c>
      <c r="X42" t="s">
        <v>5</v>
      </c>
      <c r="AB42">
        <f t="shared" si="0"/>
        <v>39</v>
      </c>
      <c r="AC42">
        <v>2.85</v>
      </c>
      <c r="AD42">
        <v>4.33</v>
      </c>
      <c r="AE42">
        <v>8.93</v>
      </c>
      <c r="AJ42">
        <v>39</v>
      </c>
      <c r="AK42">
        <v>3.05</v>
      </c>
      <c r="AL42">
        <v>4.54</v>
      </c>
      <c r="AM42">
        <v>8.9600000000000009</v>
      </c>
    </row>
    <row r="43" spans="1:39" x14ac:dyDescent="0.2">
      <c r="A43" t="s">
        <v>45</v>
      </c>
      <c r="B43" t="s">
        <v>3</v>
      </c>
      <c r="C43" t="s">
        <v>4</v>
      </c>
      <c r="D43">
        <v>2.92</v>
      </c>
      <c r="E43">
        <v>3.12</v>
      </c>
      <c r="F43" t="s">
        <v>5</v>
      </c>
      <c r="L43" t="s">
        <v>126</v>
      </c>
      <c r="M43" t="s">
        <v>3</v>
      </c>
      <c r="N43" t="s">
        <v>4</v>
      </c>
      <c r="O43">
        <v>4.42</v>
      </c>
      <c r="P43">
        <v>4.62</v>
      </c>
      <c r="Q43" t="s">
        <v>5</v>
      </c>
      <c r="T43" t="s">
        <v>212</v>
      </c>
      <c r="U43" t="s">
        <v>88</v>
      </c>
      <c r="V43">
        <v>9.14</v>
      </c>
      <c r="W43">
        <v>9.17</v>
      </c>
      <c r="X43" t="s">
        <v>5</v>
      </c>
      <c r="AB43">
        <f t="shared" si="0"/>
        <v>40</v>
      </c>
      <c r="AC43">
        <v>2.92</v>
      </c>
      <c r="AD43">
        <v>4.42</v>
      </c>
      <c r="AE43">
        <v>9.14</v>
      </c>
      <c r="AJ43">
        <v>40</v>
      </c>
      <c r="AK43">
        <v>3.12</v>
      </c>
      <c r="AL43">
        <v>4.62</v>
      </c>
      <c r="AM43">
        <v>9.17</v>
      </c>
    </row>
    <row r="44" spans="1:39" x14ac:dyDescent="0.2">
      <c r="A44" t="s">
        <v>46</v>
      </c>
      <c r="B44" t="s">
        <v>3</v>
      </c>
      <c r="C44" t="s">
        <v>4</v>
      </c>
      <c r="D44">
        <v>3.04</v>
      </c>
      <c r="E44">
        <v>3.25</v>
      </c>
      <c r="F44" t="s">
        <v>5</v>
      </c>
      <c r="L44" t="s">
        <v>127</v>
      </c>
      <c r="M44" t="s">
        <v>3</v>
      </c>
      <c r="N44" t="s">
        <v>4</v>
      </c>
      <c r="O44">
        <v>4.53</v>
      </c>
      <c r="P44">
        <v>4.72</v>
      </c>
      <c r="Q44" t="s">
        <v>5</v>
      </c>
      <c r="T44" t="s">
        <v>213</v>
      </c>
      <c r="U44" t="s">
        <v>88</v>
      </c>
      <c r="V44">
        <v>9.36</v>
      </c>
      <c r="W44">
        <v>9.39</v>
      </c>
      <c r="X44" t="s">
        <v>5</v>
      </c>
      <c r="AB44">
        <f t="shared" si="0"/>
        <v>41</v>
      </c>
      <c r="AC44">
        <v>3.04</v>
      </c>
      <c r="AD44">
        <v>4.53</v>
      </c>
      <c r="AE44">
        <v>9.36</v>
      </c>
      <c r="AJ44">
        <v>41</v>
      </c>
      <c r="AK44">
        <v>3.25</v>
      </c>
      <c r="AL44">
        <v>4.72</v>
      </c>
      <c r="AM44">
        <v>9.39</v>
      </c>
    </row>
    <row r="45" spans="1:39" x14ac:dyDescent="0.2">
      <c r="A45" t="s">
        <v>47</v>
      </c>
      <c r="B45" t="s">
        <v>7</v>
      </c>
      <c r="D45">
        <v>6.07</v>
      </c>
      <c r="E45">
        <v>6.1</v>
      </c>
      <c r="F45" t="s">
        <v>5</v>
      </c>
      <c r="L45" t="s">
        <v>128</v>
      </c>
      <c r="M45" t="s">
        <v>88</v>
      </c>
      <c r="O45">
        <v>0.51</v>
      </c>
      <c r="P45">
        <v>0.53</v>
      </c>
      <c r="Q45" t="s">
        <v>5</v>
      </c>
      <c r="T45" t="s">
        <v>214</v>
      </c>
      <c r="U45" t="s">
        <v>88</v>
      </c>
      <c r="V45">
        <v>0.93</v>
      </c>
      <c r="W45">
        <v>0.96</v>
      </c>
      <c r="X45" t="s">
        <v>5</v>
      </c>
      <c r="AB45">
        <f t="shared" si="0"/>
        <v>42</v>
      </c>
      <c r="AC45">
        <v>6.07</v>
      </c>
      <c r="AD45">
        <v>0.51</v>
      </c>
      <c r="AE45">
        <v>0.93</v>
      </c>
      <c r="AJ45">
        <v>42</v>
      </c>
      <c r="AK45">
        <v>6.1</v>
      </c>
      <c r="AL45">
        <v>0.53</v>
      </c>
      <c r="AM45">
        <v>0.96</v>
      </c>
    </row>
    <row r="46" spans="1:39" x14ac:dyDescent="0.2">
      <c r="A46" t="s">
        <v>48</v>
      </c>
      <c r="B46" t="s">
        <v>7</v>
      </c>
      <c r="D46">
        <v>0.18</v>
      </c>
      <c r="E46">
        <v>0.2</v>
      </c>
      <c r="F46" t="s">
        <v>5</v>
      </c>
      <c r="L46" t="s">
        <v>129</v>
      </c>
      <c r="M46" t="s">
        <v>88</v>
      </c>
      <c r="O46">
        <v>0.05</v>
      </c>
      <c r="P46">
        <v>7.0000000000000007E-2</v>
      </c>
      <c r="Q46" t="s">
        <v>5</v>
      </c>
      <c r="T46" t="s">
        <v>215</v>
      </c>
      <c r="U46" t="s">
        <v>88</v>
      </c>
      <c r="V46">
        <v>0.11</v>
      </c>
      <c r="W46">
        <v>0.13</v>
      </c>
      <c r="X46" t="s">
        <v>5</v>
      </c>
      <c r="AB46">
        <f t="shared" si="0"/>
        <v>43</v>
      </c>
      <c r="AC46">
        <v>0.18</v>
      </c>
      <c r="AD46">
        <v>0.05</v>
      </c>
      <c r="AE46">
        <v>0.11</v>
      </c>
      <c r="AJ46">
        <v>43</v>
      </c>
      <c r="AK46">
        <v>0.2</v>
      </c>
      <c r="AL46">
        <v>7.0000000000000007E-2</v>
      </c>
      <c r="AM46">
        <v>0.13</v>
      </c>
    </row>
    <row r="47" spans="1:39" x14ac:dyDescent="0.2">
      <c r="A47" t="s">
        <v>49</v>
      </c>
      <c r="B47" t="s">
        <v>3</v>
      </c>
      <c r="C47" t="s">
        <v>4</v>
      </c>
      <c r="D47">
        <v>3.1</v>
      </c>
      <c r="E47">
        <v>3.3</v>
      </c>
      <c r="F47" t="s">
        <v>5</v>
      </c>
      <c r="L47" t="s">
        <v>130</v>
      </c>
      <c r="M47" t="s">
        <v>3</v>
      </c>
      <c r="N47" t="s">
        <v>4</v>
      </c>
      <c r="O47">
        <v>2.8</v>
      </c>
      <c r="P47">
        <v>3</v>
      </c>
      <c r="Q47" t="s">
        <v>5</v>
      </c>
      <c r="T47" t="s">
        <v>216</v>
      </c>
      <c r="U47" t="s">
        <v>88</v>
      </c>
      <c r="V47">
        <v>9.76</v>
      </c>
      <c r="W47">
        <v>9.7899999999999991</v>
      </c>
      <c r="X47" t="s">
        <v>5</v>
      </c>
      <c r="AB47">
        <f t="shared" si="0"/>
        <v>44</v>
      </c>
      <c r="AC47">
        <v>3.1</v>
      </c>
      <c r="AD47">
        <v>2.8</v>
      </c>
      <c r="AE47">
        <v>9.76</v>
      </c>
      <c r="AJ47">
        <v>44</v>
      </c>
      <c r="AK47">
        <v>3.3</v>
      </c>
      <c r="AL47">
        <v>3</v>
      </c>
      <c r="AM47">
        <v>9.7899999999999991</v>
      </c>
    </row>
    <row r="48" spans="1:39" x14ac:dyDescent="0.2">
      <c r="A48" t="s">
        <v>50</v>
      </c>
      <c r="B48" t="s">
        <v>7</v>
      </c>
      <c r="D48">
        <v>0.09</v>
      </c>
      <c r="E48">
        <v>0.12</v>
      </c>
      <c r="F48" t="s">
        <v>5</v>
      </c>
      <c r="L48" t="s">
        <v>131</v>
      </c>
      <c r="M48" t="s">
        <v>88</v>
      </c>
      <c r="O48">
        <v>0.01</v>
      </c>
      <c r="P48">
        <v>0.04</v>
      </c>
      <c r="Q48" t="s">
        <v>5</v>
      </c>
      <c r="T48" t="s">
        <v>217</v>
      </c>
      <c r="U48" t="s">
        <v>88</v>
      </c>
      <c r="V48">
        <v>0.02</v>
      </c>
      <c r="W48">
        <v>0.04</v>
      </c>
      <c r="X48" t="s">
        <v>5</v>
      </c>
      <c r="AB48">
        <f t="shared" si="0"/>
        <v>45</v>
      </c>
      <c r="AC48">
        <v>0.09</v>
      </c>
      <c r="AD48">
        <v>0.01</v>
      </c>
      <c r="AE48">
        <v>0.02</v>
      </c>
      <c r="AJ48">
        <v>45</v>
      </c>
      <c r="AK48">
        <v>0.12</v>
      </c>
      <c r="AL48">
        <v>0.04</v>
      </c>
      <c r="AM48">
        <v>0.04</v>
      </c>
    </row>
    <row r="49" spans="1:39" x14ac:dyDescent="0.2">
      <c r="A49" t="s">
        <v>51</v>
      </c>
      <c r="B49" t="s">
        <v>3</v>
      </c>
      <c r="C49" t="s">
        <v>4</v>
      </c>
      <c r="D49">
        <v>3.13</v>
      </c>
      <c r="E49">
        <v>3.35</v>
      </c>
      <c r="F49" t="s">
        <v>5</v>
      </c>
      <c r="L49" t="s">
        <v>132</v>
      </c>
      <c r="M49" t="s">
        <v>3</v>
      </c>
      <c r="N49" t="s">
        <v>4</v>
      </c>
      <c r="O49">
        <v>2.88</v>
      </c>
      <c r="P49">
        <v>3.09</v>
      </c>
      <c r="Q49" t="s">
        <v>5</v>
      </c>
      <c r="T49" t="s">
        <v>218</v>
      </c>
      <c r="U49" t="s">
        <v>88</v>
      </c>
      <c r="V49">
        <v>9.81</v>
      </c>
      <c r="W49">
        <v>9.84</v>
      </c>
      <c r="X49" t="s">
        <v>5</v>
      </c>
      <c r="AB49">
        <f t="shared" si="0"/>
        <v>46</v>
      </c>
      <c r="AC49">
        <v>3.13</v>
      </c>
      <c r="AD49">
        <v>2.88</v>
      </c>
      <c r="AE49">
        <v>9.81</v>
      </c>
      <c r="AJ49">
        <v>46</v>
      </c>
      <c r="AK49">
        <v>3.35</v>
      </c>
      <c r="AL49">
        <v>3.09</v>
      </c>
      <c r="AM49">
        <v>9.84</v>
      </c>
    </row>
    <row r="50" spans="1:39" x14ac:dyDescent="0.2">
      <c r="A50" t="s">
        <v>52</v>
      </c>
      <c r="B50" t="s">
        <v>3</v>
      </c>
      <c r="C50" t="s">
        <v>4</v>
      </c>
      <c r="D50">
        <v>3.22</v>
      </c>
      <c r="E50">
        <v>3.42</v>
      </c>
      <c r="F50" t="s">
        <v>5</v>
      </c>
      <c r="L50" t="s">
        <v>133</v>
      </c>
      <c r="M50" t="s">
        <v>3</v>
      </c>
      <c r="N50" t="s">
        <v>4</v>
      </c>
      <c r="O50">
        <v>2.95</v>
      </c>
      <c r="P50">
        <v>3.15</v>
      </c>
      <c r="Q50" t="s">
        <v>5</v>
      </c>
      <c r="T50" t="s">
        <v>219</v>
      </c>
      <c r="U50" t="s">
        <v>88</v>
      </c>
      <c r="V50">
        <v>10.039999999999999</v>
      </c>
      <c r="W50">
        <v>10.06</v>
      </c>
      <c r="X50" t="s">
        <v>5</v>
      </c>
      <c r="AB50">
        <f t="shared" si="0"/>
        <v>47</v>
      </c>
      <c r="AC50">
        <v>3.22</v>
      </c>
      <c r="AD50">
        <v>2.95</v>
      </c>
      <c r="AE50">
        <v>10.039999999999999</v>
      </c>
      <c r="AJ50">
        <v>47</v>
      </c>
      <c r="AK50">
        <v>3.42</v>
      </c>
      <c r="AL50">
        <v>3.15</v>
      </c>
      <c r="AM50">
        <v>10.06</v>
      </c>
    </row>
    <row r="51" spans="1:39" x14ac:dyDescent="0.2">
      <c r="A51" t="s">
        <v>53</v>
      </c>
      <c r="B51" t="s">
        <v>3</v>
      </c>
      <c r="C51" t="s">
        <v>4</v>
      </c>
      <c r="D51">
        <v>3.34</v>
      </c>
      <c r="E51">
        <v>3.55</v>
      </c>
      <c r="F51" t="s">
        <v>5</v>
      </c>
      <c r="L51" t="s">
        <v>134</v>
      </c>
      <c r="M51" t="s">
        <v>3</v>
      </c>
      <c r="N51" t="s">
        <v>4</v>
      </c>
      <c r="O51">
        <v>3.01</v>
      </c>
      <c r="P51">
        <v>3.21</v>
      </c>
      <c r="Q51" t="s">
        <v>5</v>
      </c>
      <c r="T51" t="s">
        <v>220</v>
      </c>
      <c r="U51" t="s">
        <v>88</v>
      </c>
      <c r="V51">
        <v>10.28</v>
      </c>
      <c r="W51">
        <v>10.31</v>
      </c>
      <c r="X51" t="s">
        <v>5</v>
      </c>
      <c r="AB51">
        <f t="shared" si="0"/>
        <v>48</v>
      </c>
      <c r="AC51">
        <v>3.34</v>
      </c>
      <c r="AD51">
        <v>3.01</v>
      </c>
      <c r="AE51">
        <v>10.28</v>
      </c>
      <c r="AJ51">
        <v>48</v>
      </c>
      <c r="AK51">
        <v>3.55</v>
      </c>
      <c r="AL51">
        <v>3.21</v>
      </c>
      <c r="AM51">
        <v>10.31</v>
      </c>
    </row>
    <row r="52" spans="1:39" x14ac:dyDescent="0.2">
      <c r="A52" t="s">
        <v>54</v>
      </c>
      <c r="B52" t="s">
        <v>3</v>
      </c>
      <c r="C52" t="s">
        <v>4</v>
      </c>
      <c r="D52">
        <v>3.45</v>
      </c>
      <c r="E52">
        <v>3.66</v>
      </c>
      <c r="F52" t="s">
        <v>5</v>
      </c>
      <c r="L52" t="s">
        <v>135</v>
      </c>
      <c r="M52" t="s">
        <v>3</v>
      </c>
      <c r="N52" t="s">
        <v>4</v>
      </c>
      <c r="O52">
        <v>3.08</v>
      </c>
      <c r="P52">
        <v>3.28</v>
      </c>
      <c r="Q52" t="s">
        <v>5</v>
      </c>
      <c r="T52" t="s">
        <v>221</v>
      </c>
      <c r="U52" t="s">
        <v>88</v>
      </c>
      <c r="V52">
        <v>10.52</v>
      </c>
      <c r="W52">
        <v>10.53</v>
      </c>
      <c r="X52" t="s">
        <v>5</v>
      </c>
      <c r="AB52">
        <f t="shared" si="0"/>
        <v>49</v>
      </c>
      <c r="AC52">
        <v>3.45</v>
      </c>
      <c r="AD52">
        <v>3.08</v>
      </c>
      <c r="AE52">
        <v>10.52</v>
      </c>
      <c r="AJ52">
        <v>49</v>
      </c>
      <c r="AK52">
        <v>3.66</v>
      </c>
      <c r="AL52">
        <v>3.28</v>
      </c>
      <c r="AM52">
        <v>10.53</v>
      </c>
    </row>
    <row r="53" spans="1:39" x14ac:dyDescent="0.2">
      <c r="A53" t="s">
        <v>55</v>
      </c>
      <c r="B53" t="s">
        <v>3</v>
      </c>
      <c r="C53" t="s">
        <v>4</v>
      </c>
      <c r="D53">
        <v>3.37</v>
      </c>
      <c r="E53">
        <v>3.59</v>
      </c>
      <c r="F53" t="s">
        <v>5</v>
      </c>
      <c r="L53" t="s">
        <v>136</v>
      </c>
      <c r="M53" t="s">
        <v>3</v>
      </c>
      <c r="N53" t="s">
        <v>4</v>
      </c>
      <c r="O53">
        <v>3.17</v>
      </c>
      <c r="P53">
        <v>3.38</v>
      </c>
      <c r="Q53" t="s">
        <v>5</v>
      </c>
      <c r="T53" t="s">
        <v>222</v>
      </c>
      <c r="U53" t="s">
        <v>88</v>
      </c>
      <c r="V53">
        <v>10.74</v>
      </c>
      <c r="W53">
        <v>10.77</v>
      </c>
      <c r="X53" t="s">
        <v>5</v>
      </c>
      <c r="AB53">
        <f t="shared" si="0"/>
        <v>50</v>
      </c>
      <c r="AC53">
        <v>3.37</v>
      </c>
      <c r="AD53">
        <v>3.17</v>
      </c>
      <c r="AE53">
        <v>10.74</v>
      </c>
      <c r="AJ53">
        <v>50</v>
      </c>
      <c r="AK53">
        <v>3.59</v>
      </c>
      <c r="AL53">
        <v>3.38</v>
      </c>
      <c r="AM53">
        <v>10.77</v>
      </c>
    </row>
    <row r="54" spans="1:39" x14ac:dyDescent="0.2">
      <c r="A54" t="s">
        <v>56</v>
      </c>
      <c r="B54" t="s">
        <v>3</v>
      </c>
      <c r="C54" t="s">
        <v>4</v>
      </c>
      <c r="D54">
        <v>3.42</v>
      </c>
      <c r="E54">
        <v>3.63</v>
      </c>
      <c r="F54" t="s">
        <v>5</v>
      </c>
      <c r="L54" t="s">
        <v>137</v>
      </c>
      <c r="M54" t="s">
        <v>3</v>
      </c>
      <c r="N54" t="s">
        <v>4</v>
      </c>
      <c r="O54">
        <v>3.22</v>
      </c>
      <c r="P54">
        <v>3.43</v>
      </c>
      <c r="Q54" t="s">
        <v>5</v>
      </c>
      <c r="T54" t="s">
        <v>223</v>
      </c>
      <c r="U54" t="s">
        <v>88</v>
      </c>
      <c r="V54">
        <v>10.99</v>
      </c>
      <c r="W54">
        <v>11.01</v>
      </c>
      <c r="X54" t="s">
        <v>5</v>
      </c>
      <c r="AB54">
        <f t="shared" si="0"/>
        <v>51</v>
      </c>
      <c r="AC54">
        <v>3.42</v>
      </c>
      <c r="AD54">
        <v>3.22</v>
      </c>
      <c r="AE54">
        <v>10.99</v>
      </c>
      <c r="AJ54">
        <v>51</v>
      </c>
      <c r="AK54">
        <v>3.63</v>
      </c>
      <c r="AL54">
        <v>3.43</v>
      </c>
      <c r="AM54">
        <v>11.01</v>
      </c>
    </row>
    <row r="55" spans="1:39" x14ac:dyDescent="0.2">
      <c r="A55" t="s">
        <v>57</v>
      </c>
      <c r="B55" t="s">
        <v>3</v>
      </c>
      <c r="C55" t="s">
        <v>4</v>
      </c>
      <c r="D55">
        <v>3.62</v>
      </c>
      <c r="E55">
        <v>3.83</v>
      </c>
      <c r="F55" t="s">
        <v>5</v>
      </c>
      <c r="L55" t="s">
        <v>138</v>
      </c>
      <c r="M55" t="s">
        <v>3</v>
      </c>
      <c r="N55" t="s">
        <v>4</v>
      </c>
      <c r="O55">
        <v>2.25</v>
      </c>
      <c r="P55">
        <v>2.4500000000000002</v>
      </c>
      <c r="Q55" t="s">
        <v>5</v>
      </c>
      <c r="T55" t="s">
        <v>224</v>
      </c>
      <c r="U55" t="s">
        <v>88</v>
      </c>
      <c r="V55">
        <v>11.21</v>
      </c>
      <c r="W55">
        <v>11.24</v>
      </c>
      <c r="X55" t="s">
        <v>5</v>
      </c>
      <c r="AB55">
        <f t="shared" si="0"/>
        <v>52</v>
      </c>
      <c r="AC55">
        <v>3.62</v>
      </c>
      <c r="AD55">
        <v>2.25</v>
      </c>
      <c r="AE55">
        <v>11.21</v>
      </c>
      <c r="AJ55">
        <v>52</v>
      </c>
      <c r="AK55">
        <v>3.83</v>
      </c>
      <c r="AL55">
        <v>2.4500000000000002</v>
      </c>
      <c r="AM55">
        <v>11.24</v>
      </c>
    </row>
    <row r="56" spans="1:39" x14ac:dyDescent="0.2">
      <c r="A56" t="s">
        <v>58</v>
      </c>
      <c r="B56" t="s">
        <v>3</v>
      </c>
      <c r="C56" t="s">
        <v>4</v>
      </c>
      <c r="D56">
        <v>3.76</v>
      </c>
      <c r="E56">
        <v>3.96</v>
      </c>
      <c r="F56" t="s">
        <v>5</v>
      </c>
      <c r="L56" t="s">
        <v>139</v>
      </c>
      <c r="M56" t="s">
        <v>3</v>
      </c>
      <c r="N56" t="s">
        <v>4</v>
      </c>
      <c r="O56">
        <v>2.3199999999999998</v>
      </c>
      <c r="P56">
        <v>2.52</v>
      </c>
      <c r="Q56" t="s">
        <v>5</v>
      </c>
      <c r="T56" t="s">
        <v>225</v>
      </c>
      <c r="U56" t="s">
        <v>88</v>
      </c>
      <c r="V56">
        <v>11.46</v>
      </c>
      <c r="W56">
        <v>11.49</v>
      </c>
      <c r="X56" t="s">
        <v>5</v>
      </c>
      <c r="AB56">
        <f t="shared" si="0"/>
        <v>53</v>
      </c>
      <c r="AC56">
        <v>3.76</v>
      </c>
      <c r="AD56">
        <v>2.3199999999999998</v>
      </c>
      <c r="AE56">
        <v>11.46</v>
      </c>
      <c r="AJ56">
        <v>53</v>
      </c>
      <c r="AK56">
        <v>3.96</v>
      </c>
      <c r="AL56">
        <v>2.52</v>
      </c>
      <c r="AM56">
        <v>11.49</v>
      </c>
    </row>
    <row r="57" spans="1:39" x14ac:dyDescent="0.2">
      <c r="A57" t="s">
        <v>59</v>
      </c>
      <c r="B57" t="s">
        <v>3</v>
      </c>
      <c r="C57" t="s">
        <v>4</v>
      </c>
      <c r="D57">
        <v>3.87</v>
      </c>
      <c r="E57">
        <v>4.08</v>
      </c>
      <c r="F57" t="s">
        <v>5</v>
      </c>
      <c r="L57" t="s">
        <v>140</v>
      </c>
      <c r="M57" t="s">
        <v>3</v>
      </c>
      <c r="N57" t="s">
        <v>4</v>
      </c>
      <c r="O57">
        <v>2.34</v>
      </c>
      <c r="P57">
        <v>2.54</v>
      </c>
      <c r="Q57" t="s">
        <v>5</v>
      </c>
      <c r="T57" t="s">
        <v>226</v>
      </c>
      <c r="U57" t="s">
        <v>88</v>
      </c>
      <c r="V57">
        <v>11.69</v>
      </c>
      <c r="W57">
        <v>11.71</v>
      </c>
      <c r="X57" t="s">
        <v>5</v>
      </c>
      <c r="AB57">
        <f t="shared" si="0"/>
        <v>54</v>
      </c>
      <c r="AC57">
        <v>3.87</v>
      </c>
      <c r="AD57">
        <v>2.34</v>
      </c>
      <c r="AE57">
        <v>11.69</v>
      </c>
      <c r="AJ57">
        <v>54</v>
      </c>
      <c r="AK57">
        <v>4.08</v>
      </c>
      <c r="AL57">
        <v>2.54</v>
      </c>
      <c r="AM57">
        <v>11.71</v>
      </c>
    </row>
    <row r="58" spans="1:39" x14ac:dyDescent="0.2">
      <c r="A58" t="s">
        <v>60</v>
      </c>
      <c r="B58" t="s">
        <v>3</v>
      </c>
      <c r="C58" t="s">
        <v>4</v>
      </c>
      <c r="D58">
        <v>0.53</v>
      </c>
      <c r="E58">
        <v>0.73</v>
      </c>
      <c r="F58" t="s">
        <v>5</v>
      </c>
      <c r="L58" t="s">
        <v>141</v>
      </c>
      <c r="M58" t="s">
        <v>3</v>
      </c>
      <c r="N58" t="s">
        <v>4</v>
      </c>
      <c r="O58">
        <v>0.5</v>
      </c>
      <c r="P58">
        <v>0.71</v>
      </c>
      <c r="Q58" t="s">
        <v>5</v>
      </c>
      <c r="T58" t="s">
        <v>227</v>
      </c>
      <c r="U58" t="s">
        <v>88</v>
      </c>
      <c r="V58">
        <v>1.1599999999999999</v>
      </c>
      <c r="W58">
        <v>1.18</v>
      </c>
      <c r="X58" t="s">
        <v>5</v>
      </c>
      <c r="AB58">
        <f t="shared" si="0"/>
        <v>55</v>
      </c>
      <c r="AC58">
        <v>0.53</v>
      </c>
      <c r="AD58">
        <v>0.5</v>
      </c>
      <c r="AE58">
        <v>1.1599999999999999</v>
      </c>
      <c r="AJ58">
        <v>55</v>
      </c>
      <c r="AK58">
        <v>0.73</v>
      </c>
      <c r="AL58">
        <v>0.71</v>
      </c>
      <c r="AM58">
        <v>1.18</v>
      </c>
    </row>
    <row r="59" spans="1:39" x14ac:dyDescent="0.2">
      <c r="A59" t="s">
        <v>61</v>
      </c>
      <c r="B59" t="s">
        <v>7</v>
      </c>
      <c r="D59">
        <v>0.22</v>
      </c>
      <c r="E59">
        <v>0.24</v>
      </c>
      <c r="F59" t="s">
        <v>5</v>
      </c>
      <c r="L59" t="s">
        <v>142</v>
      </c>
      <c r="M59" t="s">
        <v>88</v>
      </c>
      <c r="O59">
        <v>0.06</v>
      </c>
      <c r="P59">
        <v>0.09</v>
      </c>
      <c r="Q59" t="s">
        <v>5</v>
      </c>
      <c r="T59" t="s">
        <v>228</v>
      </c>
      <c r="U59" t="s">
        <v>88</v>
      </c>
      <c r="V59">
        <v>0.13</v>
      </c>
      <c r="W59">
        <v>0.14000000000000001</v>
      </c>
      <c r="X59" t="s">
        <v>5</v>
      </c>
      <c r="AB59">
        <f t="shared" si="0"/>
        <v>56</v>
      </c>
      <c r="AC59">
        <v>0.22</v>
      </c>
      <c r="AD59">
        <v>0.06</v>
      </c>
      <c r="AE59">
        <v>0.13</v>
      </c>
      <c r="AJ59">
        <v>56</v>
      </c>
      <c r="AK59">
        <v>0.24</v>
      </c>
      <c r="AL59">
        <v>0.09</v>
      </c>
      <c r="AM59">
        <v>0.14000000000000001</v>
      </c>
    </row>
    <row r="60" spans="1:39" x14ac:dyDescent="0.2">
      <c r="A60" t="s">
        <v>62</v>
      </c>
      <c r="B60" t="s">
        <v>7</v>
      </c>
      <c r="D60">
        <v>0.09</v>
      </c>
      <c r="E60">
        <v>0.12</v>
      </c>
      <c r="F60" t="s">
        <v>5</v>
      </c>
      <c r="L60" t="s">
        <v>143</v>
      </c>
      <c r="M60" t="s">
        <v>88</v>
      </c>
      <c r="O60">
        <v>0.01</v>
      </c>
      <c r="P60">
        <v>0.04</v>
      </c>
      <c r="Q60" t="s">
        <v>5</v>
      </c>
      <c r="T60" t="s">
        <v>229</v>
      </c>
      <c r="U60" t="s">
        <v>88</v>
      </c>
      <c r="V60">
        <v>0.03</v>
      </c>
      <c r="W60">
        <v>0.06</v>
      </c>
      <c r="X60" t="s">
        <v>5</v>
      </c>
      <c r="AB60">
        <f t="shared" si="0"/>
        <v>57</v>
      </c>
      <c r="AC60">
        <v>0.09</v>
      </c>
      <c r="AD60">
        <v>0.01</v>
      </c>
      <c r="AE60">
        <v>0.03</v>
      </c>
      <c r="AJ60">
        <v>57</v>
      </c>
      <c r="AK60">
        <v>0.12</v>
      </c>
      <c r="AL60">
        <v>0.04</v>
      </c>
      <c r="AM60">
        <v>0.06</v>
      </c>
    </row>
    <row r="61" spans="1:39" x14ac:dyDescent="0.2">
      <c r="A61" t="s">
        <v>63</v>
      </c>
      <c r="B61" t="s">
        <v>3</v>
      </c>
      <c r="C61" t="s">
        <v>4</v>
      </c>
      <c r="D61">
        <v>0.6</v>
      </c>
      <c r="E61">
        <v>0.8</v>
      </c>
      <c r="F61" t="s">
        <v>5</v>
      </c>
      <c r="L61" t="s">
        <v>144</v>
      </c>
      <c r="M61" t="s">
        <v>3</v>
      </c>
      <c r="N61" t="s">
        <v>4</v>
      </c>
      <c r="O61">
        <v>0.62</v>
      </c>
      <c r="P61">
        <v>0.83</v>
      </c>
      <c r="Q61" t="s">
        <v>5</v>
      </c>
      <c r="T61" t="s">
        <v>230</v>
      </c>
      <c r="U61" t="s">
        <v>88</v>
      </c>
      <c r="V61">
        <v>1.39</v>
      </c>
      <c r="W61">
        <v>1.42</v>
      </c>
      <c r="X61" t="s">
        <v>5</v>
      </c>
      <c r="AB61">
        <f t="shared" si="0"/>
        <v>58</v>
      </c>
      <c r="AC61">
        <v>0.6</v>
      </c>
      <c r="AD61">
        <v>0.62</v>
      </c>
      <c r="AE61">
        <v>1.39</v>
      </c>
      <c r="AJ61">
        <v>58</v>
      </c>
      <c r="AK61">
        <v>0.8</v>
      </c>
      <c r="AL61">
        <v>0.83</v>
      </c>
      <c r="AM61">
        <v>1.42</v>
      </c>
    </row>
    <row r="62" spans="1:39" x14ac:dyDescent="0.2">
      <c r="A62" t="s">
        <v>64</v>
      </c>
      <c r="B62" t="s">
        <v>7</v>
      </c>
      <c r="D62">
        <v>0.27</v>
      </c>
      <c r="E62">
        <v>0.28999999999999998</v>
      </c>
      <c r="F62" t="s">
        <v>5</v>
      </c>
      <c r="L62" t="s">
        <v>145</v>
      </c>
      <c r="M62" t="s">
        <v>88</v>
      </c>
      <c r="O62">
        <v>7.0000000000000007E-2</v>
      </c>
      <c r="P62">
        <v>0.11</v>
      </c>
      <c r="Q62" t="s">
        <v>5</v>
      </c>
      <c r="T62" t="s">
        <v>231</v>
      </c>
      <c r="U62" t="s">
        <v>88</v>
      </c>
      <c r="V62">
        <v>0.15</v>
      </c>
      <c r="W62">
        <v>0.19</v>
      </c>
      <c r="X62" t="s">
        <v>5</v>
      </c>
      <c r="AB62">
        <f t="shared" si="0"/>
        <v>59</v>
      </c>
      <c r="AC62">
        <v>0.27</v>
      </c>
      <c r="AD62">
        <v>7.0000000000000007E-2</v>
      </c>
      <c r="AE62">
        <v>0.15</v>
      </c>
      <c r="AJ62">
        <v>59</v>
      </c>
      <c r="AK62">
        <v>0.28999999999999998</v>
      </c>
      <c r="AL62">
        <v>0.11</v>
      </c>
      <c r="AM62">
        <v>0.19</v>
      </c>
    </row>
    <row r="63" spans="1:39" x14ac:dyDescent="0.2">
      <c r="A63" t="s">
        <v>65</v>
      </c>
      <c r="B63" t="s">
        <v>7</v>
      </c>
      <c r="D63">
        <v>0.09</v>
      </c>
      <c r="E63">
        <v>0.12</v>
      </c>
      <c r="F63" t="s">
        <v>5</v>
      </c>
      <c r="L63" t="s">
        <v>146</v>
      </c>
      <c r="M63" t="s">
        <v>88</v>
      </c>
      <c r="O63">
        <v>0.01</v>
      </c>
      <c r="P63">
        <v>0.04</v>
      </c>
      <c r="Q63" t="s">
        <v>5</v>
      </c>
      <c r="T63" t="s">
        <v>232</v>
      </c>
      <c r="U63" t="s">
        <v>88</v>
      </c>
      <c r="V63">
        <v>0.03</v>
      </c>
      <c r="W63">
        <v>0.06</v>
      </c>
      <c r="X63" t="s">
        <v>5</v>
      </c>
      <c r="AB63">
        <f t="shared" si="0"/>
        <v>60</v>
      </c>
      <c r="AC63">
        <v>0.09</v>
      </c>
      <c r="AD63">
        <v>0.01</v>
      </c>
      <c r="AE63">
        <v>0.03</v>
      </c>
      <c r="AJ63">
        <v>60</v>
      </c>
      <c r="AK63">
        <v>0.12</v>
      </c>
      <c r="AL63">
        <v>0.04</v>
      </c>
      <c r="AM63">
        <v>0.06</v>
      </c>
    </row>
    <row r="64" spans="1:39" x14ac:dyDescent="0.2">
      <c r="A64" t="s">
        <v>66</v>
      </c>
      <c r="B64" t="s">
        <v>3</v>
      </c>
      <c r="C64" t="s">
        <v>4</v>
      </c>
      <c r="D64">
        <v>0.68</v>
      </c>
      <c r="E64">
        <v>0.89</v>
      </c>
      <c r="F64" t="s">
        <v>5</v>
      </c>
      <c r="L64" t="s">
        <v>147</v>
      </c>
      <c r="M64" t="s">
        <v>3</v>
      </c>
      <c r="N64" t="s">
        <v>4</v>
      </c>
      <c r="O64">
        <v>0.73</v>
      </c>
      <c r="P64">
        <v>0.94</v>
      </c>
      <c r="Q64" t="s">
        <v>5</v>
      </c>
      <c r="T64" t="s">
        <v>233</v>
      </c>
      <c r="U64" t="s">
        <v>88</v>
      </c>
      <c r="V64">
        <v>1.63</v>
      </c>
      <c r="W64">
        <v>1.65</v>
      </c>
      <c r="X64" t="s">
        <v>5</v>
      </c>
      <c r="AB64">
        <f t="shared" si="0"/>
        <v>61</v>
      </c>
      <c r="AC64">
        <v>0.68</v>
      </c>
      <c r="AD64">
        <v>0.73</v>
      </c>
      <c r="AE64">
        <v>1.63</v>
      </c>
      <c r="AJ64">
        <v>61</v>
      </c>
      <c r="AK64">
        <v>0.89</v>
      </c>
      <c r="AL64">
        <v>0.94</v>
      </c>
      <c r="AM64">
        <v>1.65</v>
      </c>
    </row>
    <row r="65" spans="1:39" x14ac:dyDescent="0.2">
      <c r="A65" t="s">
        <v>67</v>
      </c>
      <c r="B65" t="s">
        <v>7</v>
      </c>
      <c r="D65">
        <v>0.32</v>
      </c>
      <c r="E65">
        <v>0.34</v>
      </c>
      <c r="F65" t="s">
        <v>5</v>
      </c>
      <c r="L65" t="s">
        <v>148</v>
      </c>
      <c r="M65" t="s">
        <v>88</v>
      </c>
      <c r="O65">
        <v>0.08</v>
      </c>
      <c r="P65">
        <v>0.12</v>
      </c>
      <c r="Q65" t="s">
        <v>5</v>
      </c>
      <c r="T65" t="s">
        <v>234</v>
      </c>
      <c r="U65" t="s">
        <v>88</v>
      </c>
      <c r="V65">
        <v>0.18</v>
      </c>
      <c r="W65">
        <v>0.19</v>
      </c>
      <c r="X65" t="s">
        <v>5</v>
      </c>
      <c r="AB65">
        <f t="shared" si="0"/>
        <v>62</v>
      </c>
      <c r="AC65">
        <v>0.32</v>
      </c>
      <c r="AD65">
        <v>0.08</v>
      </c>
      <c r="AE65">
        <v>0.18</v>
      </c>
      <c r="AJ65">
        <v>62</v>
      </c>
      <c r="AK65">
        <v>0.34</v>
      </c>
      <c r="AL65">
        <v>0.12</v>
      </c>
      <c r="AM65">
        <v>0.19</v>
      </c>
    </row>
    <row r="66" spans="1:39" x14ac:dyDescent="0.2">
      <c r="A66" t="s">
        <v>68</v>
      </c>
      <c r="B66" t="s">
        <v>7</v>
      </c>
      <c r="D66">
        <v>0.09</v>
      </c>
      <c r="E66">
        <v>0.14000000000000001</v>
      </c>
      <c r="F66" t="s">
        <v>5</v>
      </c>
      <c r="L66" t="s">
        <v>149</v>
      </c>
      <c r="M66" t="s">
        <v>88</v>
      </c>
      <c r="O66">
        <v>0.01</v>
      </c>
      <c r="P66">
        <v>0.04</v>
      </c>
      <c r="Q66" t="s">
        <v>5</v>
      </c>
      <c r="T66" t="s">
        <v>235</v>
      </c>
      <c r="U66" t="s">
        <v>88</v>
      </c>
      <c r="V66">
        <v>0.03</v>
      </c>
      <c r="W66">
        <v>0.05</v>
      </c>
      <c r="X66" t="s">
        <v>5</v>
      </c>
      <c r="AB66">
        <f t="shared" si="0"/>
        <v>63</v>
      </c>
      <c r="AC66">
        <v>0.09</v>
      </c>
      <c r="AD66">
        <v>0.01</v>
      </c>
      <c r="AE66">
        <v>0.03</v>
      </c>
      <c r="AJ66">
        <v>63</v>
      </c>
      <c r="AK66">
        <v>0.14000000000000001</v>
      </c>
      <c r="AL66">
        <v>0.04</v>
      </c>
      <c r="AM66">
        <v>0.05</v>
      </c>
    </row>
    <row r="67" spans="1:39" x14ac:dyDescent="0.2">
      <c r="A67" t="s">
        <v>69</v>
      </c>
      <c r="B67" t="s">
        <v>3</v>
      </c>
      <c r="C67" t="s">
        <v>4</v>
      </c>
      <c r="D67">
        <v>0.76</v>
      </c>
      <c r="E67">
        <v>0.95</v>
      </c>
      <c r="F67" t="s">
        <v>5</v>
      </c>
      <c r="L67" t="s">
        <v>150</v>
      </c>
      <c r="M67" t="s">
        <v>3</v>
      </c>
      <c r="N67" t="s">
        <v>4</v>
      </c>
      <c r="O67">
        <v>0.84</v>
      </c>
      <c r="P67">
        <v>1.04</v>
      </c>
      <c r="Q67" t="s">
        <v>5</v>
      </c>
      <c r="T67" t="s">
        <v>236</v>
      </c>
      <c r="U67" t="s">
        <v>88</v>
      </c>
      <c r="V67">
        <v>1.85</v>
      </c>
      <c r="W67">
        <v>1.87</v>
      </c>
      <c r="X67" t="s">
        <v>5</v>
      </c>
      <c r="AB67">
        <f t="shared" si="0"/>
        <v>64</v>
      </c>
      <c r="AC67">
        <v>0.76</v>
      </c>
      <c r="AD67">
        <v>0.84</v>
      </c>
      <c r="AE67">
        <v>1.85</v>
      </c>
      <c r="AJ67">
        <v>64</v>
      </c>
      <c r="AK67">
        <v>0.95</v>
      </c>
      <c r="AL67">
        <v>1.04</v>
      </c>
      <c r="AM67">
        <v>1.87</v>
      </c>
    </row>
    <row r="68" spans="1:39" x14ac:dyDescent="0.2">
      <c r="A68" t="s">
        <v>70</v>
      </c>
      <c r="B68" t="s">
        <v>7</v>
      </c>
      <c r="D68">
        <v>0.39</v>
      </c>
      <c r="E68">
        <v>0.41</v>
      </c>
      <c r="F68" t="s">
        <v>5</v>
      </c>
      <c r="L68" t="s">
        <v>151</v>
      </c>
      <c r="M68" t="s">
        <v>88</v>
      </c>
      <c r="O68">
        <v>0.09</v>
      </c>
      <c r="P68">
        <v>0.13</v>
      </c>
      <c r="Q68" t="s">
        <v>5</v>
      </c>
      <c r="T68" t="s">
        <v>237</v>
      </c>
      <c r="U68" t="s">
        <v>88</v>
      </c>
      <c r="V68">
        <v>0.2</v>
      </c>
      <c r="W68">
        <v>0.22</v>
      </c>
      <c r="X68" t="s">
        <v>5</v>
      </c>
      <c r="AB68">
        <f t="shared" si="0"/>
        <v>65</v>
      </c>
      <c r="AC68">
        <v>0.39</v>
      </c>
      <c r="AD68">
        <v>0.09</v>
      </c>
      <c r="AE68">
        <v>0.2</v>
      </c>
      <c r="AJ68">
        <v>65</v>
      </c>
      <c r="AK68">
        <v>0.41</v>
      </c>
      <c r="AL68">
        <v>0.13</v>
      </c>
      <c r="AM68">
        <v>0.22</v>
      </c>
    </row>
    <row r="69" spans="1:39" x14ac:dyDescent="0.2">
      <c r="A69" t="s">
        <v>71</v>
      </c>
      <c r="B69" t="s">
        <v>7</v>
      </c>
      <c r="D69">
        <v>0.1</v>
      </c>
      <c r="E69">
        <v>0.11</v>
      </c>
      <c r="F69" t="s">
        <v>5</v>
      </c>
      <c r="L69" t="s">
        <v>152</v>
      </c>
      <c r="M69" t="s">
        <v>88</v>
      </c>
      <c r="O69">
        <v>0.01</v>
      </c>
      <c r="P69">
        <v>0.06</v>
      </c>
      <c r="Q69" t="s">
        <v>5</v>
      </c>
      <c r="T69" t="s">
        <v>238</v>
      </c>
      <c r="U69" t="s">
        <v>88</v>
      </c>
      <c r="V69">
        <v>0.03</v>
      </c>
      <c r="W69">
        <v>0.06</v>
      </c>
      <c r="X69" t="s">
        <v>5</v>
      </c>
      <c r="AB69">
        <f t="shared" si="0"/>
        <v>66</v>
      </c>
      <c r="AC69">
        <v>0.1</v>
      </c>
      <c r="AD69">
        <v>0.01</v>
      </c>
      <c r="AE69">
        <v>0.03</v>
      </c>
      <c r="AJ69">
        <v>66</v>
      </c>
      <c r="AK69">
        <v>0.11</v>
      </c>
      <c r="AL69">
        <v>0.06</v>
      </c>
      <c r="AM69">
        <v>0.06</v>
      </c>
    </row>
    <row r="70" spans="1:39" x14ac:dyDescent="0.2">
      <c r="A70" t="s">
        <v>72</v>
      </c>
      <c r="B70" t="s">
        <v>3</v>
      </c>
      <c r="C70" t="s">
        <v>4</v>
      </c>
      <c r="D70">
        <v>0.83</v>
      </c>
      <c r="E70">
        <v>1.03</v>
      </c>
      <c r="F70" t="s">
        <v>5</v>
      </c>
      <c r="L70" t="s">
        <v>153</v>
      </c>
      <c r="M70" t="s">
        <v>3</v>
      </c>
      <c r="N70" t="s">
        <v>4</v>
      </c>
      <c r="O70">
        <v>0.96</v>
      </c>
      <c r="P70">
        <v>1.1599999999999999</v>
      </c>
      <c r="Q70" t="s">
        <v>5</v>
      </c>
      <c r="T70" t="s">
        <v>239</v>
      </c>
      <c r="U70" t="s">
        <v>88</v>
      </c>
      <c r="V70">
        <v>2.09</v>
      </c>
      <c r="W70">
        <v>2.11</v>
      </c>
      <c r="X70" t="s">
        <v>5</v>
      </c>
      <c r="AB70">
        <f t="shared" ref="AB70:AB72" si="1">AB69+1</f>
        <v>67</v>
      </c>
      <c r="AC70">
        <v>0.83</v>
      </c>
      <c r="AD70">
        <v>0.96</v>
      </c>
      <c r="AE70">
        <v>2.09</v>
      </c>
      <c r="AJ70">
        <v>67</v>
      </c>
      <c r="AK70">
        <v>1.03</v>
      </c>
      <c r="AL70">
        <v>1.1599999999999999</v>
      </c>
      <c r="AM70">
        <v>2.11</v>
      </c>
    </row>
    <row r="71" spans="1:39" x14ac:dyDescent="0.2">
      <c r="A71" t="s">
        <v>73</v>
      </c>
      <c r="B71" t="s">
        <v>7</v>
      </c>
      <c r="D71">
        <v>0.45</v>
      </c>
      <c r="E71">
        <v>0.47</v>
      </c>
      <c r="F71" t="s">
        <v>5</v>
      </c>
      <c r="L71" t="s">
        <v>154</v>
      </c>
      <c r="M71" t="s">
        <v>88</v>
      </c>
      <c r="O71">
        <v>0.1</v>
      </c>
      <c r="P71">
        <v>0.14000000000000001</v>
      </c>
      <c r="Q71" t="s">
        <v>5</v>
      </c>
      <c r="T71" t="s">
        <v>240</v>
      </c>
      <c r="U71" t="s">
        <v>88</v>
      </c>
      <c r="V71">
        <v>0.22</v>
      </c>
      <c r="W71">
        <v>0.25</v>
      </c>
      <c r="X71" t="s">
        <v>5</v>
      </c>
      <c r="AB71">
        <f t="shared" si="1"/>
        <v>68</v>
      </c>
      <c r="AC71">
        <v>0.45</v>
      </c>
      <c r="AD71">
        <v>0.1</v>
      </c>
      <c r="AE71">
        <v>0.22</v>
      </c>
      <c r="AJ71">
        <v>68</v>
      </c>
      <c r="AK71">
        <v>0.47</v>
      </c>
      <c r="AL71">
        <v>0.14000000000000001</v>
      </c>
      <c r="AM71">
        <v>0.25</v>
      </c>
    </row>
    <row r="72" spans="1:39" x14ac:dyDescent="0.2">
      <c r="A72" t="s">
        <v>74</v>
      </c>
      <c r="B72" t="s">
        <v>7</v>
      </c>
      <c r="D72">
        <v>0.1</v>
      </c>
      <c r="E72">
        <v>0.12</v>
      </c>
      <c r="F72" t="s">
        <v>5</v>
      </c>
      <c r="L72" t="s">
        <v>155</v>
      </c>
      <c r="M72" t="s">
        <v>156</v>
      </c>
      <c r="O72">
        <v>0</v>
      </c>
      <c r="P72">
        <v>0.05</v>
      </c>
      <c r="Q72" t="s">
        <v>5</v>
      </c>
      <c r="T72" t="s">
        <v>241</v>
      </c>
      <c r="U72" t="s">
        <v>88</v>
      </c>
      <c r="V72">
        <v>0.04</v>
      </c>
      <c r="W72">
        <v>0.05</v>
      </c>
      <c r="X72" t="s">
        <v>5</v>
      </c>
      <c r="AB72">
        <f t="shared" si="1"/>
        <v>69</v>
      </c>
      <c r="AC72">
        <v>0.1</v>
      </c>
      <c r="AD72">
        <v>0</v>
      </c>
      <c r="AE72">
        <v>0.04</v>
      </c>
      <c r="AJ72">
        <v>69</v>
      </c>
      <c r="AK72">
        <v>0.12</v>
      </c>
      <c r="AL72">
        <v>0.05</v>
      </c>
      <c r="AM72">
        <v>0.05</v>
      </c>
    </row>
    <row r="73" spans="1:39" x14ac:dyDescent="0.2">
      <c r="L73" t="s">
        <v>80</v>
      </c>
      <c r="M73" t="s">
        <v>81</v>
      </c>
      <c r="N73" t="s">
        <v>82</v>
      </c>
      <c r="O73" t="s">
        <v>83</v>
      </c>
      <c r="P73" t="s">
        <v>84</v>
      </c>
      <c r="Q73" t="s">
        <v>85</v>
      </c>
      <c r="T73" t="s">
        <v>170</v>
      </c>
      <c r="U73" t="s">
        <v>171</v>
      </c>
      <c r="V73" t="s">
        <v>172</v>
      </c>
      <c r="W73" t="s">
        <v>84</v>
      </c>
      <c r="X73" t="s">
        <v>85</v>
      </c>
    </row>
    <row r="74" spans="1:39" x14ac:dyDescent="0.2">
      <c r="L74" t="s">
        <v>157</v>
      </c>
      <c r="M74" t="s">
        <v>7</v>
      </c>
      <c r="O74">
        <v>122.19</v>
      </c>
      <c r="P74">
        <v>180.95</v>
      </c>
      <c r="Q74" t="s">
        <v>158</v>
      </c>
      <c r="T74" t="s">
        <v>157</v>
      </c>
      <c r="U74" t="s">
        <v>7</v>
      </c>
      <c r="V74">
        <v>301.94</v>
      </c>
      <c r="W74">
        <v>351.62</v>
      </c>
      <c r="X74" t="s">
        <v>158</v>
      </c>
    </row>
    <row r="76" spans="1:39" x14ac:dyDescent="0.2">
      <c r="L76" t="s">
        <v>159</v>
      </c>
      <c r="T76" t="s">
        <v>159</v>
      </c>
    </row>
    <row r="77" spans="1:39" x14ac:dyDescent="0.2">
      <c r="L77" t="s">
        <v>160</v>
      </c>
      <c r="T77" t="s">
        <v>160</v>
      </c>
    </row>
    <row r="78" spans="1:39" x14ac:dyDescent="0.2">
      <c r="L78" t="s">
        <v>161</v>
      </c>
      <c r="T78" t="s">
        <v>161</v>
      </c>
    </row>
    <row r="79" spans="1:39" x14ac:dyDescent="0.2">
      <c r="L79" t="s">
        <v>162</v>
      </c>
      <c r="T79" t="s">
        <v>162</v>
      </c>
    </row>
    <row r="80" spans="1:39" x14ac:dyDescent="0.2">
      <c r="L80" t="s">
        <v>163</v>
      </c>
      <c r="T80" t="s">
        <v>163</v>
      </c>
    </row>
    <row r="81" spans="12:20" x14ac:dyDescent="0.2">
      <c r="L81" t="s">
        <v>164</v>
      </c>
      <c r="T81" t="s">
        <v>164</v>
      </c>
    </row>
    <row r="82" spans="12:20" x14ac:dyDescent="0.2">
      <c r="L82" t="s">
        <v>165</v>
      </c>
      <c r="T82" t="s">
        <v>165</v>
      </c>
    </row>
    <row r="83" spans="12:20" x14ac:dyDescent="0.2">
      <c r="L83" t="s">
        <v>166</v>
      </c>
      <c r="T83" t="s">
        <v>166</v>
      </c>
    </row>
  </sheetData>
  <mergeCells count="5">
    <mergeCell ref="AB2:AE2"/>
    <mergeCell ref="AJ2:AM2"/>
    <mergeCell ref="A1:F1"/>
    <mergeCell ref="L1:Q1"/>
    <mergeCell ref="T1:X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0"/>
  <sheetViews>
    <sheetView workbookViewId="0">
      <selection activeCell="D11" sqref="D11"/>
    </sheetView>
  </sheetViews>
  <sheetFormatPr baseColWidth="10" defaultColWidth="8.83203125" defaultRowHeight="15" x14ac:dyDescent="0.2"/>
  <cols>
    <col min="30" max="33" width="15.6640625" customWidth="1"/>
  </cols>
  <sheetData>
    <row r="1" spans="1:33" x14ac:dyDescent="0.2">
      <c r="A1" t="s">
        <v>245</v>
      </c>
      <c r="B1" t="s">
        <v>76</v>
      </c>
      <c r="C1" t="s">
        <v>246</v>
      </c>
      <c r="D1" t="s">
        <v>247</v>
      </c>
      <c r="E1" t="s">
        <v>248</v>
      </c>
      <c r="K1" t="s">
        <v>250</v>
      </c>
      <c r="L1" t="s">
        <v>76</v>
      </c>
      <c r="M1" t="s">
        <v>246</v>
      </c>
      <c r="N1" t="s">
        <v>247</v>
      </c>
      <c r="O1" t="s">
        <v>248</v>
      </c>
      <c r="V1" t="s">
        <v>251</v>
      </c>
      <c r="W1" t="s">
        <v>76</v>
      </c>
      <c r="X1" t="s">
        <v>246</v>
      </c>
      <c r="Y1" t="s">
        <v>247</v>
      </c>
      <c r="Z1" t="s">
        <v>248</v>
      </c>
      <c r="AD1" t="s">
        <v>167</v>
      </c>
      <c r="AE1" t="s">
        <v>168</v>
      </c>
      <c r="AF1" t="s">
        <v>169</v>
      </c>
      <c r="AG1" t="s">
        <v>242</v>
      </c>
    </row>
    <row r="2" spans="1:33" x14ac:dyDescent="0.2">
      <c r="A2" t="s">
        <v>2</v>
      </c>
      <c r="B2" t="s">
        <v>249</v>
      </c>
      <c r="C2">
        <v>0.91024016799999996</v>
      </c>
      <c r="D2">
        <v>1.1092971935868201</v>
      </c>
      <c r="E2">
        <v>72.998912000000004</v>
      </c>
      <c r="K2" t="s">
        <v>86</v>
      </c>
      <c r="L2" t="s">
        <v>249</v>
      </c>
      <c r="M2">
        <v>1.064280884</v>
      </c>
      <c r="N2">
        <v>1.2837625797837899</v>
      </c>
      <c r="O2">
        <v>67.883008000000004</v>
      </c>
      <c r="V2" t="s">
        <v>173</v>
      </c>
      <c r="W2" t="s">
        <v>88</v>
      </c>
      <c r="X2">
        <v>2.3189765050000002</v>
      </c>
      <c r="Y2">
        <v>2.3455488663166699</v>
      </c>
      <c r="Z2">
        <v>13.225984</v>
      </c>
      <c r="AD2">
        <v>1</v>
      </c>
      <c r="AE2">
        <v>72.998912000000004</v>
      </c>
      <c r="AF2">
        <v>67.883008000000004</v>
      </c>
      <c r="AG2">
        <v>13.225984</v>
      </c>
    </row>
    <row r="3" spans="1:33" x14ac:dyDescent="0.2">
      <c r="A3" t="s">
        <v>6</v>
      </c>
      <c r="B3" t="s">
        <v>7</v>
      </c>
      <c r="C3">
        <v>0.534554627</v>
      </c>
      <c r="D3">
        <v>0.54864433780312505</v>
      </c>
      <c r="E3">
        <v>37.212159999999997</v>
      </c>
      <c r="K3" t="s">
        <v>87</v>
      </c>
      <c r="L3" t="s">
        <v>88</v>
      </c>
      <c r="M3">
        <v>0.11561318299999999</v>
      </c>
      <c r="N3">
        <v>0.151449479162693</v>
      </c>
      <c r="O3">
        <v>8.3763199999999998</v>
      </c>
      <c r="V3" t="s">
        <v>174</v>
      </c>
      <c r="W3" t="s">
        <v>88</v>
      </c>
      <c r="X3">
        <v>0.24398524899999999</v>
      </c>
      <c r="Y3">
        <v>0.25768203660845701</v>
      </c>
      <c r="Z3">
        <v>2.8712960000000001</v>
      </c>
      <c r="AD3">
        <f>AD2+1</f>
        <v>2</v>
      </c>
      <c r="AE3">
        <v>37.212159999999997</v>
      </c>
      <c r="AF3">
        <v>8.3763199999999998</v>
      </c>
      <c r="AG3">
        <v>2.8712960000000001</v>
      </c>
    </row>
    <row r="4" spans="1:33" x14ac:dyDescent="0.2">
      <c r="A4" t="s">
        <v>8</v>
      </c>
      <c r="B4" t="s">
        <v>7</v>
      </c>
      <c r="C4">
        <v>9.8642181999999995E-2</v>
      </c>
      <c r="D4">
        <v>0.12434040382504399</v>
      </c>
      <c r="E4">
        <v>7.1966720000000004</v>
      </c>
      <c r="K4" t="s">
        <v>89</v>
      </c>
      <c r="L4" t="s">
        <v>88</v>
      </c>
      <c r="M4">
        <v>1.5612252E-2</v>
      </c>
      <c r="N4">
        <v>3.6124721169471699E-2</v>
      </c>
      <c r="O4">
        <v>2.3552</v>
      </c>
      <c r="V4" t="s">
        <v>175</v>
      </c>
      <c r="W4" t="s">
        <v>88</v>
      </c>
      <c r="X4">
        <v>3.7891604000000002E-2</v>
      </c>
      <c r="Y4">
        <v>6.2400607392191797E-2</v>
      </c>
      <c r="Z4">
        <v>1.8227199999999999</v>
      </c>
      <c r="AD4">
        <f t="shared" ref="AD4:AD67" si="0">AD3+1</f>
        <v>3</v>
      </c>
      <c r="AE4">
        <v>7.1966720000000004</v>
      </c>
      <c r="AF4">
        <v>2.3552</v>
      </c>
      <c r="AG4">
        <v>1.8227199999999999</v>
      </c>
    </row>
    <row r="5" spans="1:33" x14ac:dyDescent="0.2">
      <c r="A5" t="s">
        <v>9</v>
      </c>
      <c r="B5" t="s">
        <v>249</v>
      </c>
      <c r="C5">
        <v>0.98553326900000005</v>
      </c>
      <c r="D5">
        <v>1.18898480199277</v>
      </c>
      <c r="E5">
        <v>74.829824000000002</v>
      </c>
      <c r="K5" t="s">
        <v>90</v>
      </c>
      <c r="L5" t="s">
        <v>249</v>
      </c>
      <c r="M5">
        <v>1.18371129</v>
      </c>
      <c r="N5">
        <v>1.3953733015805401</v>
      </c>
      <c r="O5">
        <v>74.698751999999999</v>
      </c>
      <c r="V5" t="s">
        <v>176</v>
      </c>
      <c r="W5" t="s">
        <v>88</v>
      </c>
      <c r="X5">
        <v>2.5618904119999999</v>
      </c>
      <c r="Y5">
        <v>2.5852396562695499</v>
      </c>
      <c r="Z5">
        <v>14.409727999999999</v>
      </c>
      <c r="AD5">
        <f t="shared" si="0"/>
        <v>4</v>
      </c>
      <c r="AE5">
        <v>74.829824000000002</v>
      </c>
      <c r="AF5">
        <v>74.698751999999999</v>
      </c>
      <c r="AG5">
        <v>14.409727999999999</v>
      </c>
    </row>
    <row r="6" spans="1:33" x14ac:dyDescent="0.2">
      <c r="A6" t="s">
        <v>10</v>
      </c>
      <c r="B6" t="s">
        <v>7</v>
      </c>
      <c r="C6">
        <v>8.6739372999999995E-2</v>
      </c>
      <c r="D6">
        <v>9.6054365858435603E-2</v>
      </c>
      <c r="E6">
        <v>5.75488</v>
      </c>
      <c r="K6" t="s">
        <v>91</v>
      </c>
      <c r="L6" t="s">
        <v>88</v>
      </c>
      <c r="M6">
        <v>5.9194149999999999E-3</v>
      </c>
      <c r="N6">
        <v>4.3807469308376298E-2</v>
      </c>
      <c r="O6">
        <v>1.69984</v>
      </c>
      <c r="V6" t="s">
        <v>177</v>
      </c>
      <c r="W6" t="s">
        <v>88</v>
      </c>
      <c r="X6">
        <v>1.8244864999999999E-2</v>
      </c>
      <c r="Y6">
        <v>3.3435044810175799E-2</v>
      </c>
      <c r="Z6">
        <v>1.69984</v>
      </c>
      <c r="AD6">
        <f t="shared" si="0"/>
        <v>5</v>
      </c>
      <c r="AE6">
        <v>5.75488</v>
      </c>
      <c r="AF6">
        <v>1.69984</v>
      </c>
      <c r="AG6">
        <v>1.69984</v>
      </c>
    </row>
    <row r="7" spans="1:33" x14ac:dyDescent="0.2">
      <c r="A7" t="s">
        <v>11</v>
      </c>
      <c r="B7" t="s">
        <v>249</v>
      </c>
      <c r="C7">
        <v>1.0777576209999999</v>
      </c>
      <c r="D7">
        <v>1.2808755189180301</v>
      </c>
      <c r="E7">
        <v>76.664832000000004</v>
      </c>
      <c r="K7" t="s">
        <v>92</v>
      </c>
      <c r="L7" t="s">
        <v>249</v>
      </c>
      <c r="M7">
        <v>1.2854040369999999</v>
      </c>
      <c r="N7">
        <v>1.47986883483827</v>
      </c>
      <c r="O7">
        <v>81.252352000000002</v>
      </c>
      <c r="V7" t="s">
        <v>178</v>
      </c>
      <c r="W7" t="s">
        <v>88</v>
      </c>
      <c r="X7">
        <v>2.780773135</v>
      </c>
      <c r="Y7">
        <v>2.8001185245811899</v>
      </c>
      <c r="Z7">
        <v>15.585279999999999</v>
      </c>
      <c r="AD7">
        <f t="shared" si="0"/>
        <v>6</v>
      </c>
      <c r="AE7">
        <v>76.664832000000004</v>
      </c>
      <c r="AF7">
        <v>81.252352000000002</v>
      </c>
      <c r="AG7">
        <v>15.585279999999999</v>
      </c>
    </row>
    <row r="8" spans="1:33" x14ac:dyDescent="0.2">
      <c r="A8" t="s">
        <v>12</v>
      </c>
      <c r="B8" t="s">
        <v>249</v>
      </c>
      <c r="C8">
        <v>1.1578025649999999</v>
      </c>
      <c r="D8">
        <v>1.37222324311733</v>
      </c>
      <c r="E8">
        <v>78.761983999999998</v>
      </c>
      <c r="K8" t="s">
        <v>93</v>
      </c>
      <c r="L8" t="s">
        <v>249</v>
      </c>
      <c r="M8">
        <v>1.3936845760000001</v>
      </c>
      <c r="N8">
        <v>1.60426086001098</v>
      </c>
      <c r="O8">
        <v>87.805952000000005</v>
      </c>
      <c r="V8" t="s">
        <v>179</v>
      </c>
      <c r="W8" t="s">
        <v>88</v>
      </c>
      <c r="X8">
        <v>3.0278930970000002</v>
      </c>
      <c r="Y8">
        <v>3.0618820954114199</v>
      </c>
      <c r="Z8">
        <v>16.764928000000001</v>
      </c>
      <c r="AD8">
        <f t="shared" si="0"/>
        <v>7</v>
      </c>
      <c r="AE8">
        <v>78.761983999999998</v>
      </c>
      <c r="AF8">
        <v>87.805952000000005</v>
      </c>
      <c r="AG8">
        <v>16.764928000000001</v>
      </c>
    </row>
    <row r="9" spans="1:33" x14ac:dyDescent="0.2">
      <c r="A9" t="s">
        <v>13</v>
      </c>
      <c r="B9" t="s">
        <v>249</v>
      </c>
      <c r="C9">
        <v>1.073160924</v>
      </c>
      <c r="D9">
        <v>1.2740041408687801</v>
      </c>
      <c r="E9">
        <v>75.751424</v>
      </c>
      <c r="K9" t="s">
        <v>94</v>
      </c>
      <c r="L9" t="s">
        <v>249</v>
      </c>
      <c r="M9">
        <v>1.5170000029999999</v>
      </c>
      <c r="N9">
        <v>1.7317039854824501</v>
      </c>
      <c r="O9">
        <v>94.490623999999997</v>
      </c>
      <c r="V9" t="s">
        <v>180</v>
      </c>
      <c r="W9" t="s">
        <v>88</v>
      </c>
      <c r="X9">
        <v>3.2495241469999998</v>
      </c>
      <c r="Y9">
        <v>3.2852568309754102</v>
      </c>
      <c r="Z9">
        <v>17.813503999999998</v>
      </c>
      <c r="AD9">
        <f t="shared" si="0"/>
        <v>8</v>
      </c>
      <c r="AE9">
        <v>75.751424</v>
      </c>
      <c r="AF9">
        <v>94.490623999999997</v>
      </c>
      <c r="AG9">
        <v>17.813503999999998</v>
      </c>
    </row>
    <row r="10" spans="1:33" x14ac:dyDescent="0.2">
      <c r="A10" t="s">
        <v>14</v>
      </c>
      <c r="B10" t="s">
        <v>249</v>
      </c>
      <c r="C10">
        <v>1.1481801410000001</v>
      </c>
      <c r="D10">
        <v>1.3531528674066</v>
      </c>
      <c r="E10">
        <v>79.941631999999998</v>
      </c>
      <c r="K10" t="s">
        <v>95</v>
      </c>
      <c r="L10" t="s">
        <v>249</v>
      </c>
      <c r="M10">
        <v>1.625909335</v>
      </c>
      <c r="N10">
        <v>1.8231928925961201</v>
      </c>
      <c r="O10">
        <v>101.044224</v>
      </c>
      <c r="V10" t="s">
        <v>181</v>
      </c>
      <c r="W10" t="s">
        <v>88</v>
      </c>
      <c r="X10">
        <v>3.4852316029999999</v>
      </c>
      <c r="Y10">
        <v>3.5058262348175</v>
      </c>
      <c r="Z10">
        <v>18.993151999999998</v>
      </c>
      <c r="AD10">
        <f t="shared" si="0"/>
        <v>9</v>
      </c>
      <c r="AE10">
        <v>79.941631999999998</v>
      </c>
      <c r="AF10">
        <v>101.044224</v>
      </c>
      <c r="AG10">
        <v>18.993151999999998</v>
      </c>
    </row>
    <row r="11" spans="1:33" x14ac:dyDescent="0.2">
      <c r="A11" t="s">
        <v>15</v>
      </c>
      <c r="B11" t="s">
        <v>249</v>
      </c>
      <c r="C11">
        <v>1.2160115199999999</v>
      </c>
      <c r="D11">
        <v>1.43315135501325</v>
      </c>
      <c r="E11">
        <v>84.267008000000004</v>
      </c>
      <c r="K11" t="s">
        <v>96</v>
      </c>
      <c r="L11" t="s">
        <v>249</v>
      </c>
      <c r="M11">
        <v>1.741180733</v>
      </c>
      <c r="N11">
        <v>1.9397290199995001</v>
      </c>
      <c r="O11">
        <v>107.72889600000001</v>
      </c>
      <c r="V11" t="s">
        <v>182</v>
      </c>
      <c r="W11" t="s">
        <v>88</v>
      </c>
      <c r="X11">
        <v>3.7155015219999998</v>
      </c>
      <c r="Y11">
        <v>3.7457444053143201</v>
      </c>
      <c r="Z11">
        <v>20.172799999999999</v>
      </c>
      <c r="AD11">
        <f t="shared" si="0"/>
        <v>10</v>
      </c>
      <c r="AE11">
        <v>84.267008000000004</v>
      </c>
      <c r="AF11">
        <v>107.72889600000001</v>
      </c>
      <c r="AG11">
        <v>20.172799999999999</v>
      </c>
    </row>
    <row r="12" spans="1:33" x14ac:dyDescent="0.2">
      <c r="A12" t="s">
        <v>16</v>
      </c>
      <c r="B12" t="s">
        <v>249</v>
      </c>
      <c r="C12">
        <v>1.3107638619999999</v>
      </c>
      <c r="D12">
        <v>1.5176299680024301</v>
      </c>
      <c r="E12">
        <v>88.330240000000003</v>
      </c>
      <c r="K12" t="s">
        <v>97</v>
      </c>
      <c r="L12" t="s">
        <v>249</v>
      </c>
      <c r="M12">
        <v>1.8639452110000001</v>
      </c>
      <c r="N12">
        <v>2.0837925318628501</v>
      </c>
      <c r="O12">
        <v>114.413568</v>
      </c>
      <c r="V12" t="s">
        <v>183</v>
      </c>
      <c r="W12" t="s">
        <v>88</v>
      </c>
      <c r="X12">
        <v>3.9762817419999998</v>
      </c>
      <c r="Y12">
        <v>4.0063236281275696</v>
      </c>
      <c r="Z12">
        <v>21.356544</v>
      </c>
      <c r="AD12">
        <f t="shared" si="0"/>
        <v>11</v>
      </c>
      <c r="AE12">
        <v>88.330240000000003</v>
      </c>
      <c r="AF12">
        <v>114.413568</v>
      </c>
      <c r="AG12">
        <v>21.356544</v>
      </c>
    </row>
    <row r="13" spans="1:33" x14ac:dyDescent="0.2">
      <c r="A13" t="s">
        <v>17</v>
      </c>
      <c r="B13" t="s">
        <v>249</v>
      </c>
      <c r="C13">
        <v>1.3910454400000001</v>
      </c>
      <c r="D13">
        <v>1.6022061053663399</v>
      </c>
      <c r="E13">
        <v>92.528639999999996</v>
      </c>
      <c r="K13" t="s">
        <v>98</v>
      </c>
      <c r="L13" t="s">
        <v>249</v>
      </c>
      <c r="M13">
        <v>1.984258286</v>
      </c>
      <c r="N13">
        <v>2.1913434807211098</v>
      </c>
      <c r="O13">
        <v>120.967168</v>
      </c>
      <c r="V13" t="s">
        <v>184</v>
      </c>
      <c r="W13" t="s">
        <v>88</v>
      </c>
      <c r="X13">
        <v>4.2048626139999996</v>
      </c>
      <c r="Y13">
        <v>4.2338681165128902</v>
      </c>
      <c r="Z13">
        <v>22.532095999999999</v>
      </c>
      <c r="AD13">
        <f t="shared" si="0"/>
        <v>12</v>
      </c>
      <c r="AE13">
        <v>92.528639999999996</v>
      </c>
      <c r="AF13">
        <v>120.967168</v>
      </c>
      <c r="AG13">
        <v>22.532095999999999</v>
      </c>
    </row>
    <row r="14" spans="1:33" x14ac:dyDescent="0.2">
      <c r="A14" t="s">
        <v>18</v>
      </c>
      <c r="B14" t="s">
        <v>249</v>
      </c>
      <c r="C14">
        <v>1.4773833970000001</v>
      </c>
      <c r="D14">
        <v>1.6802219320088601</v>
      </c>
      <c r="E14">
        <v>96.718847999999994</v>
      </c>
      <c r="K14" t="s">
        <v>99</v>
      </c>
      <c r="L14" t="s">
        <v>249</v>
      </c>
      <c r="M14">
        <v>2.0902029720000002</v>
      </c>
      <c r="N14">
        <v>2.3156642653047999</v>
      </c>
      <c r="O14">
        <v>127.520768</v>
      </c>
      <c r="V14" t="s">
        <v>185</v>
      </c>
      <c r="W14" t="s">
        <v>88</v>
      </c>
      <c r="X14">
        <v>4.4191429400000004</v>
      </c>
      <c r="Y14">
        <v>4.4423622116446397</v>
      </c>
      <c r="Z14">
        <v>23.580672</v>
      </c>
      <c r="AD14">
        <f t="shared" si="0"/>
        <v>13</v>
      </c>
      <c r="AE14">
        <v>96.718847999999994</v>
      </c>
      <c r="AF14">
        <v>127.520768</v>
      </c>
      <c r="AG14">
        <v>23.580672</v>
      </c>
    </row>
    <row r="15" spans="1:33" x14ac:dyDescent="0.2">
      <c r="A15" t="s">
        <v>19</v>
      </c>
      <c r="B15" t="s">
        <v>7</v>
      </c>
      <c r="C15">
        <v>8.6117095000000005E-2</v>
      </c>
      <c r="D15">
        <v>0.10904310271143899</v>
      </c>
      <c r="E15">
        <v>5.7589759999999997</v>
      </c>
      <c r="K15" t="s">
        <v>100</v>
      </c>
      <c r="L15" t="s">
        <v>88</v>
      </c>
      <c r="M15">
        <v>4.9693790000000003E-3</v>
      </c>
      <c r="N15">
        <v>3.1559584662318202E-2</v>
      </c>
      <c r="O15">
        <v>1.69984</v>
      </c>
      <c r="V15" t="s">
        <v>186</v>
      </c>
      <c r="W15" t="s">
        <v>88</v>
      </c>
      <c r="X15">
        <v>1.5707324000000002E-2</v>
      </c>
      <c r="Y15">
        <v>3.6720462143421097E-2</v>
      </c>
      <c r="Z15">
        <v>1.69984</v>
      </c>
      <c r="AD15">
        <f t="shared" si="0"/>
        <v>14</v>
      </c>
      <c r="AE15">
        <v>5.7589759999999997</v>
      </c>
      <c r="AF15">
        <v>1.69984</v>
      </c>
      <c r="AG15">
        <v>1.69984</v>
      </c>
    </row>
    <row r="16" spans="1:33" x14ac:dyDescent="0.2">
      <c r="A16" t="s">
        <v>20</v>
      </c>
      <c r="B16" t="s">
        <v>249</v>
      </c>
      <c r="C16">
        <v>1.4881531370000001</v>
      </c>
      <c r="D16">
        <v>1.6969681121408899</v>
      </c>
      <c r="E16">
        <v>100.913152</v>
      </c>
      <c r="K16" t="s">
        <v>101</v>
      </c>
      <c r="L16" t="s">
        <v>249</v>
      </c>
      <c r="M16">
        <v>2.2186395839999999</v>
      </c>
      <c r="N16">
        <v>2.4198699332773601</v>
      </c>
      <c r="O16">
        <v>134.20544000000001</v>
      </c>
      <c r="V16" t="s">
        <v>187</v>
      </c>
      <c r="W16" t="s">
        <v>88</v>
      </c>
      <c r="X16">
        <v>4.6643362890000004</v>
      </c>
      <c r="Y16">
        <v>4.7018963582813704</v>
      </c>
      <c r="Z16">
        <v>24.76032</v>
      </c>
      <c r="AD16">
        <f t="shared" si="0"/>
        <v>15</v>
      </c>
      <c r="AE16">
        <v>100.913152</v>
      </c>
      <c r="AF16">
        <v>134.20544000000001</v>
      </c>
      <c r="AG16">
        <v>24.76032</v>
      </c>
    </row>
    <row r="17" spans="1:33" x14ac:dyDescent="0.2">
      <c r="A17" t="s">
        <v>21</v>
      </c>
      <c r="B17" t="s">
        <v>7</v>
      </c>
      <c r="C17">
        <v>1.695852951</v>
      </c>
      <c r="D17">
        <v>1.7247844524681499</v>
      </c>
      <c r="E17">
        <v>105.50067199999999</v>
      </c>
      <c r="K17" t="s">
        <v>102</v>
      </c>
      <c r="L17" t="s">
        <v>88</v>
      </c>
      <c r="M17">
        <v>0.22650330399999999</v>
      </c>
      <c r="N17">
        <v>0.25579290278255901</v>
      </c>
      <c r="O17">
        <v>15.056896</v>
      </c>
      <c r="V17" t="s">
        <v>188</v>
      </c>
      <c r="W17" t="s">
        <v>88</v>
      </c>
      <c r="X17">
        <v>0.47744771200000002</v>
      </c>
      <c r="Y17">
        <v>0.505667610093951</v>
      </c>
      <c r="Z17">
        <v>4.0509440000000003</v>
      </c>
      <c r="AD17">
        <f t="shared" si="0"/>
        <v>16</v>
      </c>
      <c r="AE17">
        <v>105.50067199999999</v>
      </c>
      <c r="AF17">
        <v>15.056896</v>
      </c>
      <c r="AG17">
        <v>4.0509440000000003</v>
      </c>
    </row>
    <row r="18" spans="1:33" x14ac:dyDescent="0.2">
      <c r="A18" t="s">
        <v>22</v>
      </c>
      <c r="B18" t="s">
        <v>7</v>
      </c>
      <c r="C18">
        <v>0.12204729</v>
      </c>
      <c r="D18">
        <v>0.132506418973207</v>
      </c>
      <c r="E18">
        <v>9.0316799999999997</v>
      </c>
      <c r="K18" t="s">
        <v>103</v>
      </c>
      <c r="L18" t="s">
        <v>88</v>
      </c>
      <c r="M18">
        <v>2.6671660999999999E-2</v>
      </c>
      <c r="N18">
        <v>7.2493361309170695E-2</v>
      </c>
      <c r="O18">
        <v>3.0105599999999999</v>
      </c>
      <c r="V18" t="s">
        <v>189</v>
      </c>
      <c r="W18" t="s">
        <v>88</v>
      </c>
      <c r="X18">
        <v>6.1437833999999997E-2</v>
      </c>
      <c r="Y18">
        <v>8.1530068069696399E-2</v>
      </c>
      <c r="Z18">
        <v>1.9578880000000001</v>
      </c>
      <c r="AD18">
        <f t="shared" si="0"/>
        <v>17</v>
      </c>
      <c r="AE18">
        <v>9.0316799999999997</v>
      </c>
      <c r="AF18">
        <v>3.0105599999999999</v>
      </c>
      <c r="AG18">
        <v>1.9578880000000001</v>
      </c>
    </row>
    <row r="19" spans="1:33" x14ac:dyDescent="0.2">
      <c r="A19" t="s">
        <v>23</v>
      </c>
      <c r="B19" t="s">
        <v>249</v>
      </c>
      <c r="C19">
        <v>1.6195427060000001</v>
      </c>
      <c r="D19">
        <v>1.8238988667726499</v>
      </c>
      <c r="E19">
        <v>104.18995200000001</v>
      </c>
      <c r="K19" t="s">
        <v>104</v>
      </c>
      <c r="L19" t="s">
        <v>249</v>
      </c>
      <c r="M19">
        <v>2.3137266269999999</v>
      </c>
      <c r="N19">
        <v>2.5311270859092398</v>
      </c>
      <c r="O19">
        <v>140.763136</v>
      </c>
      <c r="V19" t="s">
        <v>190</v>
      </c>
      <c r="W19" t="s">
        <v>88</v>
      </c>
      <c r="X19">
        <v>4.8845648370000001</v>
      </c>
      <c r="Y19">
        <v>4.9099607262760401</v>
      </c>
      <c r="Z19">
        <v>25.939968</v>
      </c>
      <c r="AD19">
        <f t="shared" si="0"/>
        <v>18</v>
      </c>
      <c r="AE19">
        <v>104.18995200000001</v>
      </c>
      <c r="AF19">
        <v>140.763136</v>
      </c>
      <c r="AG19">
        <v>25.939968</v>
      </c>
    </row>
    <row r="20" spans="1:33" x14ac:dyDescent="0.2">
      <c r="A20" t="s">
        <v>24</v>
      </c>
      <c r="B20" t="s">
        <v>7</v>
      </c>
      <c r="C20">
        <v>8.6716547000000005E-2</v>
      </c>
      <c r="D20">
        <v>0.10135666280984799</v>
      </c>
      <c r="E20">
        <v>5.8859519999999996</v>
      </c>
      <c r="K20" t="s">
        <v>105</v>
      </c>
      <c r="L20" t="s">
        <v>88</v>
      </c>
      <c r="M20">
        <v>7.4806940000000004E-3</v>
      </c>
      <c r="N20">
        <v>6.6979205235838807E-2</v>
      </c>
      <c r="O20">
        <v>1.8309120000000001</v>
      </c>
      <c r="V20" t="s">
        <v>191</v>
      </c>
      <c r="W20" t="s">
        <v>88</v>
      </c>
      <c r="X20">
        <v>2.0312223000000001E-2</v>
      </c>
      <c r="Y20">
        <v>4.9862384796142502E-2</v>
      </c>
      <c r="Z20">
        <v>1.69984</v>
      </c>
      <c r="AD20">
        <f t="shared" si="0"/>
        <v>19</v>
      </c>
      <c r="AE20">
        <v>5.8859519999999996</v>
      </c>
      <c r="AF20">
        <v>1.8309120000000001</v>
      </c>
      <c r="AG20">
        <v>1.69984</v>
      </c>
    </row>
    <row r="21" spans="1:33" x14ac:dyDescent="0.2">
      <c r="A21" t="s">
        <v>25</v>
      </c>
      <c r="B21" t="s">
        <v>249</v>
      </c>
      <c r="C21">
        <v>1.68249822</v>
      </c>
      <c r="D21">
        <v>1.89332800917327</v>
      </c>
      <c r="E21">
        <v>110.481408</v>
      </c>
      <c r="K21" t="s">
        <v>106</v>
      </c>
      <c r="L21" t="s">
        <v>249</v>
      </c>
      <c r="M21">
        <v>2.428353923</v>
      </c>
      <c r="N21">
        <v>2.6277982909232298</v>
      </c>
      <c r="O21">
        <v>147.443712</v>
      </c>
      <c r="V21" t="s">
        <v>192</v>
      </c>
      <c r="W21" t="s">
        <v>88</v>
      </c>
      <c r="X21">
        <v>5.124881705</v>
      </c>
      <c r="Y21">
        <v>5.1575606614351202</v>
      </c>
      <c r="Z21">
        <v>26.988544000000001</v>
      </c>
      <c r="AD21">
        <f t="shared" si="0"/>
        <v>20</v>
      </c>
      <c r="AE21">
        <v>110.481408</v>
      </c>
      <c r="AF21">
        <v>147.443712</v>
      </c>
      <c r="AG21">
        <v>26.988544000000001</v>
      </c>
    </row>
    <row r="22" spans="1:33" x14ac:dyDescent="0.2">
      <c r="A22" t="s">
        <v>26</v>
      </c>
      <c r="B22" t="s">
        <v>249</v>
      </c>
      <c r="C22">
        <v>1.7984914809999999</v>
      </c>
      <c r="D22">
        <v>2.0045199077576399</v>
      </c>
      <c r="E22">
        <v>114.675712</v>
      </c>
      <c r="K22" t="s">
        <v>107</v>
      </c>
      <c r="L22" t="s">
        <v>249</v>
      </c>
      <c r="M22">
        <v>2.5492028379999998</v>
      </c>
      <c r="N22">
        <v>2.75513134896755</v>
      </c>
      <c r="O22">
        <v>154.13247999999999</v>
      </c>
      <c r="V22" t="s">
        <v>193</v>
      </c>
      <c r="W22" t="s">
        <v>88</v>
      </c>
      <c r="X22">
        <v>5.359761207</v>
      </c>
      <c r="Y22">
        <v>5.3820827305316898</v>
      </c>
      <c r="Z22">
        <v>28.168192000000001</v>
      </c>
      <c r="AD22">
        <f t="shared" si="0"/>
        <v>21</v>
      </c>
      <c r="AE22">
        <v>114.675712</v>
      </c>
      <c r="AF22">
        <v>154.13247999999999</v>
      </c>
      <c r="AG22">
        <v>28.168192000000001</v>
      </c>
    </row>
    <row r="23" spans="1:33" x14ac:dyDescent="0.2">
      <c r="A23" t="s">
        <v>27</v>
      </c>
      <c r="B23" t="s">
        <v>249</v>
      </c>
      <c r="C23">
        <v>1.8274731900000001</v>
      </c>
      <c r="D23">
        <v>2.0452328175306298</v>
      </c>
      <c r="E23">
        <v>119.001088</v>
      </c>
      <c r="K23" t="s">
        <v>108</v>
      </c>
      <c r="L23" t="s">
        <v>249</v>
      </c>
      <c r="M23">
        <v>2.6720029190000001</v>
      </c>
      <c r="N23">
        <v>2.8749720230698501</v>
      </c>
      <c r="O23">
        <v>160.681984</v>
      </c>
      <c r="V23" t="s">
        <v>194</v>
      </c>
      <c r="W23" t="s">
        <v>88</v>
      </c>
      <c r="X23">
        <v>5.6061289539999999</v>
      </c>
      <c r="Y23">
        <v>5.6383876278996397</v>
      </c>
      <c r="Z23">
        <v>29.347840000000001</v>
      </c>
      <c r="AD23">
        <f t="shared" si="0"/>
        <v>22</v>
      </c>
      <c r="AE23">
        <v>119.001088</v>
      </c>
      <c r="AF23">
        <v>160.681984</v>
      </c>
      <c r="AG23">
        <v>29.347840000000001</v>
      </c>
    </row>
    <row r="24" spans="1:33" x14ac:dyDescent="0.2">
      <c r="A24" t="s">
        <v>28</v>
      </c>
      <c r="B24" t="s">
        <v>249</v>
      </c>
      <c r="C24">
        <v>1.9136219269999999</v>
      </c>
      <c r="D24">
        <v>2.1203343700617499</v>
      </c>
      <c r="E24">
        <v>124.243968</v>
      </c>
      <c r="K24" t="s">
        <v>109</v>
      </c>
      <c r="L24" t="s">
        <v>249</v>
      </c>
      <c r="M24">
        <v>2.8127766539999999</v>
      </c>
      <c r="N24">
        <v>3.0277274772524798</v>
      </c>
      <c r="O24">
        <v>167.23558399999999</v>
      </c>
      <c r="V24" t="s">
        <v>195</v>
      </c>
      <c r="W24" t="s">
        <v>88</v>
      </c>
      <c r="X24">
        <v>5.8542896999999998</v>
      </c>
      <c r="Y24">
        <v>5.8832317907363096</v>
      </c>
      <c r="Z24">
        <v>30.527488000000002</v>
      </c>
      <c r="AD24">
        <f t="shared" si="0"/>
        <v>23</v>
      </c>
      <c r="AE24">
        <v>124.243968</v>
      </c>
      <c r="AF24">
        <v>167.23558399999999</v>
      </c>
      <c r="AG24">
        <v>30.527488000000002</v>
      </c>
    </row>
    <row r="25" spans="1:33" x14ac:dyDescent="0.2">
      <c r="A25" t="s">
        <v>29</v>
      </c>
      <c r="B25" t="s">
        <v>249</v>
      </c>
      <c r="C25">
        <v>2.0098036530000001</v>
      </c>
      <c r="D25">
        <v>2.21275262720882</v>
      </c>
      <c r="E25">
        <v>128.30719999999999</v>
      </c>
      <c r="K25" t="s">
        <v>110</v>
      </c>
      <c r="L25" t="s">
        <v>249</v>
      </c>
      <c r="M25">
        <v>2.8999665760000002</v>
      </c>
      <c r="N25">
        <v>3.0955192316323501</v>
      </c>
      <c r="O25">
        <v>173.92025599999999</v>
      </c>
      <c r="V25" t="s">
        <v>196</v>
      </c>
      <c r="W25" t="s">
        <v>88</v>
      </c>
      <c r="X25">
        <v>6.0819847940000002</v>
      </c>
      <c r="Y25">
        <v>6.1016852650791398</v>
      </c>
      <c r="Z25">
        <v>31.707135999999998</v>
      </c>
      <c r="AD25">
        <f t="shared" si="0"/>
        <v>24</v>
      </c>
      <c r="AE25">
        <v>128.30719999999999</v>
      </c>
      <c r="AF25">
        <v>173.92025599999999</v>
      </c>
      <c r="AG25">
        <v>31.707135999999998</v>
      </c>
    </row>
    <row r="26" spans="1:33" x14ac:dyDescent="0.2">
      <c r="A26" t="s">
        <v>30</v>
      </c>
      <c r="B26" t="s">
        <v>249</v>
      </c>
      <c r="C26">
        <v>2.1094172449999999</v>
      </c>
      <c r="D26">
        <v>2.31310782022774</v>
      </c>
      <c r="E26">
        <v>132.632576</v>
      </c>
      <c r="K26" t="s">
        <v>111</v>
      </c>
      <c r="L26" t="s">
        <v>249</v>
      </c>
      <c r="M26">
        <v>3.0345706020000001</v>
      </c>
      <c r="N26">
        <v>3.2406789716333102</v>
      </c>
      <c r="O26">
        <v>180.47385600000001</v>
      </c>
      <c r="V26" t="s">
        <v>197</v>
      </c>
      <c r="W26" t="s">
        <v>88</v>
      </c>
      <c r="X26">
        <v>6.3520375939999996</v>
      </c>
      <c r="Y26">
        <v>6.3868393320590204</v>
      </c>
      <c r="Z26">
        <v>32.755712000000003</v>
      </c>
      <c r="AD26">
        <f t="shared" si="0"/>
        <v>25</v>
      </c>
      <c r="AE26">
        <v>132.632576</v>
      </c>
      <c r="AF26">
        <v>180.47385600000001</v>
      </c>
      <c r="AG26">
        <v>32.755712000000003</v>
      </c>
    </row>
    <row r="27" spans="1:33" x14ac:dyDescent="0.2">
      <c r="A27" t="s">
        <v>31</v>
      </c>
      <c r="B27" t="s">
        <v>249</v>
      </c>
      <c r="C27">
        <v>2.1688857210000001</v>
      </c>
      <c r="D27">
        <v>2.3684865087270701</v>
      </c>
      <c r="E27">
        <v>135.90937600000001</v>
      </c>
      <c r="K27" t="s">
        <v>112</v>
      </c>
      <c r="L27" t="s">
        <v>249</v>
      </c>
      <c r="M27">
        <v>3.13215142</v>
      </c>
      <c r="N27">
        <v>3.3395910840481502</v>
      </c>
      <c r="O27">
        <v>187.15852799999999</v>
      </c>
      <c r="V27" t="s">
        <v>198</v>
      </c>
      <c r="W27" t="s">
        <v>88</v>
      </c>
      <c r="X27">
        <v>6.5345530160000003</v>
      </c>
      <c r="Y27">
        <v>6.5617721974849701</v>
      </c>
      <c r="Z27">
        <v>33.935360000000003</v>
      </c>
      <c r="AD27">
        <f t="shared" si="0"/>
        <v>26</v>
      </c>
      <c r="AE27">
        <v>135.90937600000001</v>
      </c>
      <c r="AF27">
        <v>187.15852799999999</v>
      </c>
      <c r="AG27">
        <v>33.935360000000003</v>
      </c>
    </row>
    <row r="28" spans="1:33" x14ac:dyDescent="0.2">
      <c r="A28" t="s">
        <v>32</v>
      </c>
      <c r="B28" t="s">
        <v>249</v>
      </c>
      <c r="C28">
        <v>2.2587687870000002</v>
      </c>
      <c r="D28">
        <v>2.4606385976076099</v>
      </c>
      <c r="E28">
        <v>140.10368</v>
      </c>
      <c r="K28" t="s">
        <v>113</v>
      </c>
      <c r="L28" t="s">
        <v>249</v>
      </c>
      <c r="M28">
        <v>3.2719231309999999</v>
      </c>
      <c r="N28">
        <v>3.47168274968862</v>
      </c>
      <c r="O28">
        <v>193.8432</v>
      </c>
      <c r="V28" t="s">
        <v>199</v>
      </c>
      <c r="W28" t="s">
        <v>88</v>
      </c>
      <c r="X28">
        <v>6.7938775260000002</v>
      </c>
      <c r="Y28">
        <v>6.8178773932158903</v>
      </c>
      <c r="Z28">
        <v>35.115008000000003</v>
      </c>
      <c r="AD28">
        <f t="shared" si="0"/>
        <v>27</v>
      </c>
      <c r="AE28">
        <v>140.10368</v>
      </c>
      <c r="AF28">
        <v>193.8432</v>
      </c>
      <c r="AG28">
        <v>35.115008000000003</v>
      </c>
    </row>
    <row r="29" spans="1:33" x14ac:dyDescent="0.2">
      <c r="A29" t="s">
        <v>33</v>
      </c>
      <c r="B29" t="s">
        <v>249</v>
      </c>
      <c r="C29">
        <v>2.2619563540000001</v>
      </c>
      <c r="D29">
        <v>2.4647718667984</v>
      </c>
      <c r="E29">
        <v>144.429056</v>
      </c>
      <c r="K29" t="s">
        <v>114</v>
      </c>
      <c r="L29" t="s">
        <v>249</v>
      </c>
      <c r="M29">
        <v>3.3529095390000001</v>
      </c>
      <c r="N29">
        <v>3.5551141779869702</v>
      </c>
      <c r="O29">
        <v>200.39680000000001</v>
      </c>
      <c r="V29" t="s">
        <v>200</v>
      </c>
      <c r="W29" t="s">
        <v>88</v>
      </c>
      <c r="X29">
        <v>6.9747935060000001</v>
      </c>
      <c r="Y29">
        <v>6.99367197789251</v>
      </c>
      <c r="Z29">
        <v>36.294656000000003</v>
      </c>
      <c r="AD29">
        <f t="shared" si="0"/>
        <v>28</v>
      </c>
      <c r="AE29">
        <v>144.429056</v>
      </c>
      <c r="AF29">
        <v>200.39680000000001</v>
      </c>
      <c r="AG29">
        <v>36.294656000000003</v>
      </c>
    </row>
    <row r="30" spans="1:33" x14ac:dyDescent="0.2">
      <c r="A30" t="s">
        <v>34</v>
      </c>
      <c r="B30" t="s">
        <v>7</v>
      </c>
      <c r="C30">
        <v>3.5396920010000001</v>
      </c>
      <c r="D30">
        <v>3.5611632503569099</v>
      </c>
      <c r="E30">
        <v>212.58649600000001</v>
      </c>
      <c r="K30" t="s">
        <v>115</v>
      </c>
      <c r="L30" t="s">
        <v>88</v>
      </c>
      <c r="M30">
        <v>0.36167095500000002</v>
      </c>
      <c r="N30">
        <v>0.39548720233142298</v>
      </c>
      <c r="O30">
        <v>21.872640000000001</v>
      </c>
      <c r="V30" t="s">
        <v>201</v>
      </c>
      <c r="W30" t="s">
        <v>88</v>
      </c>
      <c r="X30">
        <v>0.712572604</v>
      </c>
      <c r="Y30">
        <v>0.73383237980306104</v>
      </c>
      <c r="Z30">
        <v>5.2305919999999997</v>
      </c>
      <c r="AD30">
        <f t="shared" si="0"/>
        <v>29</v>
      </c>
      <c r="AE30">
        <v>212.58649600000001</v>
      </c>
      <c r="AF30">
        <v>21.872640000000001</v>
      </c>
      <c r="AG30">
        <v>5.2305919999999997</v>
      </c>
    </row>
    <row r="31" spans="1:33" x14ac:dyDescent="0.2">
      <c r="A31" t="s">
        <v>35</v>
      </c>
      <c r="B31" t="s">
        <v>7</v>
      </c>
      <c r="C31">
        <v>0.14630768199999999</v>
      </c>
      <c r="D31">
        <v>0.17199081555008799</v>
      </c>
      <c r="E31">
        <v>11.259904000000001</v>
      </c>
      <c r="K31" t="s">
        <v>116</v>
      </c>
      <c r="L31" t="s">
        <v>88</v>
      </c>
      <c r="M31">
        <v>3.8061803999999998E-2</v>
      </c>
      <c r="N31">
        <v>9.0961392968892996E-2</v>
      </c>
      <c r="O31">
        <v>3.7888000000000002</v>
      </c>
      <c r="V31" t="s">
        <v>202</v>
      </c>
      <c r="W31" t="s">
        <v>88</v>
      </c>
      <c r="X31">
        <v>8.5904206999999996E-2</v>
      </c>
      <c r="Y31">
        <v>0.11398262530565199</v>
      </c>
      <c r="Z31">
        <v>2.0848640000000001</v>
      </c>
      <c r="AD31">
        <f t="shared" si="0"/>
        <v>30</v>
      </c>
      <c r="AE31">
        <v>11.259904000000001</v>
      </c>
      <c r="AF31">
        <v>3.7888000000000002</v>
      </c>
      <c r="AG31">
        <v>2.0848640000000001</v>
      </c>
    </row>
    <row r="32" spans="1:33" x14ac:dyDescent="0.2">
      <c r="A32" t="s">
        <v>36</v>
      </c>
      <c r="B32" t="s">
        <v>249</v>
      </c>
      <c r="C32">
        <v>2.3274252550000001</v>
      </c>
      <c r="D32">
        <v>2.5331318024545899</v>
      </c>
      <c r="E32">
        <v>148.492288</v>
      </c>
      <c r="K32" t="s">
        <v>117</v>
      </c>
      <c r="L32" t="s">
        <v>249</v>
      </c>
      <c r="M32">
        <v>3.4734536610000002</v>
      </c>
      <c r="N32">
        <v>3.6759179942309799</v>
      </c>
      <c r="O32">
        <v>207.08147199999999</v>
      </c>
      <c r="V32" t="s">
        <v>203</v>
      </c>
      <c r="W32" t="s">
        <v>88</v>
      </c>
      <c r="X32">
        <v>7.2413404559999996</v>
      </c>
      <c r="Y32">
        <v>7.2737176772207004</v>
      </c>
      <c r="Z32">
        <v>37.474303999999997</v>
      </c>
      <c r="AD32">
        <f t="shared" si="0"/>
        <v>31</v>
      </c>
      <c r="AE32">
        <v>148.492288</v>
      </c>
      <c r="AF32">
        <v>207.08147199999999</v>
      </c>
      <c r="AG32">
        <v>37.474303999999997</v>
      </c>
    </row>
    <row r="33" spans="1:33" x14ac:dyDescent="0.2">
      <c r="A33" t="s">
        <v>37</v>
      </c>
      <c r="B33" t="s">
        <v>7</v>
      </c>
      <c r="C33">
        <v>9.0761221000000003E-2</v>
      </c>
      <c r="D33">
        <v>0.129942616447806</v>
      </c>
      <c r="E33">
        <v>6.1521920000000003</v>
      </c>
      <c r="K33" t="s">
        <v>118</v>
      </c>
      <c r="L33" t="s">
        <v>88</v>
      </c>
      <c r="M33">
        <v>8.4637989999999993E-3</v>
      </c>
      <c r="N33">
        <v>3.4987360239028903E-2</v>
      </c>
      <c r="O33">
        <v>1.961984</v>
      </c>
      <c r="V33" t="s">
        <v>204</v>
      </c>
      <c r="W33" t="s">
        <v>88</v>
      </c>
      <c r="X33">
        <v>2.2422579000000002E-2</v>
      </c>
      <c r="Y33">
        <v>4.6787444502115201E-2</v>
      </c>
      <c r="Z33">
        <v>1.8309120000000001</v>
      </c>
      <c r="AD33">
        <f t="shared" si="0"/>
        <v>32</v>
      </c>
      <c r="AE33">
        <v>6.1521920000000003</v>
      </c>
      <c r="AF33">
        <v>1.961984</v>
      </c>
      <c r="AG33">
        <v>1.8309120000000001</v>
      </c>
    </row>
    <row r="34" spans="1:33" x14ac:dyDescent="0.2">
      <c r="A34" t="s">
        <v>38</v>
      </c>
      <c r="B34" t="s">
        <v>249</v>
      </c>
      <c r="C34">
        <v>2.4161371150000002</v>
      </c>
      <c r="D34">
        <v>2.6162484772503301</v>
      </c>
      <c r="E34">
        <v>152.82176000000001</v>
      </c>
      <c r="K34" t="s">
        <v>119</v>
      </c>
      <c r="L34" t="s">
        <v>249</v>
      </c>
      <c r="M34">
        <v>3.5928228610000001</v>
      </c>
      <c r="N34">
        <v>3.7916263621300401</v>
      </c>
      <c r="O34">
        <v>213.63507200000001</v>
      </c>
      <c r="V34" t="s">
        <v>205</v>
      </c>
      <c r="W34" t="s">
        <v>88</v>
      </c>
      <c r="X34">
        <v>7.4532835950000003</v>
      </c>
      <c r="Y34">
        <v>7.4822284244000903</v>
      </c>
      <c r="Z34">
        <v>38.522880000000001</v>
      </c>
      <c r="AD34">
        <f t="shared" si="0"/>
        <v>33</v>
      </c>
      <c r="AE34">
        <v>152.82176000000001</v>
      </c>
      <c r="AF34">
        <v>213.63507200000001</v>
      </c>
      <c r="AG34">
        <v>38.522880000000001</v>
      </c>
    </row>
    <row r="35" spans="1:33" x14ac:dyDescent="0.2">
      <c r="A35" t="s">
        <v>39</v>
      </c>
      <c r="B35" t="s">
        <v>249</v>
      </c>
      <c r="C35">
        <v>2.4667147909999998</v>
      </c>
      <c r="D35">
        <v>2.6770963426679302</v>
      </c>
      <c r="E35">
        <v>156.09855999999999</v>
      </c>
      <c r="K35" t="s">
        <v>120</v>
      </c>
      <c r="L35" t="s">
        <v>249</v>
      </c>
      <c r="M35">
        <v>3.7416809999999998</v>
      </c>
      <c r="N35">
        <v>3.9591902680694999</v>
      </c>
      <c r="O35">
        <v>220.188672</v>
      </c>
      <c r="V35" t="s">
        <v>206</v>
      </c>
      <c r="W35" t="s">
        <v>88</v>
      </c>
      <c r="X35">
        <v>7.7465615080000001</v>
      </c>
      <c r="Y35">
        <v>7.7657767850905604</v>
      </c>
      <c r="Z35">
        <v>39.702528000000001</v>
      </c>
      <c r="AD35">
        <f t="shared" si="0"/>
        <v>34</v>
      </c>
      <c r="AE35">
        <v>156.09855999999999</v>
      </c>
      <c r="AF35">
        <v>220.188672</v>
      </c>
      <c r="AG35">
        <v>39.702528000000001</v>
      </c>
    </row>
    <row r="36" spans="1:33" x14ac:dyDescent="0.2">
      <c r="A36" t="s">
        <v>40</v>
      </c>
      <c r="B36" t="s">
        <v>249</v>
      </c>
      <c r="C36">
        <v>2.5436307409999999</v>
      </c>
      <c r="D36">
        <v>2.7521057240664901</v>
      </c>
      <c r="E36">
        <v>160.288768</v>
      </c>
      <c r="K36" t="s">
        <v>121</v>
      </c>
      <c r="L36" t="s">
        <v>249</v>
      </c>
      <c r="M36">
        <v>3.8331516830000001</v>
      </c>
      <c r="N36">
        <v>4.0426912922412104</v>
      </c>
      <c r="O36">
        <v>227.00441599999999</v>
      </c>
      <c r="V36" t="s">
        <v>207</v>
      </c>
      <c r="W36" t="s">
        <v>88</v>
      </c>
      <c r="X36">
        <v>7.9721644029999998</v>
      </c>
      <c r="Y36">
        <v>8.0018476471304893</v>
      </c>
      <c r="Z36">
        <v>40.882176000000001</v>
      </c>
      <c r="AD36">
        <f t="shared" si="0"/>
        <v>35</v>
      </c>
      <c r="AE36">
        <v>160.288768</v>
      </c>
      <c r="AF36">
        <v>227.00441599999999</v>
      </c>
      <c r="AG36">
        <v>40.882176000000001</v>
      </c>
    </row>
    <row r="37" spans="1:33" x14ac:dyDescent="0.2">
      <c r="A37" t="s">
        <v>41</v>
      </c>
      <c r="B37" t="s">
        <v>249</v>
      </c>
      <c r="C37">
        <v>2.615470985</v>
      </c>
      <c r="D37">
        <v>2.8241171855479399</v>
      </c>
      <c r="E37">
        <v>164.87628799999999</v>
      </c>
      <c r="K37" t="s">
        <v>122</v>
      </c>
      <c r="L37" t="s">
        <v>249</v>
      </c>
      <c r="M37">
        <v>3.9506339449999999</v>
      </c>
      <c r="N37">
        <v>4.1474039424210698</v>
      </c>
      <c r="O37">
        <v>233.55801600000001</v>
      </c>
      <c r="V37" t="s">
        <v>208</v>
      </c>
      <c r="W37" t="s">
        <v>88</v>
      </c>
      <c r="X37">
        <v>8.2115251709999999</v>
      </c>
      <c r="Y37">
        <v>8.2301584761589694</v>
      </c>
      <c r="Z37">
        <v>41.930751999999998</v>
      </c>
      <c r="AD37">
        <f t="shared" si="0"/>
        <v>36</v>
      </c>
      <c r="AE37">
        <v>164.87628799999999</v>
      </c>
      <c r="AF37">
        <v>233.55801600000001</v>
      </c>
      <c r="AG37">
        <v>41.930751999999998</v>
      </c>
    </row>
    <row r="38" spans="1:33" x14ac:dyDescent="0.2">
      <c r="A38" t="s">
        <v>42</v>
      </c>
      <c r="B38" t="s">
        <v>249</v>
      </c>
      <c r="C38">
        <v>2.6973300139999998</v>
      </c>
      <c r="D38">
        <v>2.8962399885058399</v>
      </c>
      <c r="E38">
        <v>169.33273600000001</v>
      </c>
      <c r="K38" t="s">
        <v>123</v>
      </c>
      <c r="L38" t="s">
        <v>249</v>
      </c>
      <c r="M38">
        <v>4.0535724530000001</v>
      </c>
      <c r="N38">
        <v>4.27181803062558</v>
      </c>
      <c r="O38">
        <v>240.111616</v>
      </c>
      <c r="V38" t="s">
        <v>209</v>
      </c>
      <c r="W38" t="s">
        <v>88</v>
      </c>
      <c r="X38">
        <v>8.4290248939999994</v>
      </c>
      <c r="Y38">
        <v>8.4533899612724692</v>
      </c>
      <c r="Z38">
        <v>43.110399999999998</v>
      </c>
      <c r="AD38">
        <f t="shared" si="0"/>
        <v>37</v>
      </c>
      <c r="AE38">
        <v>169.33273600000001</v>
      </c>
      <c r="AF38">
        <v>240.111616</v>
      </c>
      <c r="AG38">
        <v>43.110399999999998</v>
      </c>
    </row>
    <row r="39" spans="1:33" x14ac:dyDescent="0.2">
      <c r="A39" t="s">
        <v>43</v>
      </c>
      <c r="B39" t="s">
        <v>249</v>
      </c>
      <c r="C39">
        <v>2.7305305660000001</v>
      </c>
      <c r="D39">
        <v>2.94038992561399</v>
      </c>
      <c r="E39">
        <v>173.65811199999999</v>
      </c>
      <c r="K39" t="s">
        <v>124</v>
      </c>
      <c r="L39" t="s">
        <v>249</v>
      </c>
      <c r="M39">
        <v>4.1734073809999996</v>
      </c>
      <c r="N39">
        <v>4.3907231986522604</v>
      </c>
      <c r="O39">
        <v>246.796288</v>
      </c>
      <c r="V39" t="s">
        <v>210</v>
      </c>
      <c r="W39" t="s">
        <v>88</v>
      </c>
      <c r="X39">
        <v>8.6926493049999998</v>
      </c>
      <c r="Y39">
        <v>8.7135082539170892</v>
      </c>
      <c r="Z39">
        <v>44.290047999999999</v>
      </c>
      <c r="AD39">
        <f t="shared" si="0"/>
        <v>38</v>
      </c>
      <c r="AE39">
        <v>173.65811199999999</v>
      </c>
      <c r="AF39">
        <v>246.796288</v>
      </c>
      <c r="AG39">
        <v>44.290047999999999</v>
      </c>
    </row>
    <row r="40" spans="1:33" x14ac:dyDescent="0.2">
      <c r="A40" t="s">
        <v>44</v>
      </c>
      <c r="B40" t="s">
        <v>249</v>
      </c>
      <c r="C40">
        <v>2.8525969469999999</v>
      </c>
      <c r="D40">
        <v>3.05638442188501</v>
      </c>
      <c r="E40">
        <v>177.72134399999999</v>
      </c>
      <c r="K40" t="s">
        <v>125</v>
      </c>
      <c r="L40" t="s">
        <v>249</v>
      </c>
      <c r="M40">
        <v>4.3345438600000001</v>
      </c>
      <c r="N40">
        <v>4.5389111805707198</v>
      </c>
      <c r="O40">
        <v>253.34988799999999</v>
      </c>
      <c r="V40" t="s">
        <v>211</v>
      </c>
      <c r="W40" t="s">
        <v>88</v>
      </c>
      <c r="X40">
        <v>8.928924211</v>
      </c>
      <c r="Y40">
        <v>8.9594128932803798</v>
      </c>
      <c r="Z40">
        <v>45.469695999999999</v>
      </c>
      <c r="AD40">
        <f t="shared" si="0"/>
        <v>39</v>
      </c>
      <c r="AE40">
        <v>177.72134399999999</v>
      </c>
      <c r="AF40">
        <v>253.34988799999999</v>
      </c>
      <c r="AG40">
        <v>45.469695999999999</v>
      </c>
    </row>
    <row r="41" spans="1:33" x14ac:dyDescent="0.2">
      <c r="A41" t="s">
        <v>45</v>
      </c>
      <c r="B41" t="s">
        <v>249</v>
      </c>
      <c r="C41">
        <v>2.9260917320000002</v>
      </c>
      <c r="D41">
        <v>3.1370710060000402</v>
      </c>
      <c r="E41">
        <v>182.04671999999999</v>
      </c>
      <c r="K41" t="s">
        <v>126</v>
      </c>
      <c r="L41" t="s">
        <v>249</v>
      </c>
      <c r="M41">
        <v>4.4170856809999997</v>
      </c>
      <c r="N41">
        <v>4.6188447903841698</v>
      </c>
      <c r="O41">
        <v>259.90348799999998</v>
      </c>
      <c r="V41" t="s">
        <v>212</v>
      </c>
      <c r="W41" t="s">
        <v>88</v>
      </c>
      <c r="X41">
        <v>9.1429630809999995</v>
      </c>
      <c r="Y41">
        <v>9.1654268093407101</v>
      </c>
      <c r="Z41">
        <v>46.649343999999999</v>
      </c>
      <c r="AD41">
        <f t="shared" si="0"/>
        <v>40</v>
      </c>
      <c r="AE41">
        <v>182.04671999999999</v>
      </c>
      <c r="AF41">
        <v>259.90348799999998</v>
      </c>
      <c r="AG41">
        <v>46.649343999999999</v>
      </c>
    </row>
    <row r="42" spans="1:33" x14ac:dyDescent="0.2">
      <c r="A42" t="s">
        <v>46</v>
      </c>
      <c r="B42" t="s">
        <v>249</v>
      </c>
      <c r="C42">
        <v>2.9467276010000001</v>
      </c>
      <c r="D42">
        <v>3.1565738227218301</v>
      </c>
      <c r="E42">
        <v>185.065472</v>
      </c>
      <c r="K42" t="s">
        <v>127</v>
      </c>
      <c r="L42" t="s">
        <v>249</v>
      </c>
      <c r="M42">
        <v>4.5260738790000001</v>
      </c>
      <c r="N42">
        <v>4.72330408357083</v>
      </c>
      <c r="O42">
        <v>266.71923199999998</v>
      </c>
      <c r="V42" t="s">
        <v>213</v>
      </c>
      <c r="W42" t="s">
        <v>88</v>
      </c>
      <c r="X42">
        <v>9.364193684</v>
      </c>
      <c r="Y42">
        <v>9.3894845545291901</v>
      </c>
      <c r="Z42">
        <v>47.828992</v>
      </c>
      <c r="AD42">
        <f t="shared" si="0"/>
        <v>41</v>
      </c>
      <c r="AE42">
        <v>185.065472</v>
      </c>
      <c r="AF42">
        <v>266.71923199999998</v>
      </c>
      <c r="AG42">
        <v>47.828992</v>
      </c>
    </row>
    <row r="43" spans="1:33" x14ac:dyDescent="0.2">
      <c r="A43" t="s">
        <v>47</v>
      </c>
      <c r="B43" t="s">
        <v>7</v>
      </c>
      <c r="C43">
        <v>6.1323738990000001</v>
      </c>
      <c r="D43">
        <v>6.1764403581619201</v>
      </c>
      <c r="E43">
        <v>356.24140799999998</v>
      </c>
      <c r="K43" t="s">
        <v>128</v>
      </c>
      <c r="L43" t="s">
        <v>88</v>
      </c>
      <c r="M43">
        <v>0.51256207399999998</v>
      </c>
      <c r="N43">
        <v>0.53493473865091801</v>
      </c>
      <c r="O43">
        <v>28.42624</v>
      </c>
      <c r="V43" t="s">
        <v>214</v>
      </c>
      <c r="W43" t="s">
        <v>88</v>
      </c>
      <c r="X43">
        <v>0.93362545299999999</v>
      </c>
      <c r="Y43">
        <v>0.956929441541433</v>
      </c>
      <c r="Z43">
        <v>6.4102399999999999</v>
      </c>
      <c r="AD43">
        <f t="shared" si="0"/>
        <v>42</v>
      </c>
      <c r="AE43">
        <v>356.24140799999998</v>
      </c>
      <c r="AF43">
        <v>28.42624</v>
      </c>
      <c r="AG43">
        <v>6.4102399999999999</v>
      </c>
    </row>
    <row r="44" spans="1:33" x14ac:dyDescent="0.2">
      <c r="A44" t="s">
        <v>48</v>
      </c>
      <c r="B44" t="s">
        <v>7</v>
      </c>
      <c r="C44">
        <v>0.179754678</v>
      </c>
      <c r="D44">
        <v>0.19602629914879799</v>
      </c>
      <c r="E44">
        <v>13.881344</v>
      </c>
      <c r="K44" t="s">
        <v>129</v>
      </c>
      <c r="L44" t="s">
        <v>88</v>
      </c>
      <c r="M44">
        <v>4.9041060999999997E-2</v>
      </c>
      <c r="N44">
        <v>7.4767885729670497E-2</v>
      </c>
      <c r="O44">
        <v>4.4400639999999996</v>
      </c>
      <c r="V44" t="s">
        <v>215</v>
      </c>
      <c r="W44" t="s">
        <v>88</v>
      </c>
      <c r="X44">
        <v>0.10613199600000001</v>
      </c>
      <c r="Y44">
        <v>0.134177681058645</v>
      </c>
      <c r="Z44">
        <v>2.2159360000000001</v>
      </c>
      <c r="AD44">
        <f t="shared" si="0"/>
        <v>43</v>
      </c>
      <c r="AE44">
        <v>13.881344</v>
      </c>
      <c r="AF44">
        <v>4.4400639999999996</v>
      </c>
      <c r="AG44">
        <v>2.2159360000000001</v>
      </c>
    </row>
    <row r="45" spans="1:33" x14ac:dyDescent="0.2">
      <c r="A45" t="s">
        <v>49</v>
      </c>
      <c r="B45" t="s">
        <v>249</v>
      </c>
      <c r="C45">
        <v>2.9890602300000002</v>
      </c>
      <c r="D45">
        <v>3.2080532480031199</v>
      </c>
      <c r="E45">
        <v>189.386752</v>
      </c>
      <c r="K45" t="s">
        <v>130</v>
      </c>
      <c r="L45" t="s">
        <v>249</v>
      </c>
      <c r="M45">
        <v>2.8034603680000001</v>
      </c>
      <c r="N45">
        <v>3.0032240301370599</v>
      </c>
      <c r="O45">
        <v>273.14175999999998</v>
      </c>
      <c r="V45" t="s">
        <v>216</v>
      </c>
      <c r="W45" t="s">
        <v>88</v>
      </c>
      <c r="X45">
        <v>9.7597142580000007</v>
      </c>
      <c r="Y45">
        <v>9.7859722264111006</v>
      </c>
      <c r="Z45">
        <v>48.877567999999997</v>
      </c>
      <c r="AD45">
        <f t="shared" si="0"/>
        <v>44</v>
      </c>
      <c r="AE45">
        <v>189.386752</v>
      </c>
      <c r="AF45">
        <v>273.14175999999998</v>
      </c>
      <c r="AG45">
        <v>48.877567999999997</v>
      </c>
    </row>
    <row r="46" spans="1:33" x14ac:dyDescent="0.2">
      <c r="A46" t="s">
        <v>50</v>
      </c>
      <c r="B46" t="s">
        <v>7</v>
      </c>
      <c r="C46">
        <v>9.0430188999999994E-2</v>
      </c>
      <c r="D46">
        <v>0.112116070464253</v>
      </c>
      <c r="E46">
        <v>6.1480959999999998</v>
      </c>
      <c r="K46" t="s">
        <v>131</v>
      </c>
      <c r="L46" t="s">
        <v>88</v>
      </c>
      <c r="M46">
        <v>9.0744550000000004E-3</v>
      </c>
      <c r="N46">
        <v>3.9628015831112799E-2</v>
      </c>
      <c r="O46">
        <v>1.961984</v>
      </c>
      <c r="V46" t="s">
        <v>217</v>
      </c>
      <c r="W46" t="s">
        <v>88</v>
      </c>
      <c r="X46">
        <v>2.4757550999999999E-2</v>
      </c>
      <c r="Y46">
        <v>4.2648162692785201E-2</v>
      </c>
      <c r="Z46">
        <v>1.8227199999999999</v>
      </c>
      <c r="AD46">
        <f t="shared" si="0"/>
        <v>45</v>
      </c>
      <c r="AE46">
        <v>6.1480959999999998</v>
      </c>
      <c r="AF46">
        <v>1.961984</v>
      </c>
      <c r="AG46">
        <v>1.8227199999999999</v>
      </c>
    </row>
    <row r="47" spans="1:33" x14ac:dyDescent="0.2">
      <c r="A47" t="s">
        <v>51</v>
      </c>
      <c r="B47" t="s">
        <v>249</v>
      </c>
      <c r="C47">
        <v>3.027130391</v>
      </c>
      <c r="D47">
        <v>3.24958389438688</v>
      </c>
      <c r="E47">
        <v>193.71622400000001</v>
      </c>
      <c r="K47" t="s">
        <v>132</v>
      </c>
      <c r="L47" t="s">
        <v>249</v>
      </c>
      <c r="M47">
        <v>2.880879459</v>
      </c>
      <c r="N47">
        <v>3.09095792099833</v>
      </c>
      <c r="O47">
        <v>279.43321600000002</v>
      </c>
      <c r="V47" t="s">
        <v>218</v>
      </c>
      <c r="W47" t="s">
        <v>88</v>
      </c>
      <c r="X47">
        <v>9.8111388109999993</v>
      </c>
      <c r="Y47">
        <v>9.8382027558982301</v>
      </c>
      <c r="Z47">
        <v>50.057215999999997</v>
      </c>
      <c r="AD47">
        <f t="shared" si="0"/>
        <v>46</v>
      </c>
      <c r="AE47">
        <v>193.71622400000001</v>
      </c>
      <c r="AF47">
        <v>279.43321600000002</v>
      </c>
      <c r="AG47">
        <v>50.057215999999997</v>
      </c>
    </row>
    <row r="48" spans="1:33" x14ac:dyDescent="0.2">
      <c r="A48" t="s">
        <v>52</v>
      </c>
      <c r="B48" t="s">
        <v>249</v>
      </c>
      <c r="C48">
        <v>3.2064478749999998</v>
      </c>
      <c r="D48">
        <v>3.4127297308295899</v>
      </c>
      <c r="E48">
        <v>197.906432</v>
      </c>
      <c r="K48" t="s">
        <v>133</v>
      </c>
      <c r="L48" t="s">
        <v>249</v>
      </c>
      <c r="M48">
        <v>2.9528450180000001</v>
      </c>
      <c r="N48">
        <v>3.1520366333425001</v>
      </c>
      <c r="O48">
        <v>285.98681599999998</v>
      </c>
      <c r="V48" t="s">
        <v>219</v>
      </c>
      <c r="W48" t="s">
        <v>88</v>
      </c>
      <c r="X48">
        <v>10.037863922</v>
      </c>
      <c r="Y48">
        <v>10.0621128715574</v>
      </c>
      <c r="Z48">
        <v>51.236863999999997</v>
      </c>
      <c r="AD48">
        <f t="shared" si="0"/>
        <v>47</v>
      </c>
      <c r="AE48">
        <v>197.906432</v>
      </c>
      <c r="AF48">
        <v>285.98681599999998</v>
      </c>
      <c r="AG48">
        <v>51.236863999999997</v>
      </c>
    </row>
    <row r="49" spans="1:33" x14ac:dyDescent="0.2">
      <c r="A49" t="s">
        <v>53</v>
      </c>
      <c r="B49" t="s">
        <v>249</v>
      </c>
      <c r="C49">
        <v>3.3522591030000002</v>
      </c>
      <c r="D49">
        <v>3.55642323754727</v>
      </c>
      <c r="E49">
        <v>205.246464</v>
      </c>
      <c r="K49" t="s">
        <v>134</v>
      </c>
      <c r="L49" t="s">
        <v>249</v>
      </c>
      <c r="M49">
        <v>3.0093940780000001</v>
      </c>
      <c r="N49">
        <v>3.2108007110655299</v>
      </c>
      <c r="O49">
        <v>292.27827200000002</v>
      </c>
      <c r="V49" t="s">
        <v>220</v>
      </c>
      <c r="W49" t="s">
        <v>88</v>
      </c>
      <c r="X49">
        <v>10.281748314</v>
      </c>
      <c r="Y49">
        <v>10.305011535063301</v>
      </c>
      <c r="Z49">
        <v>52.420608000000001</v>
      </c>
      <c r="AD49">
        <f t="shared" si="0"/>
        <v>48</v>
      </c>
      <c r="AE49">
        <v>205.246464</v>
      </c>
      <c r="AF49">
        <v>292.27827200000002</v>
      </c>
      <c r="AG49">
        <v>52.420608000000001</v>
      </c>
    </row>
    <row r="50" spans="1:33" x14ac:dyDescent="0.2">
      <c r="A50" t="s">
        <v>54</v>
      </c>
      <c r="B50" t="s">
        <v>249</v>
      </c>
      <c r="C50">
        <v>3.2776185139999998</v>
      </c>
      <c r="D50">
        <v>3.4839381892233998</v>
      </c>
      <c r="E50">
        <v>209.57184000000001</v>
      </c>
      <c r="K50" t="s">
        <v>135</v>
      </c>
      <c r="L50" t="s">
        <v>249</v>
      </c>
      <c r="M50">
        <v>3.0769659850000002</v>
      </c>
      <c r="N50">
        <v>3.2826014198362801</v>
      </c>
      <c r="O50">
        <v>298.70080000000002</v>
      </c>
      <c r="V50" t="s">
        <v>221</v>
      </c>
      <c r="W50" t="s">
        <v>88</v>
      </c>
      <c r="X50">
        <v>10.516575724000001</v>
      </c>
      <c r="Y50">
        <v>10.534413294866599</v>
      </c>
      <c r="Z50">
        <v>53.465088000000002</v>
      </c>
      <c r="AD50">
        <f t="shared" si="0"/>
        <v>49</v>
      </c>
      <c r="AE50">
        <v>209.57184000000001</v>
      </c>
      <c r="AF50">
        <v>298.70080000000002</v>
      </c>
      <c r="AG50">
        <v>53.465088000000002</v>
      </c>
    </row>
    <row r="51" spans="1:33" x14ac:dyDescent="0.2">
      <c r="A51" t="s">
        <v>55</v>
      </c>
      <c r="B51" t="s">
        <v>249</v>
      </c>
      <c r="C51">
        <v>3.495056688</v>
      </c>
      <c r="D51">
        <v>3.6879650875926</v>
      </c>
      <c r="E51">
        <v>213.766144</v>
      </c>
      <c r="K51" t="s">
        <v>136</v>
      </c>
      <c r="L51" t="s">
        <v>249</v>
      </c>
      <c r="M51">
        <v>3.1718079640000001</v>
      </c>
      <c r="N51">
        <v>3.3837694860994798</v>
      </c>
      <c r="O51">
        <v>305.12332800000001</v>
      </c>
      <c r="V51" t="s">
        <v>222</v>
      </c>
      <c r="W51" t="s">
        <v>88</v>
      </c>
      <c r="X51">
        <v>10.738709886000001</v>
      </c>
      <c r="Y51">
        <v>10.7661692053079</v>
      </c>
      <c r="Z51">
        <v>54.644736000000002</v>
      </c>
      <c r="AD51">
        <f t="shared" si="0"/>
        <v>50</v>
      </c>
      <c r="AE51">
        <v>213.766144</v>
      </c>
      <c r="AF51">
        <v>305.12332800000001</v>
      </c>
      <c r="AG51">
        <v>54.644736000000002</v>
      </c>
    </row>
    <row r="52" spans="1:33" x14ac:dyDescent="0.2">
      <c r="A52" t="s">
        <v>56</v>
      </c>
      <c r="B52" t="s">
        <v>249</v>
      </c>
      <c r="C52">
        <v>3.5853448079999999</v>
      </c>
      <c r="D52">
        <v>3.7880136985331698</v>
      </c>
      <c r="E52">
        <v>217.96044800000001</v>
      </c>
      <c r="K52" t="s">
        <v>137</v>
      </c>
      <c r="L52" t="s">
        <v>249</v>
      </c>
      <c r="M52">
        <v>3.2152286650000002</v>
      </c>
      <c r="N52">
        <v>3.42754923738539</v>
      </c>
      <c r="O52">
        <v>311.54585600000001</v>
      </c>
      <c r="V52" t="s">
        <v>223</v>
      </c>
      <c r="W52" t="s">
        <v>88</v>
      </c>
      <c r="X52">
        <v>10.988431177000001</v>
      </c>
      <c r="Y52">
        <v>11.0103339310735</v>
      </c>
      <c r="Z52">
        <v>55.824384000000002</v>
      </c>
      <c r="AD52">
        <f t="shared" si="0"/>
        <v>51</v>
      </c>
      <c r="AE52">
        <v>217.96044800000001</v>
      </c>
      <c r="AF52">
        <v>311.54585600000001</v>
      </c>
      <c r="AG52">
        <v>55.824384000000002</v>
      </c>
    </row>
    <row r="53" spans="1:33" x14ac:dyDescent="0.2">
      <c r="A53" t="s">
        <v>57</v>
      </c>
      <c r="B53" t="s">
        <v>249</v>
      </c>
      <c r="C53">
        <v>3.702981206</v>
      </c>
      <c r="D53">
        <v>3.9092066138982702</v>
      </c>
      <c r="E53">
        <v>221.24544</v>
      </c>
      <c r="K53" t="s">
        <v>138</v>
      </c>
      <c r="L53" t="s">
        <v>249</v>
      </c>
      <c r="M53">
        <v>2.2478830439999999</v>
      </c>
      <c r="N53">
        <v>2.4474633578210998</v>
      </c>
      <c r="O53">
        <v>317.96838400000001</v>
      </c>
      <c r="V53" t="s">
        <v>224</v>
      </c>
      <c r="W53" t="s">
        <v>88</v>
      </c>
      <c r="X53">
        <v>11.208856555000001</v>
      </c>
      <c r="Y53">
        <v>11.2379541192203</v>
      </c>
      <c r="Z53">
        <v>57.004032000000002</v>
      </c>
      <c r="AD53">
        <f t="shared" si="0"/>
        <v>52</v>
      </c>
      <c r="AE53">
        <v>221.24544</v>
      </c>
      <c r="AF53">
        <v>317.96838400000001</v>
      </c>
      <c r="AG53">
        <v>57.004032000000002</v>
      </c>
    </row>
    <row r="54" spans="1:33" x14ac:dyDescent="0.2">
      <c r="A54" t="s">
        <v>58</v>
      </c>
      <c r="B54" t="s">
        <v>249</v>
      </c>
      <c r="C54">
        <v>3.7487054720000001</v>
      </c>
      <c r="D54">
        <v>3.95273636467754</v>
      </c>
      <c r="E54">
        <v>225.43155200000001</v>
      </c>
      <c r="K54" t="s">
        <v>139</v>
      </c>
      <c r="L54" t="s">
        <v>249</v>
      </c>
      <c r="M54">
        <v>2.3188696740000001</v>
      </c>
      <c r="N54">
        <v>2.5195651017129399</v>
      </c>
      <c r="O54">
        <v>324.39091200000001</v>
      </c>
      <c r="V54" t="s">
        <v>225</v>
      </c>
      <c r="W54" t="s">
        <v>88</v>
      </c>
      <c r="X54">
        <v>11.460731368999999</v>
      </c>
      <c r="Y54">
        <v>11.485561115667201</v>
      </c>
      <c r="Z54">
        <v>58.183680000000003</v>
      </c>
      <c r="AD54">
        <f t="shared" si="0"/>
        <v>53</v>
      </c>
      <c r="AE54">
        <v>225.43155200000001</v>
      </c>
      <c r="AF54">
        <v>324.39091200000001</v>
      </c>
      <c r="AG54">
        <v>58.183680000000003</v>
      </c>
    </row>
    <row r="55" spans="1:33" x14ac:dyDescent="0.2">
      <c r="A55" t="s">
        <v>59</v>
      </c>
      <c r="B55" t="s">
        <v>249</v>
      </c>
      <c r="C55">
        <v>3.9202294050000002</v>
      </c>
      <c r="D55">
        <v>4.1493400912731797</v>
      </c>
      <c r="E55">
        <v>232.37836799999999</v>
      </c>
      <c r="K55" t="s">
        <v>140</v>
      </c>
      <c r="L55" t="s">
        <v>249</v>
      </c>
      <c r="M55">
        <v>2.3398105010000001</v>
      </c>
      <c r="N55">
        <v>2.5400404650717898</v>
      </c>
      <c r="O55">
        <v>330.682368</v>
      </c>
      <c r="V55" t="s">
        <v>226</v>
      </c>
      <c r="W55" t="s">
        <v>88</v>
      </c>
      <c r="X55">
        <v>11.690422199</v>
      </c>
      <c r="Y55">
        <v>11.709096081554801</v>
      </c>
      <c r="Z55">
        <v>59.232256</v>
      </c>
      <c r="AD55">
        <f t="shared" si="0"/>
        <v>54</v>
      </c>
      <c r="AE55">
        <v>232.37836799999999</v>
      </c>
      <c r="AF55">
        <v>330.682368</v>
      </c>
      <c r="AG55">
        <v>59.232256</v>
      </c>
    </row>
    <row r="56" spans="1:33" x14ac:dyDescent="0.2">
      <c r="A56" t="s">
        <v>60</v>
      </c>
      <c r="B56" t="s">
        <v>249</v>
      </c>
      <c r="C56">
        <v>0.53302042400000005</v>
      </c>
      <c r="D56">
        <v>0.73999757878482297</v>
      </c>
      <c r="E56">
        <v>63.688704000000001</v>
      </c>
      <c r="K56" t="s">
        <v>141</v>
      </c>
      <c r="L56" t="s">
        <v>249</v>
      </c>
      <c r="M56">
        <v>0.49558543999999999</v>
      </c>
      <c r="N56">
        <v>0.70994501747190897</v>
      </c>
      <c r="O56">
        <v>34.852863999999997</v>
      </c>
      <c r="V56" t="s">
        <v>227</v>
      </c>
      <c r="W56" t="s">
        <v>88</v>
      </c>
      <c r="X56">
        <v>1.1636092840000001</v>
      </c>
      <c r="Y56">
        <v>1.1829590331763</v>
      </c>
      <c r="Z56">
        <v>7.4588159999999997</v>
      </c>
      <c r="AD56">
        <f t="shared" si="0"/>
        <v>55</v>
      </c>
      <c r="AE56">
        <v>63.688704000000001</v>
      </c>
      <c r="AF56">
        <v>34.852863999999997</v>
      </c>
      <c r="AG56">
        <v>7.4588159999999997</v>
      </c>
    </row>
    <row r="57" spans="1:33" x14ac:dyDescent="0.2">
      <c r="A57" t="s">
        <v>61</v>
      </c>
      <c r="B57" t="s">
        <v>7</v>
      </c>
      <c r="C57">
        <v>0.22114653500000001</v>
      </c>
      <c r="D57">
        <v>0.24476129934191701</v>
      </c>
      <c r="E57">
        <v>16.633856000000002</v>
      </c>
      <c r="K57" t="s">
        <v>142</v>
      </c>
      <c r="L57" t="s">
        <v>88</v>
      </c>
      <c r="M57">
        <v>5.9467142000000001E-2</v>
      </c>
      <c r="N57">
        <v>8.7128585204481995E-2</v>
      </c>
      <c r="O57">
        <v>5.0954240000000004</v>
      </c>
      <c r="V57" t="s">
        <v>228</v>
      </c>
      <c r="W57" t="s">
        <v>88</v>
      </c>
      <c r="X57">
        <v>0.129180249</v>
      </c>
      <c r="Y57">
        <v>0.143027072772383</v>
      </c>
      <c r="Z57">
        <v>2.2159360000000001</v>
      </c>
      <c r="AD57">
        <f t="shared" si="0"/>
        <v>56</v>
      </c>
      <c r="AE57">
        <v>16.633856000000002</v>
      </c>
      <c r="AF57">
        <v>5.0954240000000004</v>
      </c>
      <c r="AG57">
        <v>2.2159360000000001</v>
      </c>
    </row>
    <row r="58" spans="1:33" x14ac:dyDescent="0.2">
      <c r="A58" t="s">
        <v>62</v>
      </c>
      <c r="B58" t="s">
        <v>7</v>
      </c>
      <c r="C58">
        <v>9.6391615999999999E-2</v>
      </c>
      <c r="D58">
        <v>0.112492930144071</v>
      </c>
      <c r="E58">
        <v>6.2791680000000003</v>
      </c>
      <c r="K58" t="s">
        <v>143</v>
      </c>
      <c r="L58" t="s">
        <v>88</v>
      </c>
      <c r="M58">
        <v>1.0488275E-2</v>
      </c>
      <c r="N58">
        <v>3.9856037124991403E-2</v>
      </c>
      <c r="O58">
        <v>2.0930559999999998</v>
      </c>
      <c r="V58" t="s">
        <v>229</v>
      </c>
      <c r="W58" t="s">
        <v>88</v>
      </c>
      <c r="X58">
        <v>2.6982906000000001E-2</v>
      </c>
      <c r="Y58">
        <v>5.7767575606703703E-2</v>
      </c>
      <c r="Z58">
        <v>1.8309120000000001</v>
      </c>
      <c r="AD58">
        <f t="shared" si="0"/>
        <v>57</v>
      </c>
      <c r="AE58">
        <v>6.2791680000000003</v>
      </c>
      <c r="AF58">
        <v>2.0930559999999998</v>
      </c>
      <c r="AG58">
        <v>1.8309120000000001</v>
      </c>
    </row>
    <row r="59" spans="1:33" x14ac:dyDescent="0.2">
      <c r="A59" t="s">
        <v>63</v>
      </c>
      <c r="B59" t="s">
        <v>249</v>
      </c>
      <c r="C59">
        <v>0.61166163100000004</v>
      </c>
      <c r="D59">
        <v>0.81669074669480302</v>
      </c>
      <c r="E59">
        <v>65.785855999999995</v>
      </c>
      <c r="K59" t="s">
        <v>144</v>
      </c>
      <c r="L59" t="s">
        <v>249</v>
      </c>
      <c r="M59">
        <v>0.62472101899999999</v>
      </c>
      <c r="N59">
        <v>0.82770553790032797</v>
      </c>
      <c r="O59">
        <v>41.537536000000003</v>
      </c>
      <c r="V59" t="s">
        <v>230</v>
      </c>
      <c r="W59" t="s">
        <v>88</v>
      </c>
      <c r="X59">
        <v>1.3933625549999999</v>
      </c>
      <c r="Y59">
        <v>1.42133366502821</v>
      </c>
      <c r="Z59">
        <v>8.6384640000000008</v>
      </c>
      <c r="AD59">
        <f t="shared" si="0"/>
        <v>58</v>
      </c>
      <c r="AE59">
        <v>65.785855999999995</v>
      </c>
      <c r="AF59">
        <v>41.537536000000003</v>
      </c>
      <c r="AG59">
        <v>8.6384640000000008</v>
      </c>
    </row>
    <row r="60" spans="1:33" x14ac:dyDescent="0.2">
      <c r="A60" t="s">
        <v>64</v>
      </c>
      <c r="B60" t="s">
        <v>7</v>
      </c>
      <c r="C60">
        <v>0.26699294600000001</v>
      </c>
      <c r="D60">
        <v>0.28514011017978103</v>
      </c>
      <c r="E60">
        <v>20.172799999999999</v>
      </c>
      <c r="K60" t="s">
        <v>145</v>
      </c>
      <c r="L60" t="s">
        <v>88</v>
      </c>
      <c r="M60">
        <v>7.1185014000000005E-2</v>
      </c>
      <c r="N60">
        <v>0.106906523928046</v>
      </c>
      <c r="O60">
        <v>5.75488</v>
      </c>
      <c r="V60" t="s">
        <v>231</v>
      </c>
      <c r="W60" t="s">
        <v>88</v>
      </c>
      <c r="X60">
        <v>0.152005426</v>
      </c>
      <c r="Y60">
        <v>0.185407869517803</v>
      </c>
      <c r="Z60">
        <v>2.4780799999999998</v>
      </c>
      <c r="AD60">
        <f t="shared" si="0"/>
        <v>59</v>
      </c>
      <c r="AE60">
        <v>20.172799999999999</v>
      </c>
      <c r="AF60">
        <v>5.75488</v>
      </c>
      <c r="AG60">
        <v>2.4780799999999998</v>
      </c>
    </row>
    <row r="61" spans="1:33" x14ac:dyDescent="0.2">
      <c r="A61" t="s">
        <v>65</v>
      </c>
      <c r="B61" t="s">
        <v>7</v>
      </c>
      <c r="C61">
        <v>9.7850132000000006E-2</v>
      </c>
      <c r="D61">
        <v>0.11305346526205499</v>
      </c>
      <c r="E61">
        <v>6.5413119999999996</v>
      </c>
      <c r="K61" t="s">
        <v>146</v>
      </c>
      <c r="L61" t="s">
        <v>88</v>
      </c>
      <c r="M61">
        <v>1.1264572E-2</v>
      </c>
      <c r="N61">
        <v>4.32311613112688E-2</v>
      </c>
      <c r="O61">
        <v>2.0930559999999998</v>
      </c>
      <c r="V61" t="s">
        <v>232</v>
      </c>
      <c r="W61" t="s">
        <v>88</v>
      </c>
      <c r="X61">
        <v>2.8879961999999999E-2</v>
      </c>
      <c r="Y61">
        <v>5.8387907221913303E-2</v>
      </c>
      <c r="Z61">
        <v>1.8309120000000001</v>
      </c>
      <c r="AD61">
        <f t="shared" si="0"/>
        <v>60</v>
      </c>
      <c r="AE61">
        <v>6.5413119999999996</v>
      </c>
      <c r="AF61">
        <v>2.0930559999999998</v>
      </c>
      <c r="AG61">
        <v>1.8309120000000001</v>
      </c>
    </row>
    <row r="62" spans="1:33" x14ac:dyDescent="0.2">
      <c r="A62" t="s">
        <v>66</v>
      </c>
      <c r="B62" t="s">
        <v>249</v>
      </c>
      <c r="C62">
        <v>0.68275121599999999</v>
      </c>
      <c r="D62">
        <v>0.89666249416768495</v>
      </c>
      <c r="E62">
        <v>67.751936000000001</v>
      </c>
      <c r="K62" t="s">
        <v>147</v>
      </c>
      <c r="L62" t="s">
        <v>249</v>
      </c>
      <c r="M62">
        <v>0.72658292000000002</v>
      </c>
      <c r="N62">
        <v>0.94003004580736105</v>
      </c>
      <c r="O62">
        <v>48.091135999999999</v>
      </c>
      <c r="V62" t="s">
        <v>233</v>
      </c>
      <c r="W62" t="s">
        <v>88</v>
      </c>
      <c r="X62">
        <v>1.6291719069999999</v>
      </c>
      <c r="Y62">
        <v>1.6497382037341499</v>
      </c>
      <c r="Z62">
        <v>9.8181119999999993</v>
      </c>
      <c r="AD62">
        <f t="shared" si="0"/>
        <v>61</v>
      </c>
      <c r="AE62">
        <v>67.751936000000001</v>
      </c>
      <c r="AF62">
        <v>48.091135999999999</v>
      </c>
      <c r="AG62">
        <v>9.8181119999999993</v>
      </c>
    </row>
    <row r="63" spans="1:33" x14ac:dyDescent="0.2">
      <c r="A63" t="s">
        <v>67</v>
      </c>
      <c r="B63" t="s">
        <v>7</v>
      </c>
      <c r="C63">
        <v>0.32217585700000001</v>
      </c>
      <c r="D63">
        <v>0.34514739364385599</v>
      </c>
      <c r="E63">
        <v>23.842815999999999</v>
      </c>
      <c r="K63" t="s">
        <v>148</v>
      </c>
      <c r="L63" t="s">
        <v>88</v>
      </c>
      <c r="M63">
        <v>8.1405724999999998E-2</v>
      </c>
      <c r="N63">
        <v>0.119198653846979</v>
      </c>
      <c r="O63">
        <v>6.4102399999999999</v>
      </c>
      <c r="V63" t="s">
        <v>234</v>
      </c>
      <c r="W63" t="s">
        <v>88</v>
      </c>
      <c r="X63">
        <v>0.17508797600000001</v>
      </c>
      <c r="Y63">
        <v>0.18964442797005099</v>
      </c>
      <c r="Z63">
        <v>2.6091519999999999</v>
      </c>
      <c r="AD63">
        <f t="shared" si="0"/>
        <v>62</v>
      </c>
      <c r="AE63">
        <v>23.842815999999999</v>
      </c>
      <c r="AF63">
        <v>6.4102399999999999</v>
      </c>
      <c r="AG63">
        <v>2.6091519999999999</v>
      </c>
    </row>
    <row r="64" spans="1:33" x14ac:dyDescent="0.2">
      <c r="A64" t="s">
        <v>68</v>
      </c>
      <c r="B64" t="s">
        <v>7</v>
      </c>
      <c r="C64">
        <v>9.8694066999999996E-2</v>
      </c>
      <c r="D64">
        <v>0.111798541620373</v>
      </c>
      <c r="E64">
        <v>6.5413119999999996</v>
      </c>
      <c r="K64" t="s">
        <v>149</v>
      </c>
      <c r="L64" t="s">
        <v>88</v>
      </c>
      <c r="M64">
        <v>1.2387395000000001E-2</v>
      </c>
      <c r="N64">
        <v>4.2955638840794501E-2</v>
      </c>
      <c r="O64">
        <v>2.0930559999999998</v>
      </c>
      <c r="V64" t="s">
        <v>235</v>
      </c>
      <c r="W64" t="s">
        <v>88</v>
      </c>
      <c r="X64">
        <v>3.1568329999999999E-2</v>
      </c>
      <c r="Y64">
        <v>5.0156140699982601E-2</v>
      </c>
      <c r="Z64">
        <v>1.8227199999999999</v>
      </c>
      <c r="AD64">
        <f t="shared" si="0"/>
        <v>63</v>
      </c>
      <c r="AE64">
        <v>6.5413119999999996</v>
      </c>
      <c r="AF64">
        <v>2.0930559999999998</v>
      </c>
      <c r="AG64">
        <v>1.8227199999999999</v>
      </c>
    </row>
    <row r="65" spans="1:33" x14ac:dyDescent="0.2">
      <c r="A65" t="s">
        <v>69</v>
      </c>
      <c r="B65" t="s">
        <v>249</v>
      </c>
      <c r="C65">
        <v>0.75924983000000001</v>
      </c>
      <c r="D65">
        <v>0.97159231826662995</v>
      </c>
      <c r="E65">
        <v>69.586944000000003</v>
      </c>
      <c r="K65" t="s">
        <v>150</v>
      </c>
      <c r="L65" t="s">
        <v>249</v>
      </c>
      <c r="M65">
        <v>0.83866713400000004</v>
      </c>
      <c r="N65">
        <v>1.0442997589707299</v>
      </c>
      <c r="O65">
        <v>54.644736000000002</v>
      </c>
      <c r="V65" t="s">
        <v>236</v>
      </c>
      <c r="W65" t="s">
        <v>88</v>
      </c>
      <c r="X65">
        <v>1.8542289270000001</v>
      </c>
      <c r="Y65">
        <v>1.8734086528420399</v>
      </c>
      <c r="Z65">
        <v>10.99776</v>
      </c>
      <c r="AD65">
        <f t="shared" si="0"/>
        <v>64</v>
      </c>
      <c r="AE65">
        <v>69.586944000000003</v>
      </c>
      <c r="AF65">
        <v>54.644736000000002</v>
      </c>
      <c r="AG65">
        <v>10.99776</v>
      </c>
    </row>
    <row r="66" spans="1:33" x14ac:dyDescent="0.2">
      <c r="A66" t="s">
        <v>70</v>
      </c>
      <c r="B66" t="s">
        <v>7</v>
      </c>
      <c r="C66">
        <v>0.38582352600000003</v>
      </c>
      <c r="D66">
        <v>0.40420703217387199</v>
      </c>
      <c r="E66">
        <v>27.906047999999998</v>
      </c>
      <c r="K66" t="s">
        <v>151</v>
      </c>
      <c r="L66" t="s">
        <v>88</v>
      </c>
      <c r="M66">
        <v>9.1635063000000003E-2</v>
      </c>
      <c r="N66">
        <v>0.13155315071344301</v>
      </c>
      <c r="O66">
        <v>7.1925759999999999</v>
      </c>
      <c r="V66" t="s">
        <v>237</v>
      </c>
      <c r="W66" t="s">
        <v>88</v>
      </c>
      <c r="X66">
        <v>0.19668073799999999</v>
      </c>
      <c r="Y66">
        <v>0.22210165858268699</v>
      </c>
      <c r="Z66">
        <v>2.6091519999999999</v>
      </c>
      <c r="AD66">
        <f t="shared" si="0"/>
        <v>65</v>
      </c>
      <c r="AE66">
        <v>27.906047999999998</v>
      </c>
      <c r="AF66">
        <v>7.1925759999999999</v>
      </c>
      <c r="AG66">
        <v>2.6091519999999999</v>
      </c>
    </row>
    <row r="67" spans="1:33" x14ac:dyDescent="0.2">
      <c r="A67" t="s">
        <v>71</v>
      </c>
      <c r="B67" t="s">
        <v>7</v>
      </c>
      <c r="C67">
        <v>9.7452487000000004E-2</v>
      </c>
      <c r="D67">
        <v>0.122181834653019</v>
      </c>
      <c r="E67">
        <v>6.8116479999999999</v>
      </c>
      <c r="K67" t="s">
        <v>152</v>
      </c>
      <c r="L67" t="s">
        <v>88</v>
      </c>
      <c r="M67">
        <v>1.3875969E-2</v>
      </c>
      <c r="N67">
        <v>6.3474059104919406E-2</v>
      </c>
      <c r="O67">
        <v>2.2241279999999999</v>
      </c>
      <c r="V67" t="s">
        <v>238</v>
      </c>
      <c r="W67" t="s">
        <v>88</v>
      </c>
      <c r="X67">
        <v>3.3003708999999999E-2</v>
      </c>
      <c r="Y67">
        <v>5.9003951027989297E-2</v>
      </c>
      <c r="Z67">
        <v>1.8309120000000001</v>
      </c>
      <c r="AD67">
        <f t="shared" si="0"/>
        <v>66</v>
      </c>
      <c r="AE67">
        <v>6.8116479999999999</v>
      </c>
      <c r="AF67">
        <v>2.2241279999999999</v>
      </c>
      <c r="AG67">
        <v>1.8309120000000001</v>
      </c>
    </row>
    <row r="68" spans="1:33" x14ac:dyDescent="0.2">
      <c r="A68" t="s">
        <v>72</v>
      </c>
      <c r="B68" t="s">
        <v>249</v>
      </c>
      <c r="C68">
        <v>0.85452940899999996</v>
      </c>
      <c r="D68">
        <v>1.0522743444889699</v>
      </c>
      <c r="E68">
        <v>71.159807999999998</v>
      </c>
      <c r="K68" t="s">
        <v>153</v>
      </c>
      <c r="L68" t="s">
        <v>249</v>
      </c>
      <c r="M68">
        <v>0.95961179399999996</v>
      </c>
      <c r="N68">
        <v>1.1629185583442401</v>
      </c>
      <c r="O68">
        <v>61.329408000000001</v>
      </c>
      <c r="V68" t="s">
        <v>239</v>
      </c>
      <c r="W68" t="s">
        <v>88</v>
      </c>
      <c r="X68">
        <v>2.089792992</v>
      </c>
      <c r="Y68">
        <v>2.1057687308639199</v>
      </c>
      <c r="Z68">
        <v>12.046336</v>
      </c>
      <c r="AD68">
        <f t="shared" ref="AD68:AD70" si="1">AD67+1</f>
        <v>67</v>
      </c>
      <c r="AE68">
        <v>71.159807999999998</v>
      </c>
      <c r="AF68">
        <v>61.329408000000001</v>
      </c>
      <c r="AG68">
        <v>12.046336</v>
      </c>
    </row>
    <row r="69" spans="1:33" x14ac:dyDescent="0.2">
      <c r="A69" t="s">
        <v>73</v>
      </c>
      <c r="B69" t="s">
        <v>7</v>
      </c>
      <c r="C69">
        <v>0.46527774199999999</v>
      </c>
      <c r="D69">
        <v>0.48381758108735001</v>
      </c>
      <c r="E69">
        <v>32.235520000000001</v>
      </c>
      <c r="K69" t="s">
        <v>154</v>
      </c>
      <c r="L69" t="s">
        <v>88</v>
      </c>
      <c r="M69">
        <v>0.10474107000000001</v>
      </c>
      <c r="N69">
        <v>0.13572272844612501</v>
      </c>
      <c r="O69">
        <v>7.7209599999999998</v>
      </c>
      <c r="V69" t="s">
        <v>240</v>
      </c>
      <c r="W69" t="s">
        <v>88</v>
      </c>
      <c r="X69">
        <v>0.22119994000000001</v>
      </c>
      <c r="Y69">
        <v>0.246084844693541</v>
      </c>
      <c r="Z69">
        <v>2.740224</v>
      </c>
      <c r="AD69">
        <f t="shared" si="1"/>
        <v>68</v>
      </c>
      <c r="AE69">
        <v>32.235520000000001</v>
      </c>
      <c r="AF69">
        <v>7.7209599999999998</v>
      </c>
      <c r="AG69">
        <v>2.740224</v>
      </c>
    </row>
    <row r="70" spans="1:33" x14ac:dyDescent="0.2">
      <c r="A70" t="s">
        <v>74</v>
      </c>
      <c r="B70" t="s">
        <v>7</v>
      </c>
      <c r="C70">
        <v>0.10232002900000001</v>
      </c>
      <c r="D70">
        <v>0.119724990800023</v>
      </c>
      <c r="E70">
        <v>7.0655999999999999</v>
      </c>
      <c r="K70" t="s">
        <v>155</v>
      </c>
      <c r="L70" t="s">
        <v>156</v>
      </c>
      <c r="M70">
        <v>4.58699E-3</v>
      </c>
      <c r="N70">
        <v>4.74823117256164E-2</v>
      </c>
      <c r="O70">
        <v>1.69984</v>
      </c>
      <c r="V70" t="s">
        <v>241</v>
      </c>
      <c r="W70" t="s">
        <v>88</v>
      </c>
      <c r="X70">
        <v>3.6350208000000002E-2</v>
      </c>
      <c r="Y70">
        <v>5.45293241739273E-2</v>
      </c>
      <c r="Z70">
        <v>1.8227199999999999</v>
      </c>
      <c r="AD70">
        <f t="shared" si="1"/>
        <v>69</v>
      </c>
      <c r="AE70">
        <v>7.0655999999999999</v>
      </c>
      <c r="AF70">
        <v>1.69984</v>
      </c>
      <c r="AG70">
        <v>1.8227199999999999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c6eb9b64-1931-47cb-8c18-beaa2b56ae02" xsi:nil="true"/>
    <lcf76f155ced4ddcb4097134ff3c332f xmlns="fdfd9ad7-10cb-46cf-ba90-e72a3540ec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D4CADFC0FEA6499D9F6981718ED478" ma:contentTypeVersion="19" ma:contentTypeDescription="Create a new document." ma:contentTypeScope="" ma:versionID="4bd36176e8aee7670d895ea5fa6a9f52">
  <xsd:schema xmlns:xsd="http://www.w3.org/2001/XMLSchema" xmlns:xs="http://www.w3.org/2001/XMLSchema" xmlns:p="http://schemas.microsoft.com/office/2006/metadata/properties" xmlns:ns1="http://schemas.microsoft.com/sharepoint/v3" xmlns:ns2="fdfd9ad7-10cb-46cf-ba90-e72a3540ec59" xmlns:ns3="c6eb9b64-1931-47cb-8c18-beaa2b56ae02" targetNamespace="http://schemas.microsoft.com/office/2006/metadata/properties" ma:root="true" ma:fieldsID="8fe37c538058e0946878a9a017ed8480" ns1:_="" ns2:_="" ns3:_="">
    <xsd:import namespace="http://schemas.microsoft.com/sharepoint/v3"/>
    <xsd:import namespace="fdfd9ad7-10cb-46cf-ba90-e72a3540ec59"/>
    <xsd:import namespace="c6eb9b64-1931-47cb-8c18-beaa2b5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d9ad7-10cb-46cf-ba90-e72a3540e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4b6758f-1101-41c6-bce0-972164c0a4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b9b64-1931-47cb-8c18-beaa2b56ae0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d52bcf0-ec41-4f97-a977-e42bedda19eb}" ma:internalName="TaxCatchAll" ma:showField="CatchAllData" ma:web="c6eb9b64-1931-47cb-8c18-beaa2b5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AAE5B1-0330-41C3-A21E-659B5A7B2BCA}">
  <ds:schemaRefs>
    <ds:schemaRef ds:uri="c6eb9b64-1931-47cb-8c18-beaa2b56ae02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fdfd9ad7-10cb-46cf-ba90-e72a3540ec5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400AAC1-5B75-496A-9C9E-9C4CD34845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3DD334-0411-44E2-82D5-F5C1AA43F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comparison</vt:lpstr>
      <vt:lpstr>Memory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S. Farag</dc:creator>
  <cp:lastModifiedBy>Arjun Earthperson</cp:lastModifiedBy>
  <dcterms:created xsi:type="dcterms:W3CDTF">2022-07-18T22:49:15Z</dcterms:created>
  <dcterms:modified xsi:type="dcterms:W3CDTF">2024-12-29T22:40:26Z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0x01010074D4CADFC0FEA6499D9F6981718ED478</vt:lpwstr>
  </property>
  <property fmtid="{D5CDD505-2E9C-101B-9397-08002B2CF9AE}" pid="3" name="MediaServiceImageTags">
    <vt:lpwstr/>
  </property>
</Properties>
</file>