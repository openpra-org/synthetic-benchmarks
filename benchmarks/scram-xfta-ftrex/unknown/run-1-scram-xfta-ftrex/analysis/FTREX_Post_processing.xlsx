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.sharepoint.com/sites/NEPRAGroup-2021-NEUP-RC-7/Shared Documents/2021-NEUP-RC-7/Outputs/ftrex-benchmarks/"/>
    </mc:Choice>
  </mc:AlternateContent>
  <xr:revisionPtr revIDLastSave="1338" documentId="8_{03954DAE-5601-4B53-AD25-1827B33D4464}" xr6:coauthVersionLast="47" xr6:coauthVersionMax="47" xr10:uidLastSave="{C19C090F-4A1B-4102-B3E0-EADA27FE9121}"/>
  <bookViews>
    <workbookView xWindow="0" yWindow="0" windowWidth="40960" windowHeight="25600" activeTab="3" xr2:uid="{0F55A1F8-8275-41D2-94D4-5A3F5315CBDD}"/>
  </bookViews>
  <sheets>
    <sheet name="eros" sheetId="1" r:id="rId1"/>
    <sheet name="node057" sheetId="3" r:id="rId2"/>
    <sheet name="gaia" sheetId="2" r:id="rId3"/>
    <sheet name="FTREX-SCRAM" sheetId="11" r:id="rId4"/>
    <sheet name="time-memory" sheetId="4" r:id="rId5"/>
    <sheet name="All tools" sheetId="5" r:id="rId6"/>
    <sheet name="MCSs &amp; Prob" sheetId="6" r:id="rId7"/>
    <sheet name="FTREX-ZDD" sheetId="9" r:id="rId8"/>
    <sheet name="FTREX-BDD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6" l="1"/>
  <c r="H32" i="6"/>
  <c r="H33" i="6"/>
  <c r="H34" i="6"/>
  <c r="H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26" i="6"/>
  <c r="R65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42" i="6"/>
  <c r="T42" i="6"/>
  <c r="T59" i="6"/>
  <c r="S42" i="6"/>
  <c r="P3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B51" i="11"/>
  <c r="B49" i="11"/>
  <c r="B50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34" i="11"/>
  <c r="A18" i="6"/>
  <c r="A19" i="6"/>
  <c r="A20" i="6"/>
</calcChain>
</file>

<file path=xl/sharedStrings.xml><?xml version="1.0" encoding="utf-8"?>
<sst xmlns="http://schemas.openxmlformats.org/spreadsheetml/2006/main" count="1097" uniqueCount="181">
  <si>
    <t>Linux-5.15.0-88-generic-x86_64-with-glibc2.35</t>
  </si>
  <si>
    <t>CPU: Intel Xeon CPU L5640 @ 2.27GHz, cores: 24, frequency: 2261 MHz; RAM: 135146 MB</t>
  </si>
  <si>
    <t>CPU: Intel Xeon CPU E5-2630 v2 @ 2.60GHz, cores: 24, frequency: 3100 MHz, Turbo Boost: enabled; RAM: 135131 MB</t>
  </si>
  <si>
    <t>tool</t>
  </si>
  <si>
    <t xml:space="preserve">FTREX </t>
  </si>
  <si>
    <t>run set</t>
  </si>
  <si>
    <t>BDD</t>
  </si>
  <si>
    <t>ZDD</t>
  </si>
  <si>
    <t>../../models/ftrex/</t>
  </si>
  <si>
    <t>status</t>
  </si>
  <si>
    <t>walltime (s)</t>
  </si>
  <si>
    <t>ID/FTREX_ID_100_01.FTP</t>
  </si>
  <si>
    <t>unknown</t>
  </si>
  <si>
    <t>ID/FTREX_ID_100_02.FTP</t>
  </si>
  <si>
    <t>ID/FTREX_ID_100_03.FTP</t>
  </si>
  <si>
    <t>ID/FTREX_ID_100_04.FTP</t>
  </si>
  <si>
    <t>ID/FTREX_ID_100_05.FTP</t>
  </si>
  <si>
    <t>ID/FTREX_ID_100_06.FTP</t>
  </si>
  <si>
    <t>ID/FTREX_ID_100_07.FTP</t>
  </si>
  <si>
    <t>ID/FTREX_ID_100_08.FTP</t>
  </si>
  <si>
    <t>ID/FTREX_ID_100_09.FTP</t>
  </si>
  <si>
    <t>ID/FTREX_ID_200_01.FTP</t>
  </si>
  <si>
    <t>ID/FTREX_ID_200_02.FTP</t>
  </si>
  <si>
    <t>ID/FTREX_ID_200_03.FTP</t>
  </si>
  <si>
    <t>ID/FTREX_ID_200_04.FTP</t>
  </si>
  <si>
    <t>ID/FTREX_ID_200_05.FTP</t>
  </si>
  <si>
    <t>ID/FTREX_ID_200_06.FTP</t>
  </si>
  <si>
    <t>ID/FTREX_ID_200_07.FTP</t>
  </si>
  <si>
    <t>ID/FTREX_ID_200_08.FTP</t>
  </si>
  <si>
    <t>ID/FTREX_ID_200_09.FTP</t>
  </si>
  <si>
    <t>ID/FTREX_ID_500_01.FTP</t>
  </si>
  <si>
    <t>TIMEOUT</t>
  </si>
  <si>
    <t>ID/FTREX_ID_500_02.FTP</t>
  </si>
  <si>
    <t>ID/FTREX_ID_500_03.FTP</t>
  </si>
  <si>
    <t>ID/FTREX_ID_500_04.FTP</t>
  </si>
  <si>
    <t>ID/FTREX_ID_500_05.FTP</t>
  </si>
  <si>
    <t>ID/FTREX_ID_500_06.FTP</t>
  </si>
  <si>
    <t>ID/FTREX_ID_500_07.FTP</t>
  </si>
  <si>
    <t>ID/FTREX_ID_500_08.FTP</t>
  </si>
  <si>
    <t>ID/FTREX_ID_500_09.FTP</t>
  </si>
  <si>
    <t>Name/FTREX_NAME_100_01.FTP</t>
  </si>
  <si>
    <t>Name/FTREX_NAME_100_02.FTP</t>
  </si>
  <si>
    <t>Name/FTREX_NAME_100_03.FTP</t>
  </si>
  <si>
    <t>Name/FTREX_NAME_100_04.FTP</t>
  </si>
  <si>
    <t>Name/FTREX_NAME_100_05.FTP</t>
  </si>
  <si>
    <t>Name/FTREX_NAME_100_06.FTP</t>
  </si>
  <si>
    <t>Name/FTREX_NAME_100_07.FTP</t>
  </si>
  <si>
    <t>Name/FTREX_NAME_100_08.FTP</t>
  </si>
  <si>
    <t>Name/FTREX_NAME_100_09.FTP</t>
  </si>
  <si>
    <t>Name/FTREX_NAME_200_01.FTP</t>
  </si>
  <si>
    <t>Name/FTREX_NAME_200_02.FTP</t>
  </si>
  <si>
    <t>Name/FTREX_NAME_200_03.FTP</t>
  </si>
  <si>
    <t>Name/FTREX_NAME_200_04.FTP</t>
  </si>
  <si>
    <t>Name/FTREX_NAME_200_05.FTP</t>
  </si>
  <si>
    <t>Name/FTREX_NAME_200_06.FTP</t>
  </si>
  <si>
    <t>Name/FTREX_NAME_200_07.FTP</t>
  </si>
  <si>
    <t>Name/FTREX_NAME_200_08.FTP</t>
  </si>
  <si>
    <t>Name/FTREX_NAME_200_09.FTP</t>
  </si>
  <si>
    <t>Name/FTREX_NAME_500_01.FTP</t>
  </si>
  <si>
    <t>Name/FTREX_NAME_500_02.FTP</t>
  </si>
  <si>
    <t>Name/FTREX_NAME_500_03.FTP</t>
  </si>
  <si>
    <t>Name/FTREX_NAME_500_04.FTP</t>
  </si>
  <si>
    <t>Name/FTREX_NAME_500_05.FTP</t>
  </si>
  <si>
    <t>Name/FTREX_NAME_500_06.FTP</t>
  </si>
  <si>
    <t>Name/FTREX_NAME_500_07.FTP</t>
  </si>
  <si>
    <t>Name/FTREX_NAME_500_08.FTP</t>
  </si>
  <si>
    <t>Name/FTREX_NAME_500_09.FTP</t>
  </si>
  <si>
    <t>cputime (s)</t>
  </si>
  <si>
    <t>memory (MB)</t>
  </si>
  <si>
    <t>OUT OF MEMORY</t>
  </si>
  <si>
    <t>BDD -eros</t>
  </si>
  <si>
    <t>BDD-gaia</t>
  </si>
  <si>
    <t>BDD-node057</t>
  </si>
  <si>
    <t>ZDD-eros</t>
  </si>
  <si>
    <t>ZDD-gaia</t>
  </si>
  <si>
    <t>ZDD-node057</t>
  </si>
  <si>
    <t>FTREX -ID</t>
  </si>
  <si>
    <t>FTREX - ID</t>
  </si>
  <si>
    <t xml:space="preserve">FTREX - ID </t>
  </si>
  <si>
    <t xml:space="preserve">FTREX - Name </t>
  </si>
  <si>
    <t>FTREX - Name</t>
  </si>
  <si>
    <t>100_01</t>
  </si>
  <si>
    <t>100_02</t>
  </si>
  <si>
    <t>100_03</t>
  </si>
  <si>
    <t>100_04</t>
  </si>
  <si>
    <t>100_05</t>
  </si>
  <si>
    <t>100_06</t>
  </si>
  <si>
    <t>100_07</t>
  </si>
  <si>
    <t>100_08</t>
  </si>
  <si>
    <t>100_09</t>
  </si>
  <si>
    <t>200_01</t>
  </si>
  <si>
    <t>200_02</t>
  </si>
  <si>
    <t>200_03</t>
  </si>
  <si>
    <t>200_04</t>
  </si>
  <si>
    <t>200_05</t>
  </si>
  <si>
    <t>200_06</t>
  </si>
  <si>
    <t>200_07</t>
  </si>
  <si>
    <t>200_08</t>
  </si>
  <si>
    <t>200_09</t>
  </si>
  <si>
    <t>500_01</t>
  </si>
  <si>
    <t>500_02</t>
  </si>
  <si>
    <t>500_03</t>
  </si>
  <si>
    <t>500_04</t>
  </si>
  <si>
    <t>500_05</t>
  </si>
  <si>
    <t>500_06</t>
  </si>
  <si>
    <t>500_07</t>
  </si>
  <si>
    <t>500_08</t>
  </si>
  <si>
    <t>500_09</t>
  </si>
  <si>
    <t>Configuration #</t>
  </si>
  <si>
    <t>XFTA</t>
  </si>
  <si>
    <t>SAPHSOLVE</t>
  </si>
  <si>
    <t>SCRAM-BDD</t>
  </si>
  <si>
    <t>SCRAM-MOCUS</t>
  </si>
  <si>
    <t>SCRAM-ZBDD</t>
  </si>
  <si>
    <t>100-01</t>
  </si>
  <si>
    <t>100-02</t>
  </si>
  <si>
    <t>100-03</t>
  </si>
  <si>
    <t>100-04</t>
  </si>
  <si>
    <t>100-05</t>
  </si>
  <si>
    <t>100-06</t>
  </si>
  <si>
    <t>100-07</t>
  </si>
  <si>
    <t>100-08</t>
  </si>
  <si>
    <t>100-09</t>
  </si>
  <si>
    <t>200-01</t>
  </si>
  <si>
    <t>200-03</t>
  </si>
  <si>
    <t>200-04</t>
  </si>
  <si>
    <t>200-05</t>
  </si>
  <si>
    <t>200-06</t>
  </si>
  <si>
    <t>SAPHIRE</t>
  </si>
  <si>
    <t>SCRAM-mocus</t>
  </si>
  <si>
    <t>SCRAM-zbdd</t>
  </si>
  <si>
    <t xml:space="preserve">Status </t>
  </si>
  <si>
    <t>MCS</t>
  </si>
  <si>
    <t>Prob</t>
  </si>
  <si>
    <t>FTREX</t>
  </si>
  <si>
    <t xml:space="preserve">MCS </t>
  </si>
  <si>
    <t xml:space="preserve">Prob </t>
  </si>
  <si>
    <t>ERROR</t>
  </si>
  <si>
    <t>done</t>
  </si>
  <si>
    <t>200-02</t>
  </si>
  <si>
    <t>200-07</t>
  </si>
  <si>
    <t>200-08</t>
  </si>
  <si>
    <t>200-09</t>
  </si>
  <si>
    <t>File Name</t>
  </si>
  <si>
    <t>PROB (EXACT)</t>
  </si>
  <si>
    <t>PROB(SUM)</t>
  </si>
  <si>
    <t>PROB(MCUB)</t>
  </si>
  <si>
    <t>CUTSET #</t>
  </si>
  <si>
    <t>Read FT</t>
  </si>
  <si>
    <t>Expand module 2</t>
  </si>
  <si>
    <t>Expand module 1</t>
  </si>
  <si>
    <t>Check options</t>
  </si>
  <si>
    <t>Restructure FT</t>
  </si>
  <si>
    <t>Find modules</t>
  </si>
  <si>
    <t>Solve top event</t>
  </si>
  <si>
    <t>Write cutsets</t>
  </si>
  <si>
    <t>FTREX-ID-BDD</t>
  </si>
  <si>
    <t>FTREX-ID-ZBDD</t>
  </si>
  <si>
    <t>FTREX-NAME-BDD</t>
  </si>
  <si>
    <t>FTREX-NAME-ZBDD</t>
  </si>
  <si>
    <t>NAME</t>
  </si>
  <si>
    <t>ID</t>
  </si>
  <si>
    <t>Exact probability - NAME</t>
  </si>
  <si>
    <t>Write cutsets - NAME</t>
  </si>
  <si>
    <t>Exact probability - ID</t>
  </si>
  <si>
    <t>Write cutsets - ID</t>
  </si>
  <si>
    <t>Write cutsets-ID</t>
  </si>
  <si>
    <t>Expand module -ID</t>
  </si>
  <si>
    <t>Write cutsets- NAME</t>
  </si>
  <si>
    <t>Expand module - NAME</t>
  </si>
  <si>
    <t>FTREX-BDD</t>
  </si>
  <si>
    <t>FTREX-ZBDD</t>
  </si>
  <si>
    <t>Time</t>
  </si>
  <si>
    <t>Memory</t>
  </si>
  <si>
    <t>FTREX BDD relative to SCRAM BDD (%)</t>
  </si>
  <si>
    <t>FTREX REA relative to SCRAM REA (%)</t>
  </si>
  <si>
    <t>MCSs</t>
  </si>
  <si>
    <t>`</t>
  </si>
  <si>
    <t>FTREX REA relative to FTREX BDD (%)</t>
  </si>
  <si>
    <t>FTREX-NAME-zbdd</t>
  </si>
  <si>
    <t>FTREX-NAME-bdd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</si>
</sst>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4"/>
      <color rgb="FF000000"/>
      <name val="Trebuchet MS"/>
      <family val="2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name val="Arial Unicode MS"/>
      <family val="2"/>
    </font>
    <font>
      <sz val="11"/>
      <name val="Aptos Narrow"/>
      <family val="2"/>
      <scheme val="minor"/>
    </font>
    <font>
      <sz val="10"/>
      <color rgb="FF6A8759"/>
      <name val="Arial Unicode MS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3" borderId="0" xfId="2"/>
    <xf numFmtId="0" fontId="4" fillId="4" borderId="0" xfId="3"/>
    <xf numFmtId="11" fontId="0" fillId="0" borderId="0" xfId="0" applyNumberFormat="1"/>
    <xf numFmtId="0" fontId="5" fillId="0" borderId="0" xfId="0" applyFont="1" applyAlignment="1">
      <alignment vertical="center"/>
    </xf>
    <xf numFmtId="0" fontId="6" fillId="0" borderId="0" xfId="0" applyFont="1"/>
    <xf numFmtId="11" fontId="2" fillId="2" borderId="0" xfId="1" applyNumberFormat="1"/>
    <xf numFmtId="0" fontId="4" fillId="4" borderId="0" xfId="3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11" fontId="7" fillId="0" borderId="0" xfId="0" applyNumberFormat="1" applyFont="1" applyAlignment="1">
      <alignment vertical="center"/>
    </xf>
    <xf numFmtId="0" fontId="0" fillId="0" borderId="0" xfId="0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FTREX- SCRAM Time Comparison</a:t>
            </a:r>
          </a:p>
        </c:rich>
      </c:tx>
      <c:layout>
        <c:manualLayout>
          <c:xMode val="edge"/>
          <c:yMode val="edge"/>
          <c:x val="0.32055526770923792"/>
          <c:y val="1.3501655388000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'FTREX-SCRAM'!$B$2</c:f>
              <c:strCache>
                <c:ptCount val="1"/>
                <c:pt idx="0">
                  <c:v>SCRAM-BDD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'FTREX-SCRAM'!$A$3:$A$29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cat>
          <c:val>
            <c:numRef>
              <c:f>'FTREX-SCRAM'!$B$3:$B$29</c:f>
              <c:numCache>
                <c:formatCode>General</c:formatCode>
                <c:ptCount val="27"/>
                <c:pt idx="0">
                  <c:v>0.11244756</c:v>
                </c:pt>
                <c:pt idx="1">
                  <c:v>0.21960044500000001</c:v>
                </c:pt>
                <c:pt idx="2">
                  <c:v>9.7503664000000004E-2</c:v>
                </c:pt>
                <c:pt idx="3">
                  <c:v>0.10509741</c:v>
                </c:pt>
                <c:pt idx="4">
                  <c:v>9.4771300000000003E-2</c:v>
                </c:pt>
                <c:pt idx="5">
                  <c:v>0.110762124</c:v>
                </c:pt>
                <c:pt idx="6">
                  <c:v>0.103812877</c:v>
                </c:pt>
                <c:pt idx="7">
                  <c:v>0.221237831</c:v>
                </c:pt>
                <c:pt idx="8">
                  <c:v>0.23065189999999999</c:v>
                </c:pt>
                <c:pt idx="9">
                  <c:v>0.133368608</c:v>
                </c:pt>
                <c:pt idx="10">
                  <c:v>14.98442949</c:v>
                </c:pt>
                <c:pt idx="11">
                  <c:v>1.103876946</c:v>
                </c:pt>
                <c:pt idx="12">
                  <c:v>0.103748514</c:v>
                </c:pt>
                <c:pt idx="13">
                  <c:v>0.221674606</c:v>
                </c:pt>
                <c:pt idx="14">
                  <c:v>2.024685963</c:v>
                </c:pt>
                <c:pt idx="15">
                  <c:v>12.893044789999999</c:v>
                </c:pt>
                <c:pt idx="16">
                  <c:v>2.676052678</c:v>
                </c:pt>
                <c:pt idx="17">
                  <c:v>34.973116781999998</c:v>
                </c:pt>
                <c:pt idx="18">
                  <c:v>900.70740531299998</c:v>
                </c:pt>
                <c:pt idx="19">
                  <c:v>284.23696863700002</c:v>
                </c:pt>
                <c:pt idx="20">
                  <c:v>512.98595976499996</c:v>
                </c:pt>
                <c:pt idx="21">
                  <c:v>900.39855015000001</c:v>
                </c:pt>
                <c:pt idx="22">
                  <c:v>900.73680904599996</c:v>
                </c:pt>
                <c:pt idx="23">
                  <c:v>900.94614853099995</c:v>
                </c:pt>
                <c:pt idx="24">
                  <c:v>441.01398707800001</c:v>
                </c:pt>
                <c:pt idx="25">
                  <c:v>900.702252284</c:v>
                </c:pt>
                <c:pt idx="26">
                  <c:v>900.66008242700002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7F-4A13-BB1F-204CFF1755F6}"/>
            </c:ext>
          </c:extLst>
        </c:ser>
        <c:ser>
          <c:idx val="1"/>
          <c:order val="1"/>
          <c:tx>
            <c:strRef>
              <c:f>'FTREX-SCRAM'!$C$2</c:f>
              <c:strCache>
                <c:ptCount val="1"/>
                <c:pt idx="0">
                  <c:v>SCRAM-ZBDD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'FTREX-SCRAM'!$A$3:$A$29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cat>
          <c:val>
            <c:numRef>
              <c:f>'FTREX-SCRAM'!$C$3:$C$29</c:f>
              <c:numCache>
                <c:formatCode>General</c:formatCode>
                <c:ptCount val="27"/>
                <c:pt idx="0">
                  <c:v>0.113772972</c:v>
                </c:pt>
                <c:pt idx="1">
                  <c:v>0.221840754</c:v>
                </c:pt>
                <c:pt idx="2">
                  <c:v>0.100072827</c:v>
                </c:pt>
                <c:pt idx="3">
                  <c:v>0.105313641</c:v>
                </c:pt>
                <c:pt idx="4">
                  <c:v>9.5055674000000007E-2</c:v>
                </c:pt>
                <c:pt idx="5">
                  <c:v>0.110468444</c:v>
                </c:pt>
                <c:pt idx="6">
                  <c:v>0.10284903500000001</c:v>
                </c:pt>
                <c:pt idx="7">
                  <c:v>0.223540244</c:v>
                </c:pt>
                <c:pt idx="8">
                  <c:v>0.233140597</c:v>
                </c:pt>
                <c:pt idx="9">
                  <c:v>0.13125976</c:v>
                </c:pt>
                <c:pt idx="10">
                  <c:v>14.991968522000001</c:v>
                </c:pt>
                <c:pt idx="11">
                  <c:v>1.110123379</c:v>
                </c:pt>
                <c:pt idx="12">
                  <c:v>0.10867394900000001</c:v>
                </c:pt>
                <c:pt idx="13">
                  <c:v>0.22820383899999999</c:v>
                </c:pt>
                <c:pt idx="14">
                  <c:v>0.39378183500000002</c:v>
                </c:pt>
                <c:pt idx="15">
                  <c:v>12.958363910999999</c:v>
                </c:pt>
                <c:pt idx="16">
                  <c:v>0.74224239000000003</c:v>
                </c:pt>
                <c:pt idx="17">
                  <c:v>35.772169886</c:v>
                </c:pt>
                <c:pt idx="18">
                  <c:v>900.71484535299999</c:v>
                </c:pt>
                <c:pt idx="19">
                  <c:v>900.75066494500004</c:v>
                </c:pt>
                <c:pt idx="20">
                  <c:v>300.68815876000002</c:v>
                </c:pt>
                <c:pt idx="21">
                  <c:v>900.70903568200004</c:v>
                </c:pt>
                <c:pt idx="22">
                  <c:v>900.74183300899995</c:v>
                </c:pt>
                <c:pt idx="23">
                  <c:v>900.73926895600005</c:v>
                </c:pt>
                <c:pt idx="24">
                  <c:v>900.81984434000003</c:v>
                </c:pt>
                <c:pt idx="25">
                  <c:v>900.59683742200002</c:v>
                </c:pt>
                <c:pt idx="26">
                  <c:v>900.61001479799995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F-4A13-BB1F-204CFF1755F6}"/>
            </c:ext>
          </c:extLst>
        </c:ser>
        <c:ser>
          <c:idx val="2"/>
          <c:order val="2"/>
          <c:tx>
            <c:strRef>
              <c:f>'FTREX-SCRAM'!$D$2</c:f>
              <c:strCache>
                <c:ptCount val="1"/>
                <c:pt idx="0">
                  <c:v>FTREX-BDD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'FTREX-SCRAM'!$A$3:$A$29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cat>
          <c:val>
            <c:numRef>
              <c:f>'FTREX-SCRAM'!$D$3:$D$29</c:f>
              <c:numCache>
                <c:formatCode>General</c:formatCode>
                <c:ptCount val="27"/>
                <c:pt idx="0">
                  <c:v>0.35600429214537099</c:v>
                </c:pt>
                <c:pt idx="1">
                  <c:v>0.36084339395165399</c:v>
                </c:pt>
                <c:pt idx="2">
                  <c:v>0.340483750216662</c:v>
                </c:pt>
                <c:pt idx="3">
                  <c:v>0.350411488674581</c:v>
                </c:pt>
                <c:pt idx="4">
                  <c:v>0.35218038875609597</c:v>
                </c:pt>
                <c:pt idx="5">
                  <c:v>0.3466861480847</c:v>
                </c:pt>
                <c:pt idx="6">
                  <c:v>0.34957290627062299</c:v>
                </c:pt>
                <c:pt idx="7">
                  <c:v>0.367333277128636</c:v>
                </c:pt>
                <c:pt idx="8">
                  <c:v>0.35535245481878502</c:v>
                </c:pt>
                <c:pt idx="9">
                  <c:v>0.35219176765531301</c:v>
                </c:pt>
                <c:pt idx="10">
                  <c:v>0.431900846771895</c:v>
                </c:pt>
                <c:pt idx="11">
                  <c:v>0.42094170581549401</c:v>
                </c:pt>
                <c:pt idx="12">
                  <c:v>0.4473332837224</c:v>
                </c:pt>
                <c:pt idx="13">
                  <c:v>1.1525586657225999</c:v>
                </c:pt>
                <c:pt idx="14">
                  <c:v>2.0445491718128301</c:v>
                </c:pt>
                <c:pt idx="15">
                  <c:v>1.4935459699481699</c:v>
                </c:pt>
                <c:pt idx="16">
                  <c:v>2.4599639819934902</c:v>
                </c:pt>
                <c:pt idx="17">
                  <c:v>1.0382380690425601</c:v>
                </c:pt>
                <c:pt idx="18">
                  <c:v>71.512142442166805</c:v>
                </c:pt>
                <c:pt idx="19">
                  <c:v>47.373723511584103</c:v>
                </c:pt>
                <c:pt idx="20">
                  <c:v>225.83621097635401</c:v>
                </c:pt>
                <c:pt idx="21">
                  <c:v>38.564331354573298</c:v>
                </c:pt>
                <c:pt idx="22">
                  <c:v>300.77606152929297</c:v>
                </c:pt>
                <c:pt idx="23">
                  <c:v>901.00237277895201</c:v>
                </c:pt>
                <c:pt idx="24">
                  <c:v>901.00217395368895</c:v>
                </c:pt>
                <c:pt idx="25">
                  <c:v>177.979430323466</c:v>
                </c:pt>
                <c:pt idx="26">
                  <c:v>901.00219125766296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7F-4A13-BB1F-204CFF1755F6}"/>
            </c:ext>
          </c:extLst>
        </c:ser>
        <c:ser>
          <c:idx val="3"/>
          <c:order val="3"/>
          <c:tx>
            <c:strRef>
              <c:f>'FTREX-SCRAM'!$E$2</c:f>
              <c:strCache>
                <c:ptCount val="1"/>
                <c:pt idx="0">
                  <c:v>FTREX-ZBDD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'FTREX-SCRAM'!$A$3:$A$29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cat>
          <c:val>
            <c:numRef>
              <c:f>'FTREX-SCRAM'!$E$3:$E$29</c:f>
              <c:numCache>
                <c:formatCode>General</c:formatCode>
                <c:ptCount val="27"/>
                <c:pt idx="0">
                  <c:v>0.35538480523973698</c:v>
                </c:pt>
                <c:pt idx="1">
                  <c:v>0.36112267989665198</c:v>
                </c:pt>
                <c:pt idx="2">
                  <c:v>0.38132703490555198</c:v>
                </c:pt>
                <c:pt idx="3">
                  <c:v>0.35771398339420502</c:v>
                </c:pt>
                <c:pt idx="4">
                  <c:v>0.34629368409514399</c:v>
                </c:pt>
                <c:pt idx="5">
                  <c:v>0.35680489800870402</c:v>
                </c:pt>
                <c:pt idx="6">
                  <c:v>0.35848832037299799</c:v>
                </c:pt>
                <c:pt idx="7">
                  <c:v>0.40125190466642302</c:v>
                </c:pt>
                <c:pt idx="8">
                  <c:v>0.40653518214821799</c:v>
                </c:pt>
                <c:pt idx="9">
                  <c:v>0.35600841231644098</c:v>
                </c:pt>
                <c:pt idx="10">
                  <c:v>27.732541572302502</c:v>
                </c:pt>
                <c:pt idx="11">
                  <c:v>1.4852784844115301</c:v>
                </c:pt>
                <c:pt idx="12">
                  <c:v>0.35742154810577598</c:v>
                </c:pt>
                <c:pt idx="13">
                  <c:v>0.399933689273893</c:v>
                </c:pt>
                <c:pt idx="14">
                  <c:v>0.60312035121023599</c:v>
                </c:pt>
                <c:pt idx="15">
                  <c:v>23.318893126212</c:v>
                </c:pt>
                <c:pt idx="16">
                  <c:v>1.26049202401191</c:v>
                </c:pt>
                <c:pt idx="17">
                  <c:v>99.254423462785695</c:v>
                </c:pt>
                <c:pt idx="18">
                  <c:v>901.00169255956996</c:v>
                </c:pt>
                <c:pt idx="19">
                  <c:v>901.002047104761</c:v>
                </c:pt>
                <c:pt idx="20">
                  <c:v>901.00231695268303</c:v>
                </c:pt>
                <c:pt idx="21">
                  <c:v>901.00180470477699</c:v>
                </c:pt>
                <c:pt idx="22">
                  <c:v>901.00200629886206</c:v>
                </c:pt>
                <c:pt idx="23">
                  <c:v>901.00194662809304</c:v>
                </c:pt>
                <c:pt idx="24">
                  <c:v>901.00232474878396</c:v>
                </c:pt>
                <c:pt idx="25">
                  <c:v>901.00197509396799</c:v>
                </c:pt>
                <c:pt idx="26">
                  <c:v>901.00197007879603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7F-4A13-BB1F-204CFF175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593407"/>
        <c:axId val="195765344"/>
      </c:lineChart>
      <c:catAx>
        <c:axId val="684593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Configuration #</a:t>
                </a:r>
              </a:p>
            </c:rich>
          </c:tx>
          <c:layout>
            <c:manualLayout>
              <c:xMode val="edge"/>
              <c:yMode val="edge"/>
              <c:x val="0.48490414373878943"/>
              <c:y val="0.860785907681553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65344"/>
        <c:crosses val="autoZero"/>
        <c:auto val="1"/>
        <c:lblAlgn val="ctr"/>
        <c:lblOffset val="100"/>
        <c:noMultiLvlLbl val="0"/>
      </c:catAx>
      <c:valAx>
        <c:axId val="1957653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Time 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9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088195056699"/>
          <c:y val="0.12235793858298764"/>
          <c:w val="0.20436512102653842"/>
          <c:h val="0.295368056910836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FTREX- SCRAM Memory Comparison</a:t>
            </a:r>
          </a:p>
        </c:rich>
      </c:tx>
      <c:layout>
        <c:manualLayout>
          <c:xMode val="edge"/>
          <c:yMode val="edge"/>
          <c:x val="0.30490428441203288"/>
          <c:y val="1.83978558047528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'FTREX-SCRAM'!$N$2</c:f>
              <c:strCache>
                <c:ptCount val="1"/>
                <c:pt idx="0">
                  <c:v>SCRAM-BDD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'FTREX-SCRAM'!$M$3:$M$29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cat>
          <c:val>
            <c:numRef>
              <c:f>'FTREX-SCRAM'!$N$3:$N$29</c:f>
              <c:numCache>
                <c:formatCode>General</c:formatCode>
                <c:ptCount val="27"/>
                <c:pt idx="0">
                  <c:v>6.3324160000000003</c:v>
                </c:pt>
                <c:pt idx="1">
                  <c:v>6.303744</c:v>
                </c:pt>
                <c:pt idx="2">
                  <c:v>6.2054400000000003</c:v>
                </c:pt>
                <c:pt idx="3">
                  <c:v>6.283264</c:v>
                </c:pt>
                <c:pt idx="4">
                  <c:v>6.0784640000000003</c:v>
                </c:pt>
                <c:pt idx="5">
                  <c:v>6.1890559999999999</c:v>
                </c:pt>
                <c:pt idx="6">
                  <c:v>6.230016</c:v>
                </c:pt>
                <c:pt idx="7">
                  <c:v>6.1849600000000002</c:v>
                </c:pt>
                <c:pt idx="8">
                  <c:v>6.3406079999999996</c:v>
                </c:pt>
                <c:pt idx="9">
                  <c:v>6.557696</c:v>
                </c:pt>
                <c:pt idx="10">
                  <c:v>12.759040000000001</c:v>
                </c:pt>
                <c:pt idx="11">
                  <c:v>6.8198400000000001</c:v>
                </c:pt>
                <c:pt idx="12">
                  <c:v>6.2545919999999997</c:v>
                </c:pt>
                <c:pt idx="13">
                  <c:v>6.4675840000000004</c:v>
                </c:pt>
                <c:pt idx="14">
                  <c:v>108.04428799999999</c:v>
                </c:pt>
                <c:pt idx="15">
                  <c:v>8.8186879999999999</c:v>
                </c:pt>
                <c:pt idx="16">
                  <c:v>116.744192</c:v>
                </c:pt>
                <c:pt idx="17">
                  <c:v>7.3564160000000003</c:v>
                </c:pt>
                <c:pt idx="18">
                  <c:v>114.73715199999999</c:v>
                </c:pt>
                <c:pt idx="19">
                  <c:v>16000</c:v>
                </c:pt>
                <c:pt idx="20">
                  <c:v>16000</c:v>
                </c:pt>
                <c:pt idx="21">
                  <c:v>8.3025920000000006</c:v>
                </c:pt>
                <c:pt idx="22">
                  <c:v>2067.1733760000002</c:v>
                </c:pt>
                <c:pt idx="23">
                  <c:v>4929.6670720000002</c:v>
                </c:pt>
                <c:pt idx="24">
                  <c:v>16000</c:v>
                </c:pt>
                <c:pt idx="25">
                  <c:v>533.90540799999997</c:v>
                </c:pt>
                <c:pt idx="26">
                  <c:v>20.774912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B5-4D06-90B2-FFD169F87BDD}"/>
            </c:ext>
          </c:extLst>
        </c:ser>
        <c:ser>
          <c:idx val="1"/>
          <c:order val="1"/>
          <c:tx>
            <c:strRef>
              <c:f>'FTREX-SCRAM'!$O$2</c:f>
              <c:strCache>
                <c:ptCount val="1"/>
                <c:pt idx="0">
                  <c:v>SCRAM-ZBDD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'FTREX-SCRAM'!$M$3:$M$29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cat>
          <c:val>
            <c:numRef>
              <c:f>'FTREX-SCRAM'!$O$3:$O$29</c:f>
              <c:numCache>
                <c:formatCode>General</c:formatCode>
                <c:ptCount val="27"/>
                <c:pt idx="0">
                  <c:v>6.2709760000000001</c:v>
                </c:pt>
                <c:pt idx="1">
                  <c:v>6.1521920000000003</c:v>
                </c:pt>
                <c:pt idx="2">
                  <c:v>6.0784640000000003</c:v>
                </c:pt>
                <c:pt idx="3">
                  <c:v>6.1685759999999998</c:v>
                </c:pt>
                <c:pt idx="4">
                  <c:v>5.9637760000000002</c:v>
                </c:pt>
                <c:pt idx="5">
                  <c:v>6.2136319999999996</c:v>
                </c:pt>
                <c:pt idx="6">
                  <c:v>6.1685759999999998</c:v>
                </c:pt>
                <c:pt idx="7">
                  <c:v>6.1890559999999999</c:v>
                </c:pt>
                <c:pt idx="8">
                  <c:v>6.2423039999999999</c:v>
                </c:pt>
                <c:pt idx="9">
                  <c:v>6.4757759999999998</c:v>
                </c:pt>
                <c:pt idx="10">
                  <c:v>8.1756159999999998</c:v>
                </c:pt>
                <c:pt idx="11">
                  <c:v>6.7338240000000003</c:v>
                </c:pt>
                <c:pt idx="12">
                  <c:v>6.2054400000000003</c:v>
                </c:pt>
                <c:pt idx="13">
                  <c:v>6.4716800000000001</c:v>
                </c:pt>
                <c:pt idx="14">
                  <c:v>9.8672640000000005</c:v>
                </c:pt>
                <c:pt idx="15">
                  <c:v>8.6958079999999995</c:v>
                </c:pt>
                <c:pt idx="16">
                  <c:v>9.7443840000000002</c:v>
                </c:pt>
                <c:pt idx="17">
                  <c:v>6.5986560000000001</c:v>
                </c:pt>
                <c:pt idx="18">
                  <c:v>118.14502400000001</c:v>
                </c:pt>
                <c:pt idx="19">
                  <c:v>129.417216</c:v>
                </c:pt>
                <c:pt idx="20">
                  <c:v>16000</c:v>
                </c:pt>
                <c:pt idx="21">
                  <c:v>8.3025920000000006</c:v>
                </c:pt>
                <c:pt idx="22">
                  <c:v>141.34067200000001</c:v>
                </c:pt>
                <c:pt idx="23">
                  <c:v>158.25305599999999</c:v>
                </c:pt>
                <c:pt idx="24">
                  <c:v>2162.60608</c:v>
                </c:pt>
                <c:pt idx="25">
                  <c:v>9.7443840000000002</c:v>
                </c:pt>
                <c:pt idx="26">
                  <c:v>14.336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B5-4D06-90B2-FFD169F87BDD}"/>
            </c:ext>
          </c:extLst>
        </c:ser>
        <c:ser>
          <c:idx val="2"/>
          <c:order val="2"/>
          <c:tx>
            <c:strRef>
              <c:f>'FTREX-SCRAM'!$P$2</c:f>
              <c:strCache>
                <c:ptCount val="1"/>
                <c:pt idx="0">
                  <c:v>FTREX-BDD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'FTREX-SCRAM'!$M$3:$M$29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cat>
          <c:val>
            <c:numRef>
              <c:f>'FTREX-SCRAM'!$P$3:$P$29</c:f>
              <c:numCache>
                <c:formatCode>General</c:formatCode>
                <c:ptCount val="27"/>
                <c:pt idx="0">
                  <c:v>30.924800000000001</c:v>
                </c:pt>
                <c:pt idx="1">
                  <c:v>31.436800000000002</c:v>
                </c:pt>
                <c:pt idx="2">
                  <c:v>31.100928</c:v>
                </c:pt>
                <c:pt idx="3">
                  <c:v>31.571967999999998</c:v>
                </c:pt>
                <c:pt idx="4">
                  <c:v>30.928896000000002</c:v>
                </c:pt>
                <c:pt idx="5">
                  <c:v>31.285247999999999</c:v>
                </c:pt>
                <c:pt idx="6">
                  <c:v>32.448512000000001</c:v>
                </c:pt>
                <c:pt idx="7">
                  <c:v>34.553856000000003</c:v>
                </c:pt>
                <c:pt idx="8">
                  <c:v>32.043008</c:v>
                </c:pt>
                <c:pt idx="9">
                  <c:v>32.575488</c:v>
                </c:pt>
                <c:pt idx="10">
                  <c:v>41.705472</c:v>
                </c:pt>
                <c:pt idx="11">
                  <c:v>41.422848000000002</c:v>
                </c:pt>
                <c:pt idx="12">
                  <c:v>41.910271999999999</c:v>
                </c:pt>
                <c:pt idx="13">
                  <c:v>71.548928000000004</c:v>
                </c:pt>
                <c:pt idx="14">
                  <c:v>106.078208</c:v>
                </c:pt>
                <c:pt idx="15">
                  <c:v>108.76927999999999</c:v>
                </c:pt>
                <c:pt idx="16">
                  <c:v>184.71321599999999</c:v>
                </c:pt>
                <c:pt idx="17">
                  <c:v>74.137600000000006</c:v>
                </c:pt>
                <c:pt idx="18">
                  <c:v>3319.5048959999999</c:v>
                </c:pt>
                <c:pt idx="19">
                  <c:v>3081.1217919999999</c:v>
                </c:pt>
                <c:pt idx="20">
                  <c:v>16000</c:v>
                </c:pt>
                <c:pt idx="21">
                  <c:v>644.71449600000005</c:v>
                </c:pt>
                <c:pt idx="22">
                  <c:v>16000</c:v>
                </c:pt>
                <c:pt idx="23">
                  <c:v>3204.7841279999998</c:v>
                </c:pt>
                <c:pt idx="24">
                  <c:v>14050.902016</c:v>
                </c:pt>
                <c:pt idx="25">
                  <c:v>16000</c:v>
                </c:pt>
                <c:pt idx="26">
                  <c:v>1806.897152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B5-4D06-90B2-FFD169F87BDD}"/>
            </c:ext>
          </c:extLst>
        </c:ser>
        <c:ser>
          <c:idx val="3"/>
          <c:order val="3"/>
          <c:tx>
            <c:strRef>
              <c:f>'FTREX-SCRAM'!$Q$2</c:f>
              <c:strCache>
                <c:ptCount val="1"/>
                <c:pt idx="0">
                  <c:v>FTREX-ZBDD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'FTREX-SCRAM'!$M$3:$M$29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cat>
          <c:val>
            <c:numRef>
              <c:f>'FTREX-SCRAM'!$Q$3:$Q$29</c:f>
              <c:numCache>
                <c:formatCode>General</c:formatCode>
                <c:ptCount val="27"/>
                <c:pt idx="0">
                  <c:v>30.539776</c:v>
                </c:pt>
                <c:pt idx="1">
                  <c:v>32.083967999999999</c:v>
                </c:pt>
                <c:pt idx="2">
                  <c:v>30.474240000000002</c:v>
                </c:pt>
                <c:pt idx="3">
                  <c:v>30.769151999999998</c:v>
                </c:pt>
                <c:pt idx="4">
                  <c:v>30.949376000000001</c:v>
                </c:pt>
                <c:pt idx="5">
                  <c:v>31.027200000000001</c:v>
                </c:pt>
                <c:pt idx="6">
                  <c:v>30.887936</c:v>
                </c:pt>
                <c:pt idx="7">
                  <c:v>32.632832000000001</c:v>
                </c:pt>
                <c:pt idx="8">
                  <c:v>32.808959999999999</c:v>
                </c:pt>
                <c:pt idx="9">
                  <c:v>30.519296000000001</c:v>
                </c:pt>
                <c:pt idx="10">
                  <c:v>894.30016000000001</c:v>
                </c:pt>
                <c:pt idx="11">
                  <c:v>82.153471999999994</c:v>
                </c:pt>
                <c:pt idx="12">
                  <c:v>30.900224000000001</c:v>
                </c:pt>
                <c:pt idx="13">
                  <c:v>31.674368000000001</c:v>
                </c:pt>
                <c:pt idx="14">
                  <c:v>39.194623999999997</c:v>
                </c:pt>
                <c:pt idx="15">
                  <c:v>773.44358399999999</c:v>
                </c:pt>
                <c:pt idx="16">
                  <c:v>60.018687999999997</c:v>
                </c:pt>
                <c:pt idx="17">
                  <c:v>2061.2464639999998</c:v>
                </c:pt>
                <c:pt idx="18">
                  <c:v>75.108351999999996</c:v>
                </c:pt>
                <c:pt idx="19">
                  <c:v>276.238336</c:v>
                </c:pt>
                <c:pt idx="20">
                  <c:v>183.68512000000001</c:v>
                </c:pt>
                <c:pt idx="21">
                  <c:v>37.425151999999997</c:v>
                </c:pt>
                <c:pt idx="22">
                  <c:v>219.11552</c:v>
                </c:pt>
                <c:pt idx="23">
                  <c:v>1328.35328</c:v>
                </c:pt>
                <c:pt idx="24">
                  <c:v>346.00140800000003</c:v>
                </c:pt>
                <c:pt idx="25">
                  <c:v>223.72761600000001</c:v>
                </c:pt>
                <c:pt idx="26">
                  <c:v>153.690112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B5-4D06-90B2-FFD169F87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67584"/>
        <c:axId val="276322304"/>
      </c:lineChart>
      <c:catAx>
        <c:axId val="276767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Configuration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322304"/>
        <c:crosses val="autoZero"/>
        <c:auto val="1"/>
        <c:lblAlgn val="ctr"/>
        <c:lblOffset val="100"/>
        <c:noMultiLvlLbl val="0"/>
      </c:catAx>
      <c:valAx>
        <c:axId val="2763223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Memory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76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13069282116508"/>
          <c:y val="0.13836414107864103"/>
          <c:w val="0.21952971336859231"/>
          <c:h val="0.230655689570289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'time-memory'!$Z$1:$Z$2</c:f>
              <c:strCache>
                <c:ptCount val="2"/>
                <c:pt idx="0">
                  <c:v>FTREX - ID </c:v>
                </c:pt>
                <c:pt idx="1">
                  <c:v>BDD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'time-memory'!$Y$3:$Y$29</c:f>
              <c:strCache>
                <c:ptCount val="27"/>
                <c:pt idx="0">
                  <c:v>100_01</c:v>
                </c:pt>
                <c:pt idx="1">
                  <c:v>100_02</c:v>
                </c:pt>
                <c:pt idx="2">
                  <c:v>100_03</c:v>
                </c:pt>
                <c:pt idx="3">
                  <c:v>100_04</c:v>
                </c:pt>
                <c:pt idx="4">
                  <c:v>100_05</c:v>
                </c:pt>
                <c:pt idx="5">
                  <c:v>100_06</c:v>
                </c:pt>
                <c:pt idx="6">
                  <c:v>100_07</c:v>
                </c:pt>
                <c:pt idx="7">
                  <c:v>100_08</c:v>
                </c:pt>
                <c:pt idx="8">
                  <c:v>100_09</c:v>
                </c:pt>
                <c:pt idx="9">
                  <c:v>200_01</c:v>
                </c:pt>
                <c:pt idx="10">
                  <c:v>200_02</c:v>
                </c:pt>
                <c:pt idx="11">
                  <c:v>200_03</c:v>
                </c:pt>
                <c:pt idx="12">
                  <c:v>200_04</c:v>
                </c:pt>
                <c:pt idx="13">
                  <c:v>200_05</c:v>
                </c:pt>
                <c:pt idx="14">
                  <c:v>200_06</c:v>
                </c:pt>
                <c:pt idx="15">
                  <c:v>200_07</c:v>
                </c:pt>
                <c:pt idx="16">
                  <c:v>200_08</c:v>
                </c:pt>
                <c:pt idx="17">
                  <c:v>200_09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'time-memory'!$Z$3:$Z$29</c:f>
              <c:numCache>
                <c:formatCode>General</c:formatCode>
                <c:ptCount val="27"/>
                <c:pt idx="0">
                  <c:v>30.924800000000001</c:v>
                </c:pt>
                <c:pt idx="1">
                  <c:v>31.436800000000002</c:v>
                </c:pt>
                <c:pt idx="2">
                  <c:v>31.100928</c:v>
                </c:pt>
                <c:pt idx="3">
                  <c:v>31.571967999999998</c:v>
                </c:pt>
                <c:pt idx="4">
                  <c:v>30.928896000000002</c:v>
                </c:pt>
                <c:pt idx="5">
                  <c:v>31.285247999999999</c:v>
                </c:pt>
                <c:pt idx="6">
                  <c:v>32.448512000000001</c:v>
                </c:pt>
                <c:pt idx="7">
                  <c:v>34.553856000000003</c:v>
                </c:pt>
                <c:pt idx="8">
                  <c:v>32.043008</c:v>
                </c:pt>
                <c:pt idx="9">
                  <c:v>32.575488</c:v>
                </c:pt>
                <c:pt idx="10">
                  <c:v>41.705472</c:v>
                </c:pt>
                <c:pt idx="11">
                  <c:v>41.422848000000002</c:v>
                </c:pt>
                <c:pt idx="12">
                  <c:v>41.910271999999999</c:v>
                </c:pt>
                <c:pt idx="13">
                  <c:v>71.548928000000004</c:v>
                </c:pt>
                <c:pt idx="14">
                  <c:v>106.078208</c:v>
                </c:pt>
                <c:pt idx="15">
                  <c:v>108.76927999999999</c:v>
                </c:pt>
                <c:pt idx="16">
                  <c:v>184.71321599999999</c:v>
                </c:pt>
                <c:pt idx="17">
                  <c:v>74.137600000000006</c:v>
                </c:pt>
                <c:pt idx="18">
                  <c:v>3319.5048959999999</c:v>
                </c:pt>
                <c:pt idx="19">
                  <c:v>3081.1217919999999</c:v>
                </c:pt>
                <c:pt idx="20">
                  <c:v>16000</c:v>
                </c:pt>
                <c:pt idx="21">
                  <c:v>644.71449600000005</c:v>
                </c:pt>
                <c:pt idx="22">
                  <c:v>16000</c:v>
                </c:pt>
                <c:pt idx="23">
                  <c:v>3204.7841279999998</c:v>
                </c:pt>
                <c:pt idx="24">
                  <c:v>14050.902016</c:v>
                </c:pt>
                <c:pt idx="25">
                  <c:v>16000</c:v>
                </c:pt>
                <c:pt idx="26">
                  <c:v>1806.897152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F8-4EF7-86FA-689CEDFBADA2}"/>
            </c:ext>
          </c:extLst>
        </c:ser>
        <c:ser>
          <c:idx val="1"/>
          <c:order val="1"/>
          <c:tx>
            <c:strRef>
              <c:f>'time-memory'!$AA$1:$AA$2</c:f>
              <c:strCache>
                <c:ptCount val="2"/>
                <c:pt idx="0">
                  <c:v>FTREX - ID </c:v>
                </c:pt>
                <c:pt idx="1">
                  <c:v>ZDD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'time-memory'!$Y$3:$Y$29</c:f>
              <c:strCache>
                <c:ptCount val="27"/>
                <c:pt idx="0">
                  <c:v>100_01</c:v>
                </c:pt>
                <c:pt idx="1">
                  <c:v>100_02</c:v>
                </c:pt>
                <c:pt idx="2">
                  <c:v>100_03</c:v>
                </c:pt>
                <c:pt idx="3">
                  <c:v>100_04</c:v>
                </c:pt>
                <c:pt idx="4">
                  <c:v>100_05</c:v>
                </c:pt>
                <c:pt idx="5">
                  <c:v>100_06</c:v>
                </c:pt>
                <c:pt idx="6">
                  <c:v>100_07</c:v>
                </c:pt>
                <c:pt idx="7">
                  <c:v>100_08</c:v>
                </c:pt>
                <c:pt idx="8">
                  <c:v>100_09</c:v>
                </c:pt>
                <c:pt idx="9">
                  <c:v>200_01</c:v>
                </c:pt>
                <c:pt idx="10">
                  <c:v>200_02</c:v>
                </c:pt>
                <c:pt idx="11">
                  <c:v>200_03</c:v>
                </c:pt>
                <c:pt idx="12">
                  <c:v>200_04</c:v>
                </c:pt>
                <c:pt idx="13">
                  <c:v>200_05</c:v>
                </c:pt>
                <c:pt idx="14">
                  <c:v>200_06</c:v>
                </c:pt>
                <c:pt idx="15">
                  <c:v>200_07</c:v>
                </c:pt>
                <c:pt idx="16">
                  <c:v>200_08</c:v>
                </c:pt>
                <c:pt idx="17">
                  <c:v>200_09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'time-memory'!$AA$3:$AA$29</c:f>
              <c:numCache>
                <c:formatCode>General</c:formatCode>
                <c:ptCount val="27"/>
                <c:pt idx="0">
                  <c:v>30.539776</c:v>
                </c:pt>
                <c:pt idx="1">
                  <c:v>32.083967999999999</c:v>
                </c:pt>
                <c:pt idx="2">
                  <c:v>30.474240000000002</c:v>
                </c:pt>
                <c:pt idx="3">
                  <c:v>30.769151999999998</c:v>
                </c:pt>
                <c:pt idx="4">
                  <c:v>30.949376000000001</c:v>
                </c:pt>
                <c:pt idx="5">
                  <c:v>31.027200000000001</c:v>
                </c:pt>
                <c:pt idx="6">
                  <c:v>30.887936</c:v>
                </c:pt>
                <c:pt idx="7">
                  <c:v>32.632832000000001</c:v>
                </c:pt>
                <c:pt idx="8">
                  <c:v>32.808959999999999</c:v>
                </c:pt>
                <c:pt idx="9">
                  <c:v>30.519296000000001</c:v>
                </c:pt>
                <c:pt idx="10">
                  <c:v>894.30016000000001</c:v>
                </c:pt>
                <c:pt idx="11">
                  <c:v>82.153471999999994</c:v>
                </c:pt>
                <c:pt idx="12">
                  <c:v>30.900224000000001</c:v>
                </c:pt>
                <c:pt idx="13">
                  <c:v>31.674368000000001</c:v>
                </c:pt>
                <c:pt idx="14">
                  <c:v>39.194623999999997</c:v>
                </c:pt>
                <c:pt idx="15">
                  <c:v>773.44358399999999</c:v>
                </c:pt>
                <c:pt idx="16">
                  <c:v>60.018687999999997</c:v>
                </c:pt>
                <c:pt idx="17">
                  <c:v>2061.2464639999998</c:v>
                </c:pt>
                <c:pt idx="18">
                  <c:v>75.108351999999996</c:v>
                </c:pt>
                <c:pt idx="19">
                  <c:v>276.238336</c:v>
                </c:pt>
                <c:pt idx="20">
                  <c:v>183.68512000000001</c:v>
                </c:pt>
                <c:pt idx="21">
                  <c:v>37.425151999999997</c:v>
                </c:pt>
                <c:pt idx="22">
                  <c:v>219.11552</c:v>
                </c:pt>
                <c:pt idx="23">
                  <c:v>1328.35328</c:v>
                </c:pt>
                <c:pt idx="24">
                  <c:v>346.00140800000003</c:v>
                </c:pt>
                <c:pt idx="25">
                  <c:v>223.72761600000001</c:v>
                </c:pt>
                <c:pt idx="26">
                  <c:v>153.690112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F8-4EF7-86FA-689CEDFBA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761535"/>
        <c:axId val="317131631"/>
      </c:scatterChart>
      <c:valAx>
        <c:axId val="31976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31631"/>
        <c:crosses val="autoZero"/>
        <c:crossBetween val="midCat"/>
      </c:valAx>
      <c:valAx>
        <c:axId val="31713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761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786013238840354"/>
          <c:y val="0.15116484810905564"/>
          <c:w val="0.24963739916836408"/>
          <c:h val="3.33217551814820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'time-memory'!$AB$1:$AB$2</c:f>
              <c:strCache>
                <c:ptCount val="2"/>
                <c:pt idx="0">
                  <c:v>FTREX - Name</c:v>
                </c:pt>
                <c:pt idx="1">
                  <c:v>BDD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'time-memory'!$Y$3:$Y$29</c:f>
              <c:strCache>
                <c:ptCount val="27"/>
                <c:pt idx="0">
                  <c:v>100_01</c:v>
                </c:pt>
                <c:pt idx="1">
                  <c:v>100_02</c:v>
                </c:pt>
                <c:pt idx="2">
                  <c:v>100_03</c:v>
                </c:pt>
                <c:pt idx="3">
                  <c:v>100_04</c:v>
                </c:pt>
                <c:pt idx="4">
                  <c:v>100_05</c:v>
                </c:pt>
                <c:pt idx="5">
                  <c:v>100_06</c:v>
                </c:pt>
                <c:pt idx="6">
                  <c:v>100_07</c:v>
                </c:pt>
                <c:pt idx="7">
                  <c:v>100_08</c:v>
                </c:pt>
                <c:pt idx="8">
                  <c:v>100_09</c:v>
                </c:pt>
                <c:pt idx="9">
                  <c:v>200_01</c:v>
                </c:pt>
                <c:pt idx="10">
                  <c:v>200_02</c:v>
                </c:pt>
                <c:pt idx="11">
                  <c:v>200_03</c:v>
                </c:pt>
                <c:pt idx="12">
                  <c:v>200_04</c:v>
                </c:pt>
                <c:pt idx="13">
                  <c:v>200_05</c:v>
                </c:pt>
                <c:pt idx="14">
                  <c:v>200_06</c:v>
                </c:pt>
                <c:pt idx="15">
                  <c:v>200_07</c:v>
                </c:pt>
                <c:pt idx="16">
                  <c:v>200_08</c:v>
                </c:pt>
                <c:pt idx="17">
                  <c:v>200_09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'time-memory'!$AB$3:$AB$29</c:f>
              <c:numCache>
                <c:formatCode>General</c:formatCode>
                <c:ptCount val="27"/>
                <c:pt idx="0">
                  <c:v>31.236096</c:v>
                </c:pt>
                <c:pt idx="1">
                  <c:v>31.035392000000002</c:v>
                </c:pt>
                <c:pt idx="2">
                  <c:v>30.96576</c:v>
                </c:pt>
                <c:pt idx="3">
                  <c:v>31.834112000000001</c:v>
                </c:pt>
                <c:pt idx="4">
                  <c:v>31.088640000000002</c:v>
                </c:pt>
                <c:pt idx="5">
                  <c:v>30.859264</c:v>
                </c:pt>
                <c:pt idx="6">
                  <c:v>34.447360000000003</c:v>
                </c:pt>
                <c:pt idx="7">
                  <c:v>34.398207999999997</c:v>
                </c:pt>
                <c:pt idx="8">
                  <c:v>31.973375999999998</c:v>
                </c:pt>
                <c:pt idx="9">
                  <c:v>31.268864000000001</c:v>
                </c:pt>
                <c:pt idx="10">
                  <c:v>41.848832000000002</c:v>
                </c:pt>
                <c:pt idx="11">
                  <c:v>35.229695999999997</c:v>
                </c:pt>
                <c:pt idx="12">
                  <c:v>49.049599999999998</c:v>
                </c:pt>
                <c:pt idx="13">
                  <c:v>108.95359999999999</c:v>
                </c:pt>
                <c:pt idx="14">
                  <c:v>106.90560000000001</c:v>
                </c:pt>
                <c:pt idx="15">
                  <c:v>109.28128</c:v>
                </c:pt>
                <c:pt idx="16">
                  <c:v>192.21299200000001</c:v>
                </c:pt>
                <c:pt idx="17">
                  <c:v>102.580224</c:v>
                </c:pt>
                <c:pt idx="18">
                  <c:v>3319.5581440000001</c:v>
                </c:pt>
                <c:pt idx="19">
                  <c:v>3423.0681599999998</c:v>
                </c:pt>
                <c:pt idx="20">
                  <c:v>1458.8149759999999</c:v>
                </c:pt>
                <c:pt idx="21">
                  <c:v>442.44992000000002</c:v>
                </c:pt>
                <c:pt idx="22">
                  <c:v>16000</c:v>
                </c:pt>
                <c:pt idx="23">
                  <c:v>3475.0013439999998</c:v>
                </c:pt>
                <c:pt idx="24">
                  <c:v>16000</c:v>
                </c:pt>
                <c:pt idx="25">
                  <c:v>16000</c:v>
                </c:pt>
                <c:pt idx="26">
                  <c:v>1781.497856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19-4BCA-AA4F-320B372F4A65}"/>
            </c:ext>
          </c:extLst>
        </c:ser>
        <c:ser>
          <c:idx val="1"/>
          <c:order val="1"/>
          <c:tx>
            <c:strRef>
              <c:f>'time-memory'!$AC$1:$AC$2</c:f>
              <c:strCache>
                <c:ptCount val="2"/>
                <c:pt idx="0">
                  <c:v>FTREX - Name </c:v>
                </c:pt>
                <c:pt idx="1">
                  <c:v>ZDD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'time-memory'!$Y$3:$Y$29</c:f>
              <c:strCache>
                <c:ptCount val="27"/>
                <c:pt idx="0">
                  <c:v>100_01</c:v>
                </c:pt>
                <c:pt idx="1">
                  <c:v>100_02</c:v>
                </c:pt>
                <c:pt idx="2">
                  <c:v>100_03</c:v>
                </c:pt>
                <c:pt idx="3">
                  <c:v>100_04</c:v>
                </c:pt>
                <c:pt idx="4">
                  <c:v>100_05</c:v>
                </c:pt>
                <c:pt idx="5">
                  <c:v>100_06</c:v>
                </c:pt>
                <c:pt idx="6">
                  <c:v>100_07</c:v>
                </c:pt>
                <c:pt idx="7">
                  <c:v>100_08</c:v>
                </c:pt>
                <c:pt idx="8">
                  <c:v>100_09</c:v>
                </c:pt>
                <c:pt idx="9">
                  <c:v>200_01</c:v>
                </c:pt>
                <c:pt idx="10">
                  <c:v>200_02</c:v>
                </c:pt>
                <c:pt idx="11">
                  <c:v>200_03</c:v>
                </c:pt>
                <c:pt idx="12">
                  <c:v>200_04</c:v>
                </c:pt>
                <c:pt idx="13">
                  <c:v>200_05</c:v>
                </c:pt>
                <c:pt idx="14">
                  <c:v>200_06</c:v>
                </c:pt>
                <c:pt idx="15">
                  <c:v>200_07</c:v>
                </c:pt>
                <c:pt idx="16">
                  <c:v>200_08</c:v>
                </c:pt>
                <c:pt idx="17">
                  <c:v>200_09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'time-memory'!$AC$3:$AC$29</c:f>
              <c:numCache>
                <c:formatCode>General</c:formatCode>
                <c:ptCount val="27"/>
                <c:pt idx="0">
                  <c:v>30.932991999999999</c:v>
                </c:pt>
                <c:pt idx="1">
                  <c:v>31.440895999999999</c:v>
                </c:pt>
                <c:pt idx="2">
                  <c:v>30.277632000000001</c:v>
                </c:pt>
                <c:pt idx="3">
                  <c:v>30.793728000000002</c:v>
                </c:pt>
                <c:pt idx="4">
                  <c:v>30.375935999999999</c:v>
                </c:pt>
                <c:pt idx="5">
                  <c:v>30.834688</c:v>
                </c:pt>
                <c:pt idx="6">
                  <c:v>31.236096</c:v>
                </c:pt>
                <c:pt idx="7">
                  <c:v>31.813631999999998</c:v>
                </c:pt>
                <c:pt idx="8">
                  <c:v>32.456704000000002</c:v>
                </c:pt>
                <c:pt idx="9">
                  <c:v>31.506432</c:v>
                </c:pt>
                <c:pt idx="10">
                  <c:v>764.16614400000003</c:v>
                </c:pt>
                <c:pt idx="11">
                  <c:v>73.986047999999997</c:v>
                </c:pt>
                <c:pt idx="12">
                  <c:v>31.031296000000001</c:v>
                </c:pt>
                <c:pt idx="13">
                  <c:v>31.289344</c:v>
                </c:pt>
                <c:pt idx="14">
                  <c:v>37.838847999999999</c:v>
                </c:pt>
                <c:pt idx="15">
                  <c:v>663.46188800000004</c:v>
                </c:pt>
                <c:pt idx="16">
                  <c:v>55.635967999999998</c:v>
                </c:pt>
                <c:pt idx="17">
                  <c:v>1761.1735040000001</c:v>
                </c:pt>
                <c:pt idx="18">
                  <c:v>74.870784</c:v>
                </c:pt>
                <c:pt idx="19">
                  <c:v>187.51897600000001</c:v>
                </c:pt>
                <c:pt idx="20">
                  <c:v>184.25036800000001</c:v>
                </c:pt>
                <c:pt idx="21">
                  <c:v>36.220928000000001</c:v>
                </c:pt>
                <c:pt idx="22">
                  <c:v>218.95987199999999</c:v>
                </c:pt>
                <c:pt idx="23">
                  <c:v>1328.9185279999999</c:v>
                </c:pt>
                <c:pt idx="24">
                  <c:v>345.94406400000003</c:v>
                </c:pt>
                <c:pt idx="25">
                  <c:v>223.75628800000001</c:v>
                </c:pt>
                <c:pt idx="26">
                  <c:v>152.78899200000001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19-4BCA-AA4F-320B372F4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774015"/>
        <c:axId val="24402863"/>
      </c:scatterChart>
      <c:valAx>
        <c:axId val="31977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02863"/>
        <c:crosses val="autoZero"/>
        <c:crossBetween val="midCat"/>
      </c:valAx>
      <c:valAx>
        <c:axId val="2440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774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999335310358929E-2"/>
          <c:y val="2.804993994401038E-2"/>
          <c:w val="0.89993140062037702"/>
          <c:h val="0.70493020088807978"/>
        </c:manualLayout>
      </c:layout>
      <c:lineChart>
        <c:grouping val="standard"/>
        <c:varyColors val="0"/>
        <c:ser>
          <c:idx val="9"/>
          <c:order val="4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'All tools'!$A$1:$A$23</c:f>
              <c:strCache>
                <c:ptCount val="23"/>
                <c:pt idx="1">
                  <c:v>100-01</c:v>
                </c:pt>
                <c:pt idx="2">
                  <c:v>100-02</c:v>
                </c:pt>
                <c:pt idx="3">
                  <c:v>100-03</c:v>
                </c:pt>
                <c:pt idx="4">
                  <c:v>100-04</c:v>
                </c:pt>
                <c:pt idx="5">
                  <c:v>100-05</c:v>
                </c:pt>
                <c:pt idx="6">
                  <c:v>100-06</c:v>
                </c:pt>
                <c:pt idx="7">
                  <c:v>100-07</c:v>
                </c:pt>
                <c:pt idx="8">
                  <c:v>100-08</c:v>
                </c:pt>
                <c:pt idx="9">
                  <c:v>100-09</c:v>
                </c:pt>
                <c:pt idx="10">
                  <c:v>200-01</c:v>
                </c:pt>
                <c:pt idx="11">
                  <c:v>200-02</c:v>
                </c:pt>
                <c:pt idx="12">
                  <c:v>200-03</c:v>
                </c:pt>
                <c:pt idx="13">
                  <c:v>200-04</c:v>
                </c:pt>
                <c:pt idx="14">
                  <c:v>200-05</c:v>
                </c:pt>
                <c:pt idx="15">
                  <c:v>200-06</c:v>
                </c:pt>
                <c:pt idx="16">
                  <c:v>200-07</c:v>
                </c:pt>
                <c:pt idx="17">
                  <c:v>200-08</c:v>
                </c:pt>
                <c:pt idx="18">
                  <c:v>200-09</c:v>
                </c:pt>
                <c:pt idx="19">
                  <c:v>500_01</c:v>
                </c:pt>
                <c:pt idx="20">
                  <c:v>500_02</c:v>
                </c:pt>
                <c:pt idx="21">
                  <c:v>500_03</c:v>
                </c:pt>
                <c:pt idx="22">
                  <c:v>500_04</c:v>
                </c:pt>
              </c:strCache>
            </c:strRef>
          </c:cat>
          <c:val>
            <c:numRef>
              <c:f>'All tools'!$K$1:$K$23</c:f>
              <c:numCache>
                <c:formatCode>General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5B-4FF1-B6ED-8552A6118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2689919"/>
        <c:axId val="665258543"/>
      </c:lineChart>
      <c:scatterChart>
        <c:scatterStyle val="lineMarker"/>
        <c:varyColors val="0"/>
        <c:ser>
          <c:idx val="5"/>
          <c:order val="0"/>
          <c:tx>
            <c:v>FTREX-ID-BDD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'All tools'!$A$1:$A$23</c:f>
              <c:strCache>
                <c:ptCount val="23"/>
                <c:pt idx="1">
                  <c:v>100-01</c:v>
                </c:pt>
                <c:pt idx="2">
                  <c:v>100-02</c:v>
                </c:pt>
                <c:pt idx="3">
                  <c:v>100-03</c:v>
                </c:pt>
                <c:pt idx="4">
                  <c:v>100-04</c:v>
                </c:pt>
                <c:pt idx="5">
                  <c:v>100-05</c:v>
                </c:pt>
                <c:pt idx="6">
                  <c:v>100-06</c:v>
                </c:pt>
                <c:pt idx="7">
                  <c:v>100-07</c:v>
                </c:pt>
                <c:pt idx="8">
                  <c:v>100-08</c:v>
                </c:pt>
                <c:pt idx="9">
                  <c:v>100-09</c:v>
                </c:pt>
                <c:pt idx="10">
                  <c:v>200-01</c:v>
                </c:pt>
                <c:pt idx="11">
                  <c:v>200-02</c:v>
                </c:pt>
                <c:pt idx="12">
                  <c:v>200-03</c:v>
                </c:pt>
                <c:pt idx="13">
                  <c:v>200-04</c:v>
                </c:pt>
                <c:pt idx="14">
                  <c:v>200-05</c:v>
                </c:pt>
                <c:pt idx="15">
                  <c:v>200-06</c:v>
                </c:pt>
                <c:pt idx="16">
                  <c:v>200-07</c:v>
                </c:pt>
                <c:pt idx="17">
                  <c:v>200-08</c:v>
                </c:pt>
                <c:pt idx="18">
                  <c:v>200-09</c:v>
                </c:pt>
                <c:pt idx="19">
                  <c:v>500_01</c:v>
                </c:pt>
                <c:pt idx="20">
                  <c:v>500_02</c:v>
                </c:pt>
                <c:pt idx="21">
                  <c:v>500_03</c:v>
                </c:pt>
                <c:pt idx="22">
                  <c:v>500_04</c:v>
                </c:pt>
              </c:strCache>
            </c:strRef>
          </c:xVal>
          <c:yVal>
            <c:numRef>
              <c:f>'All tools'!$G$1:$G$23</c:f>
              <c:numCache>
                <c:formatCode>General</c:formatCode>
                <c:ptCount val="23"/>
                <c:pt idx="0">
                  <c:v>0</c:v>
                </c:pt>
                <c:pt idx="1">
                  <c:v>0.35600429214537099</c:v>
                </c:pt>
                <c:pt idx="2">
                  <c:v>0.36084339395165399</c:v>
                </c:pt>
                <c:pt idx="3">
                  <c:v>0.340483750216662</c:v>
                </c:pt>
                <c:pt idx="4">
                  <c:v>0.350411488674581</c:v>
                </c:pt>
                <c:pt idx="5">
                  <c:v>0.35218038875609597</c:v>
                </c:pt>
                <c:pt idx="6">
                  <c:v>0.3466861480847</c:v>
                </c:pt>
                <c:pt idx="7">
                  <c:v>0.34957290627062299</c:v>
                </c:pt>
                <c:pt idx="8">
                  <c:v>0.367333277128636</c:v>
                </c:pt>
                <c:pt idx="9">
                  <c:v>0.35535245481878502</c:v>
                </c:pt>
                <c:pt idx="10">
                  <c:v>0.35219176765531301</c:v>
                </c:pt>
                <c:pt idx="11">
                  <c:v>0.431900846771895</c:v>
                </c:pt>
                <c:pt idx="12">
                  <c:v>0.42094170581549401</c:v>
                </c:pt>
                <c:pt idx="13">
                  <c:v>0.4473332837224</c:v>
                </c:pt>
                <c:pt idx="14">
                  <c:v>1.1525586657225999</c:v>
                </c:pt>
                <c:pt idx="15">
                  <c:v>2.0445491718128301</c:v>
                </c:pt>
                <c:pt idx="16">
                  <c:v>1.4935459699481699</c:v>
                </c:pt>
                <c:pt idx="17">
                  <c:v>2.4599639819934902</c:v>
                </c:pt>
                <c:pt idx="18">
                  <c:v>1.0382380690425601</c:v>
                </c:pt>
                <c:pt idx="19">
                  <c:v>71.512142442166805</c:v>
                </c:pt>
                <c:pt idx="20">
                  <c:v>47.373723511584103</c:v>
                </c:pt>
                <c:pt idx="21">
                  <c:v>225.83621097635401</c:v>
                </c:pt>
                <c:pt idx="22">
                  <c:v>38.564331354573298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5B-4FF1-B6ED-8552A6118B42}"/>
            </c:ext>
          </c:extLst>
        </c:ser>
        <c:ser>
          <c:idx val="6"/>
          <c:order val="1"/>
          <c:tx>
            <c:v>FTREX-ID-ZBDD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'All tools'!$A$1:$A$23</c:f>
              <c:strCache>
                <c:ptCount val="23"/>
                <c:pt idx="1">
                  <c:v>100-01</c:v>
                </c:pt>
                <c:pt idx="2">
                  <c:v>100-02</c:v>
                </c:pt>
                <c:pt idx="3">
                  <c:v>100-03</c:v>
                </c:pt>
                <c:pt idx="4">
                  <c:v>100-04</c:v>
                </c:pt>
                <c:pt idx="5">
                  <c:v>100-05</c:v>
                </c:pt>
                <c:pt idx="6">
                  <c:v>100-06</c:v>
                </c:pt>
                <c:pt idx="7">
                  <c:v>100-07</c:v>
                </c:pt>
                <c:pt idx="8">
                  <c:v>100-08</c:v>
                </c:pt>
                <c:pt idx="9">
                  <c:v>100-09</c:v>
                </c:pt>
                <c:pt idx="10">
                  <c:v>200-01</c:v>
                </c:pt>
                <c:pt idx="11">
                  <c:v>200-02</c:v>
                </c:pt>
                <c:pt idx="12">
                  <c:v>200-03</c:v>
                </c:pt>
                <c:pt idx="13">
                  <c:v>200-04</c:v>
                </c:pt>
                <c:pt idx="14">
                  <c:v>200-05</c:v>
                </c:pt>
                <c:pt idx="15">
                  <c:v>200-06</c:v>
                </c:pt>
                <c:pt idx="16">
                  <c:v>200-07</c:v>
                </c:pt>
                <c:pt idx="17">
                  <c:v>200-08</c:v>
                </c:pt>
                <c:pt idx="18">
                  <c:v>200-09</c:v>
                </c:pt>
                <c:pt idx="19">
                  <c:v>500_01</c:v>
                </c:pt>
                <c:pt idx="20">
                  <c:v>500_02</c:v>
                </c:pt>
                <c:pt idx="21">
                  <c:v>500_03</c:v>
                </c:pt>
                <c:pt idx="22">
                  <c:v>500_04</c:v>
                </c:pt>
              </c:strCache>
            </c:strRef>
          </c:xVal>
          <c:yVal>
            <c:numRef>
              <c:f>'All tools'!$H$1:$H$23</c:f>
              <c:numCache>
                <c:formatCode>General</c:formatCode>
                <c:ptCount val="23"/>
                <c:pt idx="0">
                  <c:v>0</c:v>
                </c:pt>
                <c:pt idx="1">
                  <c:v>0.35538480523973698</c:v>
                </c:pt>
                <c:pt idx="2">
                  <c:v>0.36112267989665198</c:v>
                </c:pt>
                <c:pt idx="3">
                  <c:v>0.38132703490555198</c:v>
                </c:pt>
                <c:pt idx="4">
                  <c:v>0.35771398339420502</c:v>
                </c:pt>
                <c:pt idx="5">
                  <c:v>0.34629368409514399</c:v>
                </c:pt>
                <c:pt idx="6">
                  <c:v>0.35680489800870402</c:v>
                </c:pt>
                <c:pt idx="7">
                  <c:v>0.35848832037299799</c:v>
                </c:pt>
                <c:pt idx="8">
                  <c:v>0.40125190466642302</c:v>
                </c:pt>
                <c:pt idx="9">
                  <c:v>0.40653518214821799</c:v>
                </c:pt>
                <c:pt idx="10">
                  <c:v>0.35600841231644098</c:v>
                </c:pt>
                <c:pt idx="11">
                  <c:v>27.732541572302502</c:v>
                </c:pt>
                <c:pt idx="12">
                  <c:v>1.4852784844115301</c:v>
                </c:pt>
                <c:pt idx="13">
                  <c:v>0.35742154810577598</c:v>
                </c:pt>
                <c:pt idx="14">
                  <c:v>0.399933689273893</c:v>
                </c:pt>
                <c:pt idx="15">
                  <c:v>0.60312035121023599</c:v>
                </c:pt>
                <c:pt idx="16">
                  <c:v>23.318893126212</c:v>
                </c:pt>
                <c:pt idx="17">
                  <c:v>1.26049202401191</c:v>
                </c:pt>
                <c:pt idx="18">
                  <c:v>99.254423462785695</c:v>
                </c:pt>
                <c:pt idx="19">
                  <c:v>901.00169255956996</c:v>
                </c:pt>
                <c:pt idx="20">
                  <c:v>901.002047104761</c:v>
                </c:pt>
                <c:pt idx="21">
                  <c:v>901.00231695268303</c:v>
                </c:pt>
                <c:pt idx="22">
                  <c:v>901.00180470477699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5B-4FF1-B6ED-8552A6118B42}"/>
            </c:ext>
          </c:extLst>
        </c:ser>
        <c:ser>
          <c:idx val="7"/>
          <c:order val="2"/>
          <c:tx>
            <c:v>FTREX-NAME-BDD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'All tools'!$A$1:$A$23</c:f>
              <c:strCache>
                <c:ptCount val="23"/>
                <c:pt idx="1">
                  <c:v>100-01</c:v>
                </c:pt>
                <c:pt idx="2">
                  <c:v>100-02</c:v>
                </c:pt>
                <c:pt idx="3">
                  <c:v>100-03</c:v>
                </c:pt>
                <c:pt idx="4">
                  <c:v>100-04</c:v>
                </c:pt>
                <c:pt idx="5">
                  <c:v>100-05</c:v>
                </c:pt>
                <c:pt idx="6">
                  <c:v>100-06</c:v>
                </c:pt>
                <c:pt idx="7">
                  <c:v>100-07</c:v>
                </c:pt>
                <c:pt idx="8">
                  <c:v>100-08</c:v>
                </c:pt>
                <c:pt idx="9">
                  <c:v>100-09</c:v>
                </c:pt>
                <c:pt idx="10">
                  <c:v>200-01</c:v>
                </c:pt>
                <c:pt idx="11">
                  <c:v>200-02</c:v>
                </c:pt>
                <c:pt idx="12">
                  <c:v>200-03</c:v>
                </c:pt>
                <c:pt idx="13">
                  <c:v>200-04</c:v>
                </c:pt>
                <c:pt idx="14">
                  <c:v>200-05</c:v>
                </c:pt>
                <c:pt idx="15">
                  <c:v>200-06</c:v>
                </c:pt>
                <c:pt idx="16">
                  <c:v>200-07</c:v>
                </c:pt>
                <c:pt idx="17">
                  <c:v>200-08</c:v>
                </c:pt>
                <c:pt idx="18">
                  <c:v>200-09</c:v>
                </c:pt>
                <c:pt idx="19">
                  <c:v>500_01</c:v>
                </c:pt>
                <c:pt idx="20">
                  <c:v>500_02</c:v>
                </c:pt>
                <c:pt idx="21">
                  <c:v>500_03</c:v>
                </c:pt>
                <c:pt idx="22">
                  <c:v>500_04</c:v>
                </c:pt>
              </c:strCache>
            </c:strRef>
          </c:xVal>
          <c:yVal>
            <c:numRef>
              <c:f>'All tools'!$I$1:$I$23</c:f>
              <c:numCache>
                <c:formatCode>General</c:formatCode>
                <c:ptCount val="23"/>
                <c:pt idx="0">
                  <c:v>0</c:v>
                </c:pt>
                <c:pt idx="1">
                  <c:v>0.37196501065045501</c:v>
                </c:pt>
                <c:pt idx="2">
                  <c:v>0.367956816218793</c:v>
                </c:pt>
                <c:pt idx="3">
                  <c:v>0.33536261599510903</c:v>
                </c:pt>
                <c:pt idx="4">
                  <c:v>0.33076451998203898</c:v>
                </c:pt>
                <c:pt idx="5">
                  <c:v>0.34376908931881101</c:v>
                </c:pt>
                <c:pt idx="6">
                  <c:v>0.34326816443353803</c:v>
                </c:pt>
                <c:pt idx="7">
                  <c:v>0.35834520775824702</c:v>
                </c:pt>
                <c:pt idx="8">
                  <c:v>0.37165673542767702</c:v>
                </c:pt>
                <c:pt idx="9">
                  <c:v>0.34757602680474498</c:v>
                </c:pt>
                <c:pt idx="10">
                  <c:v>0.347906960174441</c:v>
                </c:pt>
                <c:pt idx="11">
                  <c:v>0.42703207861632098</c:v>
                </c:pt>
                <c:pt idx="12">
                  <c:v>0.35992793645709698</c:v>
                </c:pt>
                <c:pt idx="13">
                  <c:v>0.79404207039624397</c:v>
                </c:pt>
                <c:pt idx="14">
                  <c:v>0.97855625953525305</c:v>
                </c:pt>
                <c:pt idx="15">
                  <c:v>1.81189968250691</c:v>
                </c:pt>
                <c:pt idx="16">
                  <c:v>3.06855461932718</c:v>
                </c:pt>
                <c:pt idx="17">
                  <c:v>3.40998989436775</c:v>
                </c:pt>
                <c:pt idx="18">
                  <c:v>0.96051662694662798</c:v>
                </c:pt>
                <c:pt idx="19">
                  <c:v>65.843059114180505</c:v>
                </c:pt>
                <c:pt idx="20">
                  <c:v>29.301196513697501</c:v>
                </c:pt>
                <c:pt idx="21">
                  <c:v>20.888749296776901</c:v>
                </c:pt>
                <c:pt idx="22">
                  <c:v>37.013537867925997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5B-4FF1-B6ED-8552A6118B42}"/>
            </c:ext>
          </c:extLst>
        </c:ser>
        <c:ser>
          <c:idx val="8"/>
          <c:order val="3"/>
          <c:tx>
            <c:v>FTREX-NAME-ZBDD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'All tools'!$A$1:$A$23</c:f>
              <c:strCache>
                <c:ptCount val="23"/>
                <c:pt idx="1">
                  <c:v>100-01</c:v>
                </c:pt>
                <c:pt idx="2">
                  <c:v>100-02</c:v>
                </c:pt>
                <c:pt idx="3">
                  <c:v>100-03</c:v>
                </c:pt>
                <c:pt idx="4">
                  <c:v>100-04</c:v>
                </c:pt>
                <c:pt idx="5">
                  <c:v>100-05</c:v>
                </c:pt>
                <c:pt idx="6">
                  <c:v>100-06</c:v>
                </c:pt>
                <c:pt idx="7">
                  <c:v>100-07</c:v>
                </c:pt>
                <c:pt idx="8">
                  <c:v>100-08</c:v>
                </c:pt>
                <c:pt idx="9">
                  <c:v>100-09</c:v>
                </c:pt>
                <c:pt idx="10">
                  <c:v>200-01</c:v>
                </c:pt>
                <c:pt idx="11">
                  <c:v>200-02</c:v>
                </c:pt>
                <c:pt idx="12">
                  <c:v>200-03</c:v>
                </c:pt>
                <c:pt idx="13">
                  <c:v>200-04</c:v>
                </c:pt>
                <c:pt idx="14">
                  <c:v>200-05</c:v>
                </c:pt>
                <c:pt idx="15">
                  <c:v>200-06</c:v>
                </c:pt>
                <c:pt idx="16">
                  <c:v>200-07</c:v>
                </c:pt>
                <c:pt idx="17">
                  <c:v>200-08</c:v>
                </c:pt>
                <c:pt idx="18">
                  <c:v>200-09</c:v>
                </c:pt>
                <c:pt idx="19">
                  <c:v>500_01</c:v>
                </c:pt>
                <c:pt idx="20">
                  <c:v>500_02</c:v>
                </c:pt>
                <c:pt idx="21">
                  <c:v>500_03</c:v>
                </c:pt>
                <c:pt idx="22">
                  <c:v>500_04</c:v>
                </c:pt>
              </c:strCache>
            </c:strRef>
          </c:xVal>
          <c:yVal>
            <c:numRef>
              <c:f>'All tools'!$J$1:$J$23</c:f>
              <c:numCache>
                <c:formatCode>General</c:formatCode>
                <c:ptCount val="23"/>
                <c:pt idx="0">
                  <c:v>0</c:v>
                </c:pt>
                <c:pt idx="1">
                  <c:v>0.34335568360984298</c:v>
                </c:pt>
                <c:pt idx="2">
                  <c:v>0.37181920930743201</c:v>
                </c:pt>
                <c:pt idx="3">
                  <c:v>0.35022240690886902</c:v>
                </c:pt>
                <c:pt idx="4">
                  <c:v>0.35328260529786298</c:v>
                </c:pt>
                <c:pt idx="5">
                  <c:v>0.31898893974721398</c:v>
                </c:pt>
                <c:pt idx="6">
                  <c:v>0.34218868054449503</c:v>
                </c:pt>
                <c:pt idx="7">
                  <c:v>0.35426632221788101</c:v>
                </c:pt>
                <c:pt idx="8">
                  <c:v>0.36105142906308102</c:v>
                </c:pt>
                <c:pt idx="9">
                  <c:v>0.38561906013637698</c:v>
                </c:pt>
                <c:pt idx="10">
                  <c:v>0.353153070434927</c:v>
                </c:pt>
                <c:pt idx="11">
                  <c:v>26.967019034549502</c:v>
                </c:pt>
                <c:pt idx="12">
                  <c:v>1.36274131760001</c:v>
                </c:pt>
                <c:pt idx="13">
                  <c:v>0.34443063102662502</c:v>
                </c:pt>
                <c:pt idx="14">
                  <c:v>0.38683519791811699</c:v>
                </c:pt>
                <c:pt idx="15">
                  <c:v>0.58394140563905195</c:v>
                </c:pt>
                <c:pt idx="16">
                  <c:v>21.687002820894101</c:v>
                </c:pt>
                <c:pt idx="17">
                  <c:v>1.2020680680871001</c:v>
                </c:pt>
                <c:pt idx="18">
                  <c:v>96.917122863233004</c:v>
                </c:pt>
                <c:pt idx="19">
                  <c:v>901.00190800242103</c:v>
                </c:pt>
                <c:pt idx="20">
                  <c:v>901.00201038829903</c:v>
                </c:pt>
                <c:pt idx="21">
                  <c:v>901.00185070093698</c:v>
                </c:pt>
                <c:pt idx="22">
                  <c:v>901.00188754871397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5B-4FF1-B6ED-8552A6118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689919"/>
        <c:axId val="665258543"/>
      </c:scatterChart>
      <c:catAx>
        <c:axId val="52268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258543"/>
        <c:crosses val="autoZero"/>
        <c:auto val="0"/>
        <c:lblAlgn val="ctr"/>
        <c:lblOffset val="100"/>
        <c:noMultiLvlLbl val="0"/>
      </c:catAx>
      <c:valAx>
        <c:axId val="665258543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8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9.3363216497089604E-2"/>
          <c:y val="0.16139927976898652"/>
          <c:w val="0.19961200872618193"/>
          <c:h val="0.503824640102754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9"/>
          <c:order val="9"/>
          <c:tx>
            <c:strRef>
              <c:f>'All tools'!$K$1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'All tools'!$A$2:$A$28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cat>
          <c:val>
            <c:numRef>
              <c:f>'All tools'!$K$2:$K$28</c:f>
              <c:numCache>
                <c:formatCode>General</c:formatCode>
                <c:ptCount val="2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402-46E9-B8AA-5A18DCC02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515343"/>
        <c:axId val="557924607"/>
      </c:lineChart>
      <c:scatterChart>
        <c:scatterStyle val="lineMarker"/>
        <c:varyColors val="0"/>
        <c:ser>
          <c:idx val="0"/>
          <c:order val="0"/>
          <c:tx>
            <c:strRef>
              <c:f>'All tools'!$B$1</c:f>
              <c:strCache>
                <c:ptCount val="1"/>
                <c:pt idx="0">
                  <c:v>XFTA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'All tools'!$A$2:$A$28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tools'!$B$2:$B$28</c:f>
              <c:numCache>
                <c:formatCode>General</c:formatCode>
                <c:ptCount val="27"/>
                <c:pt idx="0">
                  <c:v>1.6953402999999999E-2</c:v>
                </c:pt>
                <c:pt idx="1">
                  <c:v>4.5382770000000003E-2</c:v>
                </c:pt>
                <c:pt idx="2">
                  <c:v>1.2560768E-2</c:v>
                </c:pt>
                <c:pt idx="3">
                  <c:v>1.3638323000000001E-2</c:v>
                </c:pt>
                <c:pt idx="4">
                  <c:v>9.4328199999999997E-3</c:v>
                </c:pt>
                <c:pt idx="5">
                  <c:v>1.6098626000000001E-2</c:v>
                </c:pt>
                <c:pt idx="6">
                  <c:v>1.3807616E-2</c:v>
                </c:pt>
                <c:pt idx="7">
                  <c:v>6.6142083000000004E-2</c:v>
                </c:pt>
                <c:pt idx="8">
                  <c:v>8.8852788000000002E-2</c:v>
                </c:pt>
                <c:pt idx="9">
                  <c:v>2.2081136000000001E-2</c:v>
                </c:pt>
                <c:pt idx="10">
                  <c:v>15.944227986</c:v>
                </c:pt>
                <c:pt idx="11">
                  <c:v>0.74863363699999996</c:v>
                </c:pt>
                <c:pt idx="12">
                  <c:v>1.3838523E-2</c:v>
                </c:pt>
                <c:pt idx="13">
                  <c:v>5.4173114000000001E-2</c:v>
                </c:pt>
                <c:pt idx="14">
                  <c:v>0.23247991500000001</c:v>
                </c:pt>
                <c:pt idx="15">
                  <c:v>12.300958882</c:v>
                </c:pt>
                <c:pt idx="16">
                  <c:v>0.63706424900000003</c:v>
                </c:pt>
                <c:pt idx="17">
                  <c:v>36.293728373999997</c:v>
                </c:pt>
                <c:pt idx="18">
                  <c:v>900.78059242799998</c:v>
                </c:pt>
                <c:pt idx="19">
                  <c:v>901.37485943399997</c:v>
                </c:pt>
                <c:pt idx="20">
                  <c:v>900.93878734400005</c:v>
                </c:pt>
                <c:pt idx="21">
                  <c:v>900.810939072</c:v>
                </c:pt>
                <c:pt idx="22">
                  <c:v>900.87189405100003</c:v>
                </c:pt>
                <c:pt idx="23">
                  <c:v>901.07793587599997</c:v>
                </c:pt>
                <c:pt idx="24">
                  <c:v>900.95889763100001</c:v>
                </c:pt>
                <c:pt idx="25">
                  <c:v>901.00248387600004</c:v>
                </c:pt>
                <c:pt idx="26">
                  <c:v>900.87773544000004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2-46E9-B8AA-5A18DCC0203D}"/>
            </c:ext>
          </c:extLst>
        </c:ser>
        <c:ser>
          <c:idx val="1"/>
          <c:order val="1"/>
          <c:tx>
            <c:strRef>
              <c:f>'All tools'!$C$1</c:f>
              <c:strCache>
                <c:ptCount val="1"/>
                <c:pt idx="0">
                  <c:v>SAPHSOLVE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'All tools'!$A$2:$A$28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tools'!$C$2:$C$28</c:f>
              <c:numCache>
                <c:formatCode>General</c:formatCode>
                <c:ptCount val="27"/>
                <c:pt idx="0">
                  <c:v>0.71710586899999995</c:v>
                </c:pt>
                <c:pt idx="1">
                  <c:v>0.77282153899999995</c:v>
                </c:pt>
                <c:pt idx="2">
                  <c:v>0.69587020300000002</c:v>
                </c:pt>
                <c:pt idx="3">
                  <c:v>0.72679737099999997</c:v>
                </c:pt>
                <c:pt idx="4">
                  <c:v>0.69602752400000001</c:v>
                </c:pt>
                <c:pt idx="5">
                  <c:v>0.72603528500000003</c:v>
                </c:pt>
                <c:pt idx="6">
                  <c:v>0.79731789200000003</c:v>
                </c:pt>
                <c:pt idx="7">
                  <c:v>2.0490610810000001</c:v>
                </c:pt>
                <c:pt idx="8">
                  <c:v>1.100666763</c:v>
                </c:pt>
                <c:pt idx="9">
                  <c:v>43.019294616000003</c:v>
                </c:pt>
                <c:pt idx="10">
                  <c:v>0</c:v>
                </c:pt>
                <c:pt idx="11">
                  <c:v>1.090108571</c:v>
                </c:pt>
                <c:pt idx="12">
                  <c:v>5.9707260900000003</c:v>
                </c:pt>
                <c:pt idx="13">
                  <c:v>1.5522600259999999</c:v>
                </c:pt>
                <c:pt idx="14">
                  <c:v>3.8128432609999998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02-46E9-B8AA-5A18DCC0203D}"/>
            </c:ext>
          </c:extLst>
        </c:ser>
        <c:ser>
          <c:idx val="2"/>
          <c:order val="2"/>
          <c:tx>
            <c:strRef>
              <c:f>'All tools'!$D$1</c:f>
              <c:strCache>
                <c:ptCount val="1"/>
                <c:pt idx="0">
                  <c:v>SCRAM-BDD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'All tools'!$A$2:$A$28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tools'!$D$2:$D$28</c:f>
              <c:numCache>
                <c:formatCode>General</c:formatCode>
                <c:ptCount val="27"/>
                <c:pt idx="0">
                  <c:v>0.11244756</c:v>
                </c:pt>
                <c:pt idx="1">
                  <c:v>0.21960044500000001</c:v>
                </c:pt>
                <c:pt idx="2">
                  <c:v>9.7503664000000004E-2</c:v>
                </c:pt>
                <c:pt idx="3">
                  <c:v>0.10509741</c:v>
                </c:pt>
                <c:pt idx="4">
                  <c:v>9.4771300000000003E-2</c:v>
                </c:pt>
                <c:pt idx="5">
                  <c:v>0.110762124</c:v>
                </c:pt>
                <c:pt idx="6">
                  <c:v>0.103812877</c:v>
                </c:pt>
                <c:pt idx="7">
                  <c:v>0.221237831</c:v>
                </c:pt>
                <c:pt idx="8">
                  <c:v>0.23065189999999999</c:v>
                </c:pt>
                <c:pt idx="9">
                  <c:v>0.133368608</c:v>
                </c:pt>
                <c:pt idx="10">
                  <c:v>12.783220291999999</c:v>
                </c:pt>
                <c:pt idx="11">
                  <c:v>1.103876946</c:v>
                </c:pt>
                <c:pt idx="12">
                  <c:v>0.103748514</c:v>
                </c:pt>
                <c:pt idx="13">
                  <c:v>0.221674606</c:v>
                </c:pt>
                <c:pt idx="14">
                  <c:v>2.024685963</c:v>
                </c:pt>
                <c:pt idx="15">
                  <c:v>12.893044789999999</c:v>
                </c:pt>
                <c:pt idx="16">
                  <c:v>2.676052678</c:v>
                </c:pt>
                <c:pt idx="17">
                  <c:v>34.973116781999998</c:v>
                </c:pt>
                <c:pt idx="18">
                  <c:v>900.70740531299998</c:v>
                </c:pt>
                <c:pt idx="19">
                  <c:v>284.23696863700002</c:v>
                </c:pt>
                <c:pt idx="20">
                  <c:v>512.98595976499996</c:v>
                </c:pt>
                <c:pt idx="21">
                  <c:v>900.39855015000001</c:v>
                </c:pt>
                <c:pt idx="22">
                  <c:v>900.73680904599996</c:v>
                </c:pt>
                <c:pt idx="23">
                  <c:v>900.94614853099995</c:v>
                </c:pt>
                <c:pt idx="24">
                  <c:v>441.01398707800001</c:v>
                </c:pt>
                <c:pt idx="25">
                  <c:v>900.702252284</c:v>
                </c:pt>
                <c:pt idx="26">
                  <c:v>900.66008242700002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02-46E9-B8AA-5A18DCC0203D}"/>
            </c:ext>
          </c:extLst>
        </c:ser>
        <c:ser>
          <c:idx val="3"/>
          <c:order val="3"/>
          <c:tx>
            <c:strRef>
              <c:f>'All tools'!$E$1</c:f>
              <c:strCache>
                <c:ptCount val="1"/>
                <c:pt idx="0">
                  <c:v>SCRAM-MOCUS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'All tools'!$A$2:$A$28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tools'!$E$2:$E$28</c:f>
              <c:numCache>
                <c:formatCode>General</c:formatCode>
                <c:ptCount val="27"/>
                <c:pt idx="0">
                  <c:v>0.118721988</c:v>
                </c:pt>
                <c:pt idx="1">
                  <c:v>0.226832702</c:v>
                </c:pt>
                <c:pt idx="2">
                  <c:v>0.102652994</c:v>
                </c:pt>
                <c:pt idx="3">
                  <c:v>0.110802336</c:v>
                </c:pt>
                <c:pt idx="4">
                  <c:v>0.100050083</c:v>
                </c:pt>
                <c:pt idx="5">
                  <c:v>0.118666935</c:v>
                </c:pt>
                <c:pt idx="6">
                  <c:v>0.10818058799999999</c:v>
                </c:pt>
                <c:pt idx="7">
                  <c:v>0.22956998200000001</c:v>
                </c:pt>
                <c:pt idx="8">
                  <c:v>0.238241487</c:v>
                </c:pt>
                <c:pt idx="9">
                  <c:v>0.13105389100000001</c:v>
                </c:pt>
                <c:pt idx="10">
                  <c:v>13.076920831000001</c:v>
                </c:pt>
                <c:pt idx="11">
                  <c:v>1.1165375120000001</c:v>
                </c:pt>
                <c:pt idx="12">
                  <c:v>0.107384961</c:v>
                </c:pt>
                <c:pt idx="13">
                  <c:v>0.22412981400000001</c:v>
                </c:pt>
                <c:pt idx="14">
                  <c:v>0.38593401300000002</c:v>
                </c:pt>
                <c:pt idx="15">
                  <c:v>13.077579808999999</c:v>
                </c:pt>
                <c:pt idx="16">
                  <c:v>0.74678053899999997</c:v>
                </c:pt>
                <c:pt idx="17">
                  <c:v>35.598312591999999</c:v>
                </c:pt>
                <c:pt idx="18">
                  <c:v>900.62601442699997</c:v>
                </c:pt>
                <c:pt idx="19">
                  <c:v>900.58179121700005</c:v>
                </c:pt>
                <c:pt idx="20">
                  <c:v>900.87519253300002</c:v>
                </c:pt>
                <c:pt idx="21">
                  <c:v>900.66302862299995</c:v>
                </c:pt>
                <c:pt idx="22">
                  <c:v>900.69834227499996</c:v>
                </c:pt>
                <c:pt idx="23">
                  <c:v>900.67368546700004</c:v>
                </c:pt>
                <c:pt idx="24">
                  <c:v>900.76833597899997</c:v>
                </c:pt>
                <c:pt idx="25">
                  <c:v>900.62503227900004</c:v>
                </c:pt>
                <c:pt idx="26">
                  <c:v>900.71990403799998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02-46E9-B8AA-5A18DCC0203D}"/>
            </c:ext>
          </c:extLst>
        </c:ser>
        <c:ser>
          <c:idx val="4"/>
          <c:order val="4"/>
          <c:tx>
            <c:strRef>
              <c:f>'All tools'!$F$1</c:f>
              <c:strCache>
                <c:ptCount val="1"/>
                <c:pt idx="0">
                  <c:v>SCRAM-ZBDD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'All tools'!$A$2:$A$28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tools'!$F$2:$F$28</c:f>
              <c:numCache>
                <c:formatCode>General</c:formatCode>
                <c:ptCount val="27"/>
                <c:pt idx="0">
                  <c:v>0.113772972</c:v>
                </c:pt>
                <c:pt idx="1">
                  <c:v>0.221840754</c:v>
                </c:pt>
                <c:pt idx="2">
                  <c:v>0.100072827</c:v>
                </c:pt>
                <c:pt idx="3">
                  <c:v>0.105313641</c:v>
                </c:pt>
                <c:pt idx="4">
                  <c:v>9.5055674000000007E-2</c:v>
                </c:pt>
                <c:pt idx="5">
                  <c:v>0.110468444</c:v>
                </c:pt>
                <c:pt idx="6">
                  <c:v>0.10284903500000001</c:v>
                </c:pt>
                <c:pt idx="7">
                  <c:v>0.223540244</c:v>
                </c:pt>
                <c:pt idx="8">
                  <c:v>0.233140597</c:v>
                </c:pt>
                <c:pt idx="9">
                  <c:v>0.13125976</c:v>
                </c:pt>
                <c:pt idx="10">
                  <c:v>12.405646308</c:v>
                </c:pt>
                <c:pt idx="11">
                  <c:v>1.110123379</c:v>
                </c:pt>
                <c:pt idx="12">
                  <c:v>0.10867394900000001</c:v>
                </c:pt>
                <c:pt idx="13">
                  <c:v>0.22820383899999999</c:v>
                </c:pt>
                <c:pt idx="14">
                  <c:v>0.39378183500000002</c:v>
                </c:pt>
                <c:pt idx="15">
                  <c:v>12.958363910999999</c:v>
                </c:pt>
                <c:pt idx="16">
                  <c:v>0.74224239000000003</c:v>
                </c:pt>
                <c:pt idx="17">
                  <c:v>35.772169886</c:v>
                </c:pt>
                <c:pt idx="18">
                  <c:v>900.71484535299999</c:v>
                </c:pt>
                <c:pt idx="19">
                  <c:v>900.75066494500004</c:v>
                </c:pt>
                <c:pt idx="20">
                  <c:v>300.68815876000002</c:v>
                </c:pt>
                <c:pt idx="21">
                  <c:v>900.70903568200004</c:v>
                </c:pt>
                <c:pt idx="22">
                  <c:v>900.74183300899995</c:v>
                </c:pt>
                <c:pt idx="23">
                  <c:v>900.73926895600005</c:v>
                </c:pt>
                <c:pt idx="24">
                  <c:v>900.81984434000003</c:v>
                </c:pt>
                <c:pt idx="25">
                  <c:v>900.59683742200002</c:v>
                </c:pt>
                <c:pt idx="26">
                  <c:v>900.61001479799995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402-46E9-B8AA-5A18DCC0203D}"/>
            </c:ext>
          </c:extLst>
        </c:ser>
        <c:ser>
          <c:idx val="5"/>
          <c:order val="5"/>
          <c:tx>
            <c:strRef>
              <c:f>'All tools'!$G$1</c:f>
              <c:strCache>
                <c:ptCount val="1"/>
                <c:pt idx="0">
                  <c:v>FTREX-ID-BDD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'All tools'!$A$2:$A$28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tools'!$G$2:$G$28</c:f>
              <c:numCache>
                <c:formatCode>General</c:formatCode>
                <c:ptCount val="27"/>
                <c:pt idx="0">
                  <c:v>0.35600429214537099</c:v>
                </c:pt>
                <c:pt idx="1">
                  <c:v>0.36084339395165399</c:v>
                </c:pt>
                <c:pt idx="2">
                  <c:v>0.340483750216662</c:v>
                </c:pt>
                <c:pt idx="3">
                  <c:v>0.350411488674581</c:v>
                </c:pt>
                <c:pt idx="4">
                  <c:v>0.35218038875609597</c:v>
                </c:pt>
                <c:pt idx="5">
                  <c:v>0.3466861480847</c:v>
                </c:pt>
                <c:pt idx="6">
                  <c:v>0.34957290627062299</c:v>
                </c:pt>
                <c:pt idx="7">
                  <c:v>0.367333277128636</c:v>
                </c:pt>
                <c:pt idx="8">
                  <c:v>0.35535245481878502</c:v>
                </c:pt>
                <c:pt idx="9">
                  <c:v>0.35219176765531301</c:v>
                </c:pt>
                <c:pt idx="10">
                  <c:v>0.431900846771895</c:v>
                </c:pt>
                <c:pt idx="11">
                  <c:v>0.42094170581549401</c:v>
                </c:pt>
                <c:pt idx="12">
                  <c:v>0.4473332837224</c:v>
                </c:pt>
                <c:pt idx="13">
                  <c:v>1.1525586657225999</c:v>
                </c:pt>
                <c:pt idx="14">
                  <c:v>2.0445491718128301</c:v>
                </c:pt>
                <c:pt idx="15">
                  <c:v>1.4935459699481699</c:v>
                </c:pt>
                <c:pt idx="16">
                  <c:v>2.4599639819934902</c:v>
                </c:pt>
                <c:pt idx="17">
                  <c:v>1.0382380690425601</c:v>
                </c:pt>
                <c:pt idx="18">
                  <c:v>71.512142442166805</c:v>
                </c:pt>
                <c:pt idx="19">
                  <c:v>47.373723511584103</c:v>
                </c:pt>
                <c:pt idx="20">
                  <c:v>225.83621097635401</c:v>
                </c:pt>
                <c:pt idx="21">
                  <c:v>38.564331354573298</c:v>
                </c:pt>
                <c:pt idx="22">
                  <c:v>300.77606152929297</c:v>
                </c:pt>
                <c:pt idx="23">
                  <c:v>901.00237277895201</c:v>
                </c:pt>
                <c:pt idx="24">
                  <c:v>901.00217395368895</c:v>
                </c:pt>
                <c:pt idx="25">
                  <c:v>177.979430323466</c:v>
                </c:pt>
                <c:pt idx="26">
                  <c:v>901.00219125766296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402-46E9-B8AA-5A18DCC0203D}"/>
            </c:ext>
          </c:extLst>
        </c:ser>
        <c:ser>
          <c:idx val="6"/>
          <c:order val="6"/>
          <c:tx>
            <c:strRef>
              <c:f>'All tools'!$H$1</c:f>
              <c:strCache>
                <c:ptCount val="1"/>
                <c:pt idx="0">
                  <c:v>FTREX-ID-ZBDD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'All tools'!$A$2:$A$28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tools'!$H$2:$H$28</c:f>
              <c:numCache>
                <c:formatCode>General</c:formatCode>
                <c:ptCount val="27"/>
                <c:pt idx="0">
                  <c:v>0.35538480523973698</c:v>
                </c:pt>
                <c:pt idx="1">
                  <c:v>0.36112267989665198</c:v>
                </c:pt>
                <c:pt idx="2">
                  <c:v>0.38132703490555198</c:v>
                </c:pt>
                <c:pt idx="3">
                  <c:v>0.35771398339420502</c:v>
                </c:pt>
                <c:pt idx="4">
                  <c:v>0.34629368409514399</c:v>
                </c:pt>
                <c:pt idx="5">
                  <c:v>0.35680489800870402</c:v>
                </c:pt>
                <c:pt idx="6">
                  <c:v>0.35848832037299799</c:v>
                </c:pt>
                <c:pt idx="7">
                  <c:v>0.40125190466642302</c:v>
                </c:pt>
                <c:pt idx="8">
                  <c:v>0.40653518214821799</c:v>
                </c:pt>
                <c:pt idx="9">
                  <c:v>0.35600841231644098</c:v>
                </c:pt>
                <c:pt idx="10">
                  <c:v>27.732541572302502</c:v>
                </c:pt>
                <c:pt idx="11">
                  <c:v>1.4852784844115301</c:v>
                </c:pt>
                <c:pt idx="12">
                  <c:v>0.35742154810577598</c:v>
                </c:pt>
                <c:pt idx="13">
                  <c:v>0.399933689273893</c:v>
                </c:pt>
                <c:pt idx="14">
                  <c:v>0.60312035121023599</c:v>
                </c:pt>
                <c:pt idx="15">
                  <c:v>23.318893126212</c:v>
                </c:pt>
                <c:pt idx="16">
                  <c:v>1.26049202401191</c:v>
                </c:pt>
                <c:pt idx="17">
                  <c:v>99.254423462785695</c:v>
                </c:pt>
                <c:pt idx="18">
                  <c:v>901.00169255956996</c:v>
                </c:pt>
                <c:pt idx="19">
                  <c:v>901.002047104761</c:v>
                </c:pt>
                <c:pt idx="20">
                  <c:v>901.00231695268303</c:v>
                </c:pt>
                <c:pt idx="21">
                  <c:v>901.00180470477699</c:v>
                </c:pt>
                <c:pt idx="22">
                  <c:v>901.00200629886206</c:v>
                </c:pt>
                <c:pt idx="23">
                  <c:v>901.00194662809304</c:v>
                </c:pt>
                <c:pt idx="24">
                  <c:v>901.00232474878396</c:v>
                </c:pt>
                <c:pt idx="25">
                  <c:v>901.00197509396799</c:v>
                </c:pt>
                <c:pt idx="26">
                  <c:v>901.00197007879603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402-46E9-B8AA-5A18DCC0203D}"/>
            </c:ext>
          </c:extLst>
        </c:ser>
        <c:ser>
          <c:idx val="7"/>
          <c:order val="7"/>
          <c:tx>
            <c:strRef>
              <c:f>'All tools'!$I$1</c:f>
              <c:strCache>
                <c:ptCount val="1"/>
                <c:pt idx="0">
                  <c:v>FTREX-NAME-BDD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'All tools'!$A$2:$A$28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tools'!$I$2:$I$28</c:f>
              <c:numCache>
                <c:formatCode>General</c:formatCode>
                <c:ptCount val="27"/>
                <c:pt idx="0">
                  <c:v>0.37196501065045501</c:v>
                </c:pt>
                <c:pt idx="1">
                  <c:v>0.367956816218793</c:v>
                </c:pt>
                <c:pt idx="2">
                  <c:v>0.33536261599510903</c:v>
                </c:pt>
                <c:pt idx="3">
                  <c:v>0.33076451998203898</c:v>
                </c:pt>
                <c:pt idx="4">
                  <c:v>0.34376908931881101</c:v>
                </c:pt>
                <c:pt idx="5">
                  <c:v>0.34326816443353803</c:v>
                </c:pt>
                <c:pt idx="6">
                  <c:v>0.35834520775824702</c:v>
                </c:pt>
                <c:pt idx="7">
                  <c:v>0.37165673542767702</c:v>
                </c:pt>
                <c:pt idx="8">
                  <c:v>0.34757602680474498</c:v>
                </c:pt>
                <c:pt idx="9">
                  <c:v>0.347906960174441</c:v>
                </c:pt>
                <c:pt idx="10">
                  <c:v>0.42703207861632098</c:v>
                </c:pt>
                <c:pt idx="11">
                  <c:v>0.35992793645709698</c:v>
                </c:pt>
                <c:pt idx="12">
                  <c:v>0.79404207039624397</c:v>
                </c:pt>
                <c:pt idx="13">
                  <c:v>0.97855625953525305</c:v>
                </c:pt>
                <c:pt idx="14">
                  <c:v>1.81189968250691</c:v>
                </c:pt>
                <c:pt idx="15">
                  <c:v>3.06855461932718</c:v>
                </c:pt>
                <c:pt idx="16">
                  <c:v>3.40998989436775</c:v>
                </c:pt>
                <c:pt idx="17">
                  <c:v>0.96051662694662798</c:v>
                </c:pt>
                <c:pt idx="18">
                  <c:v>65.843059114180505</c:v>
                </c:pt>
                <c:pt idx="19">
                  <c:v>29.301196513697501</c:v>
                </c:pt>
                <c:pt idx="20">
                  <c:v>20.888749296776901</c:v>
                </c:pt>
                <c:pt idx="21">
                  <c:v>37.013537867925997</c:v>
                </c:pt>
                <c:pt idx="22">
                  <c:v>298.51902849413398</c:v>
                </c:pt>
                <c:pt idx="23">
                  <c:v>901.00209863204498</c:v>
                </c:pt>
                <c:pt idx="24">
                  <c:v>172.831302924081</c:v>
                </c:pt>
                <c:pt idx="25">
                  <c:v>179.56331700924699</c:v>
                </c:pt>
                <c:pt idx="26">
                  <c:v>901.00218167435298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402-46E9-B8AA-5A18DCC0203D}"/>
            </c:ext>
          </c:extLst>
        </c:ser>
        <c:ser>
          <c:idx val="8"/>
          <c:order val="8"/>
          <c:tx>
            <c:strRef>
              <c:f>'All tools'!$J$1</c:f>
              <c:strCache>
                <c:ptCount val="1"/>
                <c:pt idx="0">
                  <c:v>FTREX-NAME-ZBDD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'All tools'!$A$2:$A$28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tools'!$J$2:$J$28</c:f>
              <c:numCache>
                <c:formatCode>General</c:formatCode>
                <c:ptCount val="27"/>
                <c:pt idx="0">
                  <c:v>0.34335568360984298</c:v>
                </c:pt>
                <c:pt idx="1">
                  <c:v>0.37181920930743201</c:v>
                </c:pt>
                <c:pt idx="2">
                  <c:v>0.35022240690886902</c:v>
                </c:pt>
                <c:pt idx="3">
                  <c:v>0.35328260529786298</c:v>
                </c:pt>
                <c:pt idx="4">
                  <c:v>0.31898893974721398</c:v>
                </c:pt>
                <c:pt idx="5">
                  <c:v>0.34218868054449503</c:v>
                </c:pt>
                <c:pt idx="6">
                  <c:v>0.35426632221788101</c:v>
                </c:pt>
                <c:pt idx="7">
                  <c:v>0.36105142906308102</c:v>
                </c:pt>
                <c:pt idx="8">
                  <c:v>0.38561906013637698</c:v>
                </c:pt>
                <c:pt idx="9">
                  <c:v>0.353153070434927</c:v>
                </c:pt>
                <c:pt idx="10">
                  <c:v>26.967019034549502</c:v>
                </c:pt>
                <c:pt idx="11">
                  <c:v>1.36274131760001</c:v>
                </c:pt>
                <c:pt idx="12">
                  <c:v>0.34443063102662502</c:v>
                </c:pt>
                <c:pt idx="13">
                  <c:v>0.38683519791811699</c:v>
                </c:pt>
                <c:pt idx="14">
                  <c:v>0.58394140563905195</c:v>
                </c:pt>
                <c:pt idx="15">
                  <c:v>21.687002820894101</c:v>
                </c:pt>
                <c:pt idx="16">
                  <c:v>1.2020680680871001</c:v>
                </c:pt>
                <c:pt idx="17">
                  <c:v>96.917122863233004</c:v>
                </c:pt>
                <c:pt idx="18">
                  <c:v>901.00190800242103</c:v>
                </c:pt>
                <c:pt idx="19">
                  <c:v>901.00201038829903</c:v>
                </c:pt>
                <c:pt idx="20">
                  <c:v>901.00185070093698</c:v>
                </c:pt>
                <c:pt idx="21">
                  <c:v>901.00188754871397</c:v>
                </c:pt>
                <c:pt idx="22">
                  <c:v>901.00195747520695</c:v>
                </c:pt>
                <c:pt idx="23">
                  <c:v>901.00181066337905</c:v>
                </c:pt>
                <c:pt idx="24">
                  <c:v>901.00172675028398</c:v>
                </c:pt>
                <c:pt idx="25">
                  <c:v>901.00191876757799</c:v>
                </c:pt>
                <c:pt idx="26">
                  <c:v>901.00191904511303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402-46E9-B8AA-5A18DCC02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515343"/>
        <c:axId val="557924607"/>
      </c:scatterChart>
      <c:catAx>
        <c:axId val="514515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Configuration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924607"/>
        <c:crosses val="autoZero"/>
        <c:auto val="1"/>
        <c:lblAlgn val="ctr"/>
        <c:lblOffset val="100"/>
        <c:noMultiLvlLbl val="0"/>
      </c:catAx>
      <c:valAx>
        <c:axId val="55792460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1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1689684780661357"/>
          <c:y val="1.5284420916697832E-2"/>
          <c:w val="0.23393820156955339"/>
          <c:h val="0.326388101580797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9"/>
          <c:order val="9"/>
          <c:tx>
            <c:strRef>
              <c:f>'All tools'!$V$1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'All tools'!$L$2:$L$28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cat>
          <c:val>
            <c:numRef>
              <c:f>'All tools'!$V$2:$V$28</c:f>
              <c:numCache>
                <c:formatCode>General</c:formatCode>
                <c:ptCount val="2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4C0-4F87-B18F-BF17B250B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291199"/>
        <c:axId val="1346505343"/>
      </c:lineChart>
      <c:scatterChart>
        <c:scatterStyle val="lineMarker"/>
        <c:varyColors val="0"/>
        <c:ser>
          <c:idx val="0"/>
          <c:order val="0"/>
          <c:tx>
            <c:strRef>
              <c:f>'All tools'!$M$1</c:f>
              <c:strCache>
                <c:ptCount val="1"/>
                <c:pt idx="0">
                  <c:v>XFTA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'All tools'!$L$2:$L$28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tools'!$M$2:$M$28</c:f>
              <c:numCache>
                <c:formatCode>General</c:formatCode>
                <c:ptCount val="27"/>
                <c:pt idx="0">
                  <c:v>2.0152320000000001</c:v>
                </c:pt>
                <c:pt idx="1">
                  <c:v>2.1503999999999999</c:v>
                </c:pt>
                <c:pt idx="2">
                  <c:v>2.011136</c:v>
                </c:pt>
                <c:pt idx="3">
                  <c:v>2.0152320000000001</c:v>
                </c:pt>
                <c:pt idx="4">
                  <c:v>2.2773759999999998</c:v>
                </c:pt>
                <c:pt idx="5">
                  <c:v>2.0152320000000001</c:v>
                </c:pt>
                <c:pt idx="6">
                  <c:v>2.2773759999999998</c:v>
                </c:pt>
                <c:pt idx="7">
                  <c:v>2.1872639999999999</c:v>
                </c:pt>
                <c:pt idx="8">
                  <c:v>2.2405119999999998</c:v>
                </c:pt>
                <c:pt idx="9">
                  <c:v>2.4248319999999999</c:v>
                </c:pt>
                <c:pt idx="10">
                  <c:v>263.03283199999998</c:v>
                </c:pt>
                <c:pt idx="11">
                  <c:v>10.530816</c:v>
                </c:pt>
                <c:pt idx="12">
                  <c:v>2.4043519999999998</c:v>
                </c:pt>
                <c:pt idx="13">
                  <c:v>2.53952</c:v>
                </c:pt>
                <c:pt idx="14">
                  <c:v>4.9397760000000002</c:v>
                </c:pt>
                <c:pt idx="15">
                  <c:v>122.66291200000001</c:v>
                </c:pt>
                <c:pt idx="16">
                  <c:v>9.7648639999999993</c:v>
                </c:pt>
                <c:pt idx="17">
                  <c:v>362.70899200000002</c:v>
                </c:pt>
                <c:pt idx="18">
                  <c:v>3.4611200000000002</c:v>
                </c:pt>
                <c:pt idx="19">
                  <c:v>15065.059327999999</c:v>
                </c:pt>
                <c:pt idx="20">
                  <c:v>6558.1015040000002</c:v>
                </c:pt>
                <c:pt idx="21">
                  <c:v>774.89356799999996</c:v>
                </c:pt>
                <c:pt idx="22">
                  <c:v>2893.3857280000002</c:v>
                </c:pt>
                <c:pt idx="23">
                  <c:v>7062.7573759999996</c:v>
                </c:pt>
                <c:pt idx="24">
                  <c:v>5348.0325119999998</c:v>
                </c:pt>
                <c:pt idx="25">
                  <c:v>6054.2320639999998</c:v>
                </c:pt>
                <c:pt idx="26">
                  <c:v>3297.6117760000002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0-4F87-B18F-BF17B250B9A2}"/>
            </c:ext>
          </c:extLst>
        </c:ser>
        <c:ser>
          <c:idx val="1"/>
          <c:order val="1"/>
          <c:tx>
            <c:strRef>
              <c:f>'All tools'!$N$1</c:f>
              <c:strCache>
                <c:ptCount val="1"/>
                <c:pt idx="0">
                  <c:v>SAPHSOLVE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'All tools'!$L$2:$L$28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tools'!$N$2:$N$28</c:f>
              <c:numCache>
                <c:formatCode>General</c:formatCode>
                <c:ptCount val="27"/>
                <c:pt idx="0">
                  <c:v>4.0960000000000001</c:v>
                </c:pt>
                <c:pt idx="1">
                  <c:v>4.4851200000000002</c:v>
                </c:pt>
                <c:pt idx="2">
                  <c:v>4.0222720000000001</c:v>
                </c:pt>
                <c:pt idx="3">
                  <c:v>4.1451520000000004</c:v>
                </c:pt>
                <c:pt idx="4">
                  <c:v>4.0427520000000001</c:v>
                </c:pt>
                <c:pt idx="5">
                  <c:v>4.1041920000000003</c:v>
                </c:pt>
                <c:pt idx="6">
                  <c:v>6.1276159999999997</c:v>
                </c:pt>
                <c:pt idx="7">
                  <c:v>9.1422720000000002</c:v>
                </c:pt>
                <c:pt idx="8">
                  <c:v>5.2142080000000002</c:v>
                </c:pt>
                <c:pt idx="9">
                  <c:v>10.944512</c:v>
                </c:pt>
                <c:pt idx="11">
                  <c:v>7.528448</c:v>
                </c:pt>
                <c:pt idx="12">
                  <c:v>16.273408</c:v>
                </c:pt>
                <c:pt idx="13">
                  <c:v>9.1709440000000004</c:v>
                </c:pt>
                <c:pt idx="14">
                  <c:v>10.911744000000001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C0-4F87-B18F-BF17B250B9A2}"/>
            </c:ext>
          </c:extLst>
        </c:ser>
        <c:ser>
          <c:idx val="2"/>
          <c:order val="2"/>
          <c:tx>
            <c:strRef>
              <c:f>'All tools'!$O$1</c:f>
              <c:strCache>
                <c:ptCount val="1"/>
                <c:pt idx="0">
                  <c:v>SCRAM-BDD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'All tools'!$L$2:$L$28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tools'!$O$2:$O$28</c:f>
              <c:numCache>
                <c:formatCode>General</c:formatCode>
                <c:ptCount val="27"/>
                <c:pt idx="0">
                  <c:v>6.3324160000000003</c:v>
                </c:pt>
                <c:pt idx="1">
                  <c:v>6.303744</c:v>
                </c:pt>
                <c:pt idx="2">
                  <c:v>6.2054400000000003</c:v>
                </c:pt>
                <c:pt idx="3">
                  <c:v>6.283264</c:v>
                </c:pt>
                <c:pt idx="4">
                  <c:v>6.0784640000000003</c:v>
                </c:pt>
                <c:pt idx="5">
                  <c:v>6.1890559999999999</c:v>
                </c:pt>
                <c:pt idx="6">
                  <c:v>6.230016</c:v>
                </c:pt>
                <c:pt idx="7">
                  <c:v>6.1849600000000002</c:v>
                </c:pt>
                <c:pt idx="8">
                  <c:v>6.3406079999999996</c:v>
                </c:pt>
                <c:pt idx="9">
                  <c:v>6.557696</c:v>
                </c:pt>
                <c:pt idx="10">
                  <c:v>12.767232</c:v>
                </c:pt>
                <c:pt idx="11">
                  <c:v>6.8198400000000001</c:v>
                </c:pt>
                <c:pt idx="12">
                  <c:v>6.2545919999999997</c:v>
                </c:pt>
                <c:pt idx="13">
                  <c:v>6.4675840000000004</c:v>
                </c:pt>
                <c:pt idx="14">
                  <c:v>108.04428799999999</c:v>
                </c:pt>
                <c:pt idx="15">
                  <c:v>8.8186879999999999</c:v>
                </c:pt>
                <c:pt idx="16">
                  <c:v>116.744192</c:v>
                </c:pt>
                <c:pt idx="17">
                  <c:v>7.3564160000000003</c:v>
                </c:pt>
                <c:pt idx="18">
                  <c:v>114.73715199999999</c:v>
                </c:pt>
                <c:pt idx="19">
                  <c:v>16000</c:v>
                </c:pt>
                <c:pt idx="20">
                  <c:v>16000</c:v>
                </c:pt>
                <c:pt idx="21">
                  <c:v>8.3025920000000006</c:v>
                </c:pt>
                <c:pt idx="22">
                  <c:v>2067.1733760000002</c:v>
                </c:pt>
                <c:pt idx="23">
                  <c:v>4929.6670720000002</c:v>
                </c:pt>
                <c:pt idx="24">
                  <c:v>16000</c:v>
                </c:pt>
                <c:pt idx="25">
                  <c:v>533.90540799999997</c:v>
                </c:pt>
                <c:pt idx="26">
                  <c:v>20.774912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C0-4F87-B18F-BF17B250B9A2}"/>
            </c:ext>
          </c:extLst>
        </c:ser>
        <c:ser>
          <c:idx val="3"/>
          <c:order val="3"/>
          <c:tx>
            <c:strRef>
              <c:f>'All tools'!$P$1</c:f>
              <c:strCache>
                <c:ptCount val="1"/>
                <c:pt idx="0">
                  <c:v>SCRAM-MOCUS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'All tools'!$L$2:$L$28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tools'!$P$2:$P$28</c:f>
              <c:numCache>
                <c:formatCode>General</c:formatCode>
                <c:ptCount val="27"/>
                <c:pt idx="0">
                  <c:v>6.2177280000000001</c:v>
                </c:pt>
                <c:pt idx="1">
                  <c:v>6.2136319999999996</c:v>
                </c:pt>
                <c:pt idx="2">
                  <c:v>6.1235200000000001</c:v>
                </c:pt>
                <c:pt idx="3">
                  <c:v>6.2095359999999999</c:v>
                </c:pt>
                <c:pt idx="4">
                  <c:v>6.0170240000000002</c:v>
                </c:pt>
                <c:pt idx="5">
                  <c:v>6.2095359999999999</c:v>
                </c:pt>
                <c:pt idx="6">
                  <c:v>6.0743679999999998</c:v>
                </c:pt>
                <c:pt idx="7">
                  <c:v>6.1235200000000001</c:v>
                </c:pt>
                <c:pt idx="8">
                  <c:v>6.3406079999999996</c:v>
                </c:pt>
                <c:pt idx="9">
                  <c:v>6.5863680000000002</c:v>
                </c:pt>
                <c:pt idx="10">
                  <c:v>7.9216639999999998</c:v>
                </c:pt>
                <c:pt idx="11">
                  <c:v>6.7706879999999998</c:v>
                </c:pt>
                <c:pt idx="12">
                  <c:v>6.2668799999999996</c:v>
                </c:pt>
                <c:pt idx="13">
                  <c:v>6.4716800000000001</c:v>
                </c:pt>
                <c:pt idx="14">
                  <c:v>8.3066879999999994</c:v>
                </c:pt>
                <c:pt idx="15">
                  <c:v>6.9959680000000004</c:v>
                </c:pt>
                <c:pt idx="16">
                  <c:v>6.9959680000000004</c:v>
                </c:pt>
                <c:pt idx="17">
                  <c:v>6.6437119999999998</c:v>
                </c:pt>
                <c:pt idx="18">
                  <c:v>34.082816000000001</c:v>
                </c:pt>
                <c:pt idx="19">
                  <c:v>66.756608</c:v>
                </c:pt>
                <c:pt idx="20">
                  <c:v>3886.1824000000001</c:v>
                </c:pt>
                <c:pt idx="21">
                  <c:v>7.909376</c:v>
                </c:pt>
                <c:pt idx="22">
                  <c:v>83.668992000000003</c:v>
                </c:pt>
                <c:pt idx="23">
                  <c:v>117.850112</c:v>
                </c:pt>
                <c:pt idx="24">
                  <c:v>912.69939199999999</c:v>
                </c:pt>
                <c:pt idx="25">
                  <c:v>8.5729279999999992</c:v>
                </c:pt>
                <c:pt idx="26">
                  <c:v>10.006527999999999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C0-4F87-B18F-BF17B250B9A2}"/>
            </c:ext>
          </c:extLst>
        </c:ser>
        <c:ser>
          <c:idx val="4"/>
          <c:order val="4"/>
          <c:tx>
            <c:strRef>
              <c:f>'All tools'!$Q$1</c:f>
              <c:strCache>
                <c:ptCount val="1"/>
                <c:pt idx="0">
                  <c:v>SCRAM-ZBDD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'All tools'!$L$2:$L$28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tools'!$Q$2:$Q$28</c:f>
              <c:numCache>
                <c:formatCode>General</c:formatCode>
                <c:ptCount val="27"/>
                <c:pt idx="0">
                  <c:v>6.2709760000000001</c:v>
                </c:pt>
                <c:pt idx="1">
                  <c:v>6.1521920000000003</c:v>
                </c:pt>
                <c:pt idx="2">
                  <c:v>6.0784640000000003</c:v>
                </c:pt>
                <c:pt idx="3">
                  <c:v>6.1685759999999998</c:v>
                </c:pt>
                <c:pt idx="4">
                  <c:v>5.9637760000000002</c:v>
                </c:pt>
                <c:pt idx="5">
                  <c:v>6.2136319999999996</c:v>
                </c:pt>
                <c:pt idx="6">
                  <c:v>6.1685759999999998</c:v>
                </c:pt>
                <c:pt idx="7">
                  <c:v>6.1890559999999999</c:v>
                </c:pt>
                <c:pt idx="8">
                  <c:v>6.2423039999999999</c:v>
                </c:pt>
                <c:pt idx="9">
                  <c:v>6.4757759999999998</c:v>
                </c:pt>
                <c:pt idx="10">
                  <c:v>8.1428480000000008</c:v>
                </c:pt>
                <c:pt idx="11">
                  <c:v>6.7338240000000003</c:v>
                </c:pt>
                <c:pt idx="12">
                  <c:v>6.2054400000000003</c:v>
                </c:pt>
                <c:pt idx="13">
                  <c:v>6.4716800000000001</c:v>
                </c:pt>
                <c:pt idx="14">
                  <c:v>9.8672640000000005</c:v>
                </c:pt>
                <c:pt idx="15">
                  <c:v>8.6958079999999995</c:v>
                </c:pt>
                <c:pt idx="16">
                  <c:v>9.7443840000000002</c:v>
                </c:pt>
                <c:pt idx="17">
                  <c:v>6.5986560000000001</c:v>
                </c:pt>
                <c:pt idx="18">
                  <c:v>118.14502400000001</c:v>
                </c:pt>
                <c:pt idx="19">
                  <c:v>129.417216</c:v>
                </c:pt>
                <c:pt idx="20">
                  <c:v>16000</c:v>
                </c:pt>
                <c:pt idx="21">
                  <c:v>8.3025920000000006</c:v>
                </c:pt>
                <c:pt idx="22">
                  <c:v>141.34067200000001</c:v>
                </c:pt>
                <c:pt idx="23">
                  <c:v>158.25305599999999</c:v>
                </c:pt>
                <c:pt idx="24">
                  <c:v>2162.60608</c:v>
                </c:pt>
                <c:pt idx="25">
                  <c:v>9.7443840000000002</c:v>
                </c:pt>
                <c:pt idx="26">
                  <c:v>14.336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C0-4F87-B18F-BF17B250B9A2}"/>
            </c:ext>
          </c:extLst>
        </c:ser>
        <c:ser>
          <c:idx val="5"/>
          <c:order val="5"/>
          <c:tx>
            <c:strRef>
              <c:f>'All tools'!$R$1</c:f>
              <c:strCache>
                <c:ptCount val="1"/>
                <c:pt idx="0">
                  <c:v>FTREX-ID-BDD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'All tools'!$L$2:$L$28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tools'!$R$2:$R$28</c:f>
              <c:numCache>
                <c:formatCode>General</c:formatCode>
                <c:ptCount val="27"/>
                <c:pt idx="0">
                  <c:v>30.924800000000001</c:v>
                </c:pt>
                <c:pt idx="1">
                  <c:v>31.436800000000002</c:v>
                </c:pt>
                <c:pt idx="2">
                  <c:v>31.100928</c:v>
                </c:pt>
                <c:pt idx="3">
                  <c:v>31.571967999999998</c:v>
                </c:pt>
                <c:pt idx="4">
                  <c:v>30.928896000000002</c:v>
                </c:pt>
                <c:pt idx="5">
                  <c:v>31.285247999999999</c:v>
                </c:pt>
                <c:pt idx="6">
                  <c:v>32.448512000000001</c:v>
                </c:pt>
                <c:pt idx="7">
                  <c:v>34.553856000000003</c:v>
                </c:pt>
                <c:pt idx="8">
                  <c:v>32.043008</c:v>
                </c:pt>
                <c:pt idx="9">
                  <c:v>32.575488</c:v>
                </c:pt>
                <c:pt idx="10">
                  <c:v>41.705472</c:v>
                </c:pt>
                <c:pt idx="11">
                  <c:v>41.422848000000002</c:v>
                </c:pt>
                <c:pt idx="12">
                  <c:v>41.910271999999999</c:v>
                </c:pt>
                <c:pt idx="13">
                  <c:v>71.548928000000004</c:v>
                </c:pt>
                <c:pt idx="14">
                  <c:v>106.078208</c:v>
                </c:pt>
                <c:pt idx="15">
                  <c:v>108.76927999999999</c:v>
                </c:pt>
                <c:pt idx="16">
                  <c:v>184.71321599999999</c:v>
                </c:pt>
                <c:pt idx="17">
                  <c:v>74.137600000000006</c:v>
                </c:pt>
                <c:pt idx="18">
                  <c:v>3319.5048959999999</c:v>
                </c:pt>
                <c:pt idx="19">
                  <c:v>3081.1217919999999</c:v>
                </c:pt>
                <c:pt idx="20">
                  <c:v>16000</c:v>
                </c:pt>
                <c:pt idx="21">
                  <c:v>644.71449600000005</c:v>
                </c:pt>
                <c:pt idx="22">
                  <c:v>16000</c:v>
                </c:pt>
                <c:pt idx="23">
                  <c:v>3204.7841279999998</c:v>
                </c:pt>
                <c:pt idx="24">
                  <c:v>14050.902016</c:v>
                </c:pt>
                <c:pt idx="25">
                  <c:v>16000</c:v>
                </c:pt>
                <c:pt idx="26">
                  <c:v>1806.897152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C0-4F87-B18F-BF17B250B9A2}"/>
            </c:ext>
          </c:extLst>
        </c:ser>
        <c:ser>
          <c:idx val="6"/>
          <c:order val="6"/>
          <c:tx>
            <c:strRef>
              <c:f>'All tools'!$S$1</c:f>
              <c:strCache>
                <c:ptCount val="1"/>
                <c:pt idx="0">
                  <c:v>FTREX-ID-ZBDD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'All tools'!$L$2:$L$28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tools'!$S$2:$S$28</c:f>
              <c:numCache>
                <c:formatCode>General</c:formatCode>
                <c:ptCount val="27"/>
                <c:pt idx="0">
                  <c:v>30.539776</c:v>
                </c:pt>
                <c:pt idx="1">
                  <c:v>32.083967999999999</c:v>
                </c:pt>
                <c:pt idx="2">
                  <c:v>30.474240000000002</c:v>
                </c:pt>
                <c:pt idx="3">
                  <c:v>30.769151999999998</c:v>
                </c:pt>
                <c:pt idx="4">
                  <c:v>30.949376000000001</c:v>
                </c:pt>
                <c:pt idx="5">
                  <c:v>31.027200000000001</c:v>
                </c:pt>
                <c:pt idx="6">
                  <c:v>30.887936</c:v>
                </c:pt>
                <c:pt idx="7">
                  <c:v>32.632832000000001</c:v>
                </c:pt>
                <c:pt idx="8">
                  <c:v>32.808959999999999</c:v>
                </c:pt>
                <c:pt idx="9">
                  <c:v>30.519296000000001</c:v>
                </c:pt>
                <c:pt idx="10">
                  <c:v>894.30016000000001</c:v>
                </c:pt>
                <c:pt idx="11">
                  <c:v>82.153471999999994</c:v>
                </c:pt>
                <c:pt idx="12">
                  <c:v>30.900224000000001</c:v>
                </c:pt>
                <c:pt idx="13">
                  <c:v>31.674368000000001</c:v>
                </c:pt>
                <c:pt idx="14">
                  <c:v>39.194623999999997</c:v>
                </c:pt>
                <c:pt idx="15">
                  <c:v>773.44358399999999</c:v>
                </c:pt>
                <c:pt idx="16">
                  <c:v>60.018687999999997</c:v>
                </c:pt>
                <c:pt idx="17">
                  <c:v>2061.2464639999998</c:v>
                </c:pt>
                <c:pt idx="18">
                  <c:v>75.108351999999996</c:v>
                </c:pt>
                <c:pt idx="19">
                  <c:v>276.238336</c:v>
                </c:pt>
                <c:pt idx="20">
                  <c:v>183.68512000000001</c:v>
                </c:pt>
                <c:pt idx="21">
                  <c:v>37.425151999999997</c:v>
                </c:pt>
                <c:pt idx="22">
                  <c:v>219.11552</c:v>
                </c:pt>
                <c:pt idx="23">
                  <c:v>1328.35328</c:v>
                </c:pt>
                <c:pt idx="24">
                  <c:v>346.00140800000003</c:v>
                </c:pt>
                <c:pt idx="25">
                  <c:v>223.72761600000001</c:v>
                </c:pt>
                <c:pt idx="26">
                  <c:v>153.690112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4C0-4F87-B18F-BF17B250B9A2}"/>
            </c:ext>
          </c:extLst>
        </c:ser>
        <c:ser>
          <c:idx val="7"/>
          <c:order val="7"/>
          <c:tx>
            <c:strRef>
              <c:f>'All tools'!$T$1</c:f>
              <c:strCache>
                <c:ptCount val="1"/>
                <c:pt idx="0">
                  <c:v>FTREX-NAME-BDD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'All tools'!$L$2:$L$28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tools'!$T$2:$T$28</c:f>
              <c:numCache>
                <c:formatCode>General</c:formatCode>
                <c:ptCount val="27"/>
                <c:pt idx="0">
                  <c:v>31.236096</c:v>
                </c:pt>
                <c:pt idx="1">
                  <c:v>31.035392000000002</c:v>
                </c:pt>
                <c:pt idx="2">
                  <c:v>30.96576</c:v>
                </c:pt>
                <c:pt idx="3">
                  <c:v>31.834112000000001</c:v>
                </c:pt>
                <c:pt idx="4">
                  <c:v>31.088640000000002</c:v>
                </c:pt>
                <c:pt idx="5">
                  <c:v>30.859264</c:v>
                </c:pt>
                <c:pt idx="6">
                  <c:v>34.447360000000003</c:v>
                </c:pt>
                <c:pt idx="7">
                  <c:v>34.398207999999997</c:v>
                </c:pt>
                <c:pt idx="8">
                  <c:v>31.973375999999998</c:v>
                </c:pt>
                <c:pt idx="9">
                  <c:v>31.268864000000001</c:v>
                </c:pt>
                <c:pt idx="10">
                  <c:v>41.848832000000002</c:v>
                </c:pt>
                <c:pt idx="11">
                  <c:v>35.229695999999997</c:v>
                </c:pt>
                <c:pt idx="12">
                  <c:v>49.049599999999998</c:v>
                </c:pt>
                <c:pt idx="13">
                  <c:v>108.95359999999999</c:v>
                </c:pt>
                <c:pt idx="14">
                  <c:v>106.90560000000001</c:v>
                </c:pt>
                <c:pt idx="15">
                  <c:v>109.28128</c:v>
                </c:pt>
                <c:pt idx="16">
                  <c:v>192.21299200000001</c:v>
                </c:pt>
                <c:pt idx="17">
                  <c:v>102.580224</c:v>
                </c:pt>
                <c:pt idx="18">
                  <c:v>3319.5581440000001</c:v>
                </c:pt>
                <c:pt idx="19">
                  <c:v>3423.0681599999998</c:v>
                </c:pt>
                <c:pt idx="20">
                  <c:v>1458.8149759999999</c:v>
                </c:pt>
                <c:pt idx="21">
                  <c:v>442.44992000000002</c:v>
                </c:pt>
                <c:pt idx="22">
                  <c:v>16000</c:v>
                </c:pt>
                <c:pt idx="23">
                  <c:v>3475.0013439999998</c:v>
                </c:pt>
                <c:pt idx="24">
                  <c:v>16000</c:v>
                </c:pt>
                <c:pt idx="25">
                  <c:v>16000</c:v>
                </c:pt>
                <c:pt idx="26">
                  <c:v>1781.497856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4C0-4F87-B18F-BF17B250B9A2}"/>
            </c:ext>
          </c:extLst>
        </c:ser>
        <c:ser>
          <c:idx val="8"/>
          <c:order val="8"/>
          <c:tx>
            <c:strRef>
              <c:f>'All tools'!$U$1</c:f>
              <c:strCache>
                <c:ptCount val="1"/>
                <c:pt idx="0">
                  <c:v>FTREX-NAME-ZBDD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'All tools'!$L$2:$L$28</c:f>
              <c:strCache>
                <c:ptCount val="27"/>
                <c:pt idx="0">
                  <c:v>100-01</c:v>
                </c:pt>
                <c:pt idx="1">
                  <c:v>100-02</c:v>
                </c:pt>
                <c:pt idx="2">
                  <c:v>100-03</c:v>
                </c:pt>
                <c:pt idx="3">
                  <c:v>100-04</c:v>
                </c:pt>
                <c:pt idx="4">
                  <c:v>100-05</c:v>
                </c:pt>
                <c:pt idx="5">
                  <c:v>100-06</c:v>
                </c:pt>
                <c:pt idx="6">
                  <c:v>100-07</c:v>
                </c:pt>
                <c:pt idx="7">
                  <c:v>100-08</c:v>
                </c:pt>
                <c:pt idx="8">
                  <c:v>100-09</c:v>
                </c:pt>
                <c:pt idx="9">
                  <c:v>200-01</c:v>
                </c:pt>
                <c:pt idx="10">
                  <c:v>200-02</c:v>
                </c:pt>
                <c:pt idx="11">
                  <c:v>200-03</c:v>
                </c:pt>
                <c:pt idx="12">
                  <c:v>200-04</c:v>
                </c:pt>
                <c:pt idx="13">
                  <c:v>200-05</c:v>
                </c:pt>
                <c:pt idx="14">
                  <c:v>200-06</c:v>
                </c:pt>
                <c:pt idx="15">
                  <c:v>200-07</c:v>
                </c:pt>
                <c:pt idx="16">
                  <c:v>200-08</c:v>
                </c:pt>
                <c:pt idx="17">
                  <c:v>200-09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  <c:pt idx="22">
                  <c:v>500_05</c:v>
                </c:pt>
                <c:pt idx="23">
                  <c:v>500_06</c:v>
                </c:pt>
                <c:pt idx="24">
                  <c:v>500_07</c:v>
                </c:pt>
                <c:pt idx="25">
                  <c:v>500_08</c:v>
                </c:pt>
                <c:pt idx="26">
                  <c:v>500_09</c:v>
                </c:pt>
              </c:strCache>
            </c:strRef>
          </c:xVal>
          <c:yVal>
            <c:numRef>
              <c:f>'All tools'!$U$2:$U$28</c:f>
              <c:numCache>
                <c:formatCode>General</c:formatCode>
                <c:ptCount val="27"/>
                <c:pt idx="0">
                  <c:v>30.932991999999999</c:v>
                </c:pt>
                <c:pt idx="1">
                  <c:v>31.440895999999999</c:v>
                </c:pt>
                <c:pt idx="2">
                  <c:v>30.277632000000001</c:v>
                </c:pt>
                <c:pt idx="3">
                  <c:v>30.793728000000002</c:v>
                </c:pt>
                <c:pt idx="4">
                  <c:v>30.375935999999999</c:v>
                </c:pt>
                <c:pt idx="5">
                  <c:v>30.834688</c:v>
                </c:pt>
                <c:pt idx="6">
                  <c:v>31.236096</c:v>
                </c:pt>
                <c:pt idx="7">
                  <c:v>31.813631999999998</c:v>
                </c:pt>
                <c:pt idx="8">
                  <c:v>32.456704000000002</c:v>
                </c:pt>
                <c:pt idx="9">
                  <c:v>31.506432</c:v>
                </c:pt>
                <c:pt idx="10">
                  <c:v>764.16614400000003</c:v>
                </c:pt>
                <c:pt idx="11">
                  <c:v>73.986047999999997</c:v>
                </c:pt>
                <c:pt idx="12">
                  <c:v>31.031296000000001</c:v>
                </c:pt>
                <c:pt idx="13">
                  <c:v>31.289344</c:v>
                </c:pt>
                <c:pt idx="14">
                  <c:v>37.838847999999999</c:v>
                </c:pt>
                <c:pt idx="15">
                  <c:v>663.46188800000004</c:v>
                </c:pt>
                <c:pt idx="16">
                  <c:v>55.635967999999998</c:v>
                </c:pt>
                <c:pt idx="17">
                  <c:v>1761.1735040000001</c:v>
                </c:pt>
                <c:pt idx="18">
                  <c:v>74.870784</c:v>
                </c:pt>
                <c:pt idx="19">
                  <c:v>187.51897600000001</c:v>
                </c:pt>
                <c:pt idx="20">
                  <c:v>184.25036800000001</c:v>
                </c:pt>
                <c:pt idx="21">
                  <c:v>36.220928000000001</c:v>
                </c:pt>
                <c:pt idx="22">
                  <c:v>218.95987199999999</c:v>
                </c:pt>
                <c:pt idx="23">
                  <c:v>1328.9185279999999</c:v>
                </c:pt>
                <c:pt idx="24">
                  <c:v>345.94406400000003</c:v>
                </c:pt>
                <c:pt idx="25">
                  <c:v>223.75628800000001</c:v>
                </c:pt>
                <c:pt idx="26">
                  <c:v>152.78899200000001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4C0-4F87-B18F-BF17B250B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291199"/>
        <c:axId val="1346505343"/>
      </c:scatterChart>
      <c:catAx>
        <c:axId val="1377291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Configuration</a:t>
                </a:r>
                <a:r>
                  <a:rPr lang="en-US" sz="1800" baseline="0"/>
                  <a:t> #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0.45948381975163077"/>
              <c:y val="0.844726356941933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05343"/>
        <c:crosses val="autoZero"/>
        <c:auto val="1"/>
        <c:lblAlgn val="ctr"/>
        <c:lblOffset val="100"/>
        <c:noMultiLvlLbl val="0"/>
      </c:catAx>
      <c:valAx>
        <c:axId val="134650534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Memory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29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0995625771562777"/>
          <c:y val="2.8497432114713537E-2"/>
          <c:w val="0.32457559677232645"/>
          <c:h val="0.349102967990339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FTREX ZBDD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'FTREX-ZDD'!$AC$2</c:f>
              <c:strCache>
                <c:ptCount val="1"/>
                <c:pt idx="0">
                  <c:v>Write cutsets-ID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'FTREX-ZDD'!$R$3:$R$20</c:f>
              <c:strCache>
                <c:ptCount val="18"/>
                <c:pt idx="0">
                  <c:v>100_01</c:v>
                </c:pt>
                <c:pt idx="1">
                  <c:v>100_02</c:v>
                </c:pt>
                <c:pt idx="2">
                  <c:v>100_03</c:v>
                </c:pt>
                <c:pt idx="3">
                  <c:v>100_04</c:v>
                </c:pt>
                <c:pt idx="4">
                  <c:v>100_05</c:v>
                </c:pt>
                <c:pt idx="5">
                  <c:v>100_06</c:v>
                </c:pt>
                <c:pt idx="6">
                  <c:v>100_07</c:v>
                </c:pt>
                <c:pt idx="7">
                  <c:v>100_08</c:v>
                </c:pt>
                <c:pt idx="8">
                  <c:v>100_09</c:v>
                </c:pt>
                <c:pt idx="9">
                  <c:v>200_01</c:v>
                </c:pt>
                <c:pt idx="10">
                  <c:v>200_02</c:v>
                </c:pt>
                <c:pt idx="11">
                  <c:v>200_03</c:v>
                </c:pt>
                <c:pt idx="12">
                  <c:v>200_04</c:v>
                </c:pt>
                <c:pt idx="13">
                  <c:v>200_05</c:v>
                </c:pt>
                <c:pt idx="14">
                  <c:v>200_06</c:v>
                </c:pt>
                <c:pt idx="15">
                  <c:v>200_07</c:v>
                </c:pt>
                <c:pt idx="16">
                  <c:v>200_08</c:v>
                </c:pt>
                <c:pt idx="17">
                  <c:v>200_09</c:v>
                </c:pt>
              </c:strCache>
            </c:strRef>
          </c:cat>
          <c:val>
            <c:numRef>
              <c:f>'FTREX-ZDD'!$AC$3:$AC$20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0.04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0.06</c:v>
                </c:pt>
                <c:pt idx="8">
                  <c:v>0.05</c:v>
                </c:pt>
                <c:pt idx="9">
                  <c:v>0.06</c:v>
                </c:pt>
                <c:pt idx="10">
                  <c:v>0.35</c:v>
                </c:pt>
                <c:pt idx="11">
                  <c:v>0.13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0.14000000000000001</c:v>
                </c:pt>
                <c:pt idx="15">
                  <c:v>1.0900000000000001</c:v>
                </c:pt>
                <c:pt idx="16">
                  <c:v>0.38</c:v>
                </c:pt>
                <c:pt idx="17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8-440E-B454-77104389ADC4}"/>
            </c:ext>
          </c:extLst>
        </c:ser>
        <c:ser>
          <c:idx val="1"/>
          <c:order val="1"/>
          <c:tx>
            <c:strRef>
              <c:f>'FTREX-ZDD'!$AD$2</c:f>
              <c:strCache>
                <c:ptCount val="1"/>
                <c:pt idx="0">
                  <c:v>Expand module -ID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'FTREX-ZDD'!$R$3:$R$20</c:f>
              <c:strCache>
                <c:ptCount val="18"/>
                <c:pt idx="0">
                  <c:v>100_01</c:v>
                </c:pt>
                <c:pt idx="1">
                  <c:v>100_02</c:v>
                </c:pt>
                <c:pt idx="2">
                  <c:v>100_03</c:v>
                </c:pt>
                <c:pt idx="3">
                  <c:v>100_04</c:v>
                </c:pt>
                <c:pt idx="4">
                  <c:v>100_05</c:v>
                </c:pt>
                <c:pt idx="5">
                  <c:v>100_06</c:v>
                </c:pt>
                <c:pt idx="6">
                  <c:v>100_07</c:v>
                </c:pt>
                <c:pt idx="7">
                  <c:v>100_08</c:v>
                </c:pt>
                <c:pt idx="8">
                  <c:v>100_09</c:v>
                </c:pt>
                <c:pt idx="9">
                  <c:v>200_01</c:v>
                </c:pt>
                <c:pt idx="10">
                  <c:v>200_02</c:v>
                </c:pt>
                <c:pt idx="11">
                  <c:v>200_03</c:v>
                </c:pt>
                <c:pt idx="12">
                  <c:v>200_04</c:v>
                </c:pt>
                <c:pt idx="13">
                  <c:v>200_05</c:v>
                </c:pt>
                <c:pt idx="14">
                  <c:v>200_06</c:v>
                </c:pt>
                <c:pt idx="15">
                  <c:v>200_07</c:v>
                </c:pt>
                <c:pt idx="16">
                  <c:v>200_08</c:v>
                </c:pt>
                <c:pt idx="17">
                  <c:v>200_09</c:v>
                </c:pt>
              </c:strCache>
            </c:strRef>
          </c:cat>
          <c:val>
            <c:numRef>
              <c:f>'FTREX-ZDD'!$AD$3:$AD$20</c:f>
              <c:numCache>
                <c:formatCode>General</c:formatCode>
                <c:ptCount val="18"/>
                <c:pt idx="0">
                  <c:v>0.04</c:v>
                </c:pt>
                <c:pt idx="1">
                  <c:v>0.05</c:v>
                </c:pt>
                <c:pt idx="2">
                  <c:v>0.04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0.06</c:v>
                </c:pt>
                <c:pt idx="8">
                  <c:v>0.04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0.12</c:v>
                </c:pt>
                <c:pt idx="15">
                  <c:v>0.62</c:v>
                </c:pt>
                <c:pt idx="16">
                  <c:v>0.34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28-440E-B454-77104389ADC4}"/>
            </c:ext>
          </c:extLst>
        </c:ser>
        <c:ser>
          <c:idx val="2"/>
          <c:order val="2"/>
          <c:tx>
            <c:strRef>
              <c:f>'FTREX-ZDD'!$AE$2</c:f>
              <c:strCache>
                <c:ptCount val="1"/>
                <c:pt idx="0">
                  <c:v>Write cutsets- NAME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'FTREX-ZDD'!$R$3:$R$20</c:f>
              <c:strCache>
                <c:ptCount val="18"/>
                <c:pt idx="0">
                  <c:v>100_01</c:v>
                </c:pt>
                <c:pt idx="1">
                  <c:v>100_02</c:v>
                </c:pt>
                <c:pt idx="2">
                  <c:v>100_03</c:v>
                </c:pt>
                <c:pt idx="3">
                  <c:v>100_04</c:v>
                </c:pt>
                <c:pt idx="4">
                  <c:v>100_05</c:v>
                </c:pt>
                <c:pt idx="5">
                  <c:v>100_06</c:v>
                </c:pt>
                <c:pt idx="6">
                  <c:v>100_07</c:v>
                </c:pt>
                <c:pt idx="7">
                  <c:v>100_08</c:v>
                </c:pt>
                <c:pt idx="8">
                  <c:v>100_09</c:v>
                </c:pt>
                <c:pt idx="9">
                  <c:v>200_01</c:v>
                </c:pt>
                <c:pt idx="10">
                  <c:v>200_02</c:v>
                </c:pt>
                <c:pt idx="11">
                  <c:v>200_03</c:v>
                </c:pt>
                <c:pt idx="12">
                  <c:v>200_04</c:v>
                </c:pt>
                <c:pt idx="13">
                  <c:v>200_05</c:v>
                </c:pt>
                <c:pt idx="14">
                  <c:v>200_06</c:v>
                </c:pt>
                <c:pt idx="15">
                  <c:v>200_07</c:v>
                </c:pt>
                <c:pt idx="16">
                  <c:v>200_08</c:v>
                </c:pt>
                <c:pt idx="17">
                  <c:v>200_09</c:v>
                </c:pt>
              </c:strCache>
            </c:strRef>
          </c:cat>
          <c:val>
            <c:numRef>
              <c:f>'FTREX-ZDD'!$AE$3:$AE$20</c:f>
              <c:numCache>
                <c:formatCode>General</c:formatCode>
                <c:ptCount val="18"/>
                <c:pt idx="0">
                  <c:v>0.04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0.04</c:v>
                </c:pt>
                <c:pt idx="5">
                  <c:v>0.04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0.51</c:v>
                </c:pt>
                <c:pt idx="11">
                  <c:v>0.13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0.13</c:v>
                </c:pt>
                <c:pt idx="15">
                  <c:v>1.06</c:v>
                </c:pt>
                <c:pt idx="16">
                  <c:v>0.37</c:v>
                </c:pt>
                <c:pt idx="17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28-440E-B454-77104389ADC4}"/>
            </c:ext>
          </c:extLst>
        </c:ser>
        <c:ser>
          <c:idx val="3"/>
          <c:order val="3"/>
          <c:tx>
            <c:strRef>
              <c:f>'FTREX-ZDD'!$AF$2</c:f>
              <c:strCache>
                <c:ptCount val="1"/>
                <c:pt idx="0">
                  <c:v>Expand module - NAME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'FTREX-ZDD'!$R$3:$R$20</c:f>
              <c:strCache>
                <c:ptCount val="18"/>
                <c:pt idx="0">
                  <c:v>100_01</c:v>
                </c:pt>
                <c:pt idx="1">
                  <c:v>100_02</c:v>
                </c:pt>
                <c:pt idx="2">
                  <c:v>100_03</c:v>
                </c:pt>
                <c:pt idx="3">
                  <c:v>100_04</c:v>
                </c:pt>
                <c:pt idx="4">
                  <c:v>100_05</c:v>
                </c:pt>
                <c:pt idx="5">
                  <c:v>100_06</c:v>
                </c:pt>
                <c:pt idx="6">
                  <c:v>100_07</c:v>
                </c:pt>
                <c:pt idx="7">
                  <c:v>100_08</c:v>
                </c:pt>
                <c:pt idx="8">
                  <c:v>100_09</c:v>
                </c:pt>
                <c:pt idx="9">
                  <c:v>200_01</c:v>
                </c:pt>
                <c:pt idx="10">
                  <c:v>200_02</c:v>
                </c:pt>
                <c:pt idx="11">
                  <c:v>200_03</c:v>
                </c:pt>
                <c:pt idx="12">
                  <c:v>200_04</c:v>
                </c:pt>
                <c:pt idx="13">
                  <c:v>200_05</c:v>
                </c:pt>
                <c:pt idx="14">
                  <c:v>200_06</c:v>
                </c:pt>
                <c:pt idx="15">
                  <c:v>200_07</c:v>
                </c:pt>
                <c:pt idx="16">
                  <c:v>200_08</c:v>
                </c:pt>
                <c:pt idx="17">
                  <c:v>200_09</c:v>
                </c:pt>
              </c:strCache>
            </c:strRef>
          </c:cat>
          <c:val>
            <c:numRef>
              <c:f>'FTREX-ZDD'!$AF$3:$AF$20</c:f>
              <c:numCache>
                <c:formatCode>General</c:formatCode>
                <c:ptCount val="18"/>
                <c:pt idx="0">
                  <c:v>0.04</c:v>
                </c:pt>
                <c:pt idx="1">
                  <c:v>0.04</c:v>
                </c:pt>
                <c:pt idx="2">
                  <c:v>0.05</c:v>
                </c:pt>
                <c:pt idx="3">
                  <c:v>0.05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0.05</c:v>
                </c:pt>
                <c:pt idx="8">
                  <c:v>0.04</c:v>
                </c:pt>
                <c:pt idx="9">
                  <c:v>0.05</c:v>
                </c:pt>
                <c:pt idx="10">
                  <c:v>0.06</c:v>
                </c:pt>
                <c:pt idx="11">
                  <c:v>0.05</c:v>
                </c:pt>
                <c:pt idx="12">
                  <c:v>0.05</c:v>
                </c:pt>
                <c:pt idx="13">
                  <c:v>0.06</c:v>
                </c:pt>
                <c:pt idx="14">
                  <c:v>0.12</c:v>
                </c:pt>
                <c:pt idx="15">
                  <c:v>0.59</c:v>
                </c:pt>
                <c:pt idx="16">
                  <c:v>0.33</c:v>
                </c:pt>
                <c:pt idx="1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28-440E-B454-77104389A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26336"/>
        <c:axId val="317122207"/>
      </c:lineChart>
      <c:catAx>
        <c:axId val="184126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Configuration #</a:t>
                </a:r>
              </a:p>
            </c:rich>
          </c:tx>
          <c:layout>
            <c:manualLayout>
              <c:xMode val="edge"/>
              <c:yMode val="edge"/>
              <c:x val="0.40109357973441156"/>
              <c:y val="0.81716702772562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22207"/>
        <c:crosses val="autoZero"/>
        <c:auto val="1"/>
        <c:lblAlgn val="ctr"/>
        <c:lblOffset val="100"/>
        <c:noMultiLvlLbl val="0"/>
      </c:catAx>
      <c:valAx>
        <c:axId val="31712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layout>
            <c:manualLayout>
              <c:xMode val="edge"/>
              <c:yMode val="edge"/>
              <c:x val="9.5533787893627414E-3"/>
              <c:y val="0.30579559666475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2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974712732908743E-2"/>
          <c:y val="0.11309716689441272"/>
          <c:w val="0.40761243311318435"/>
          <c:h val="0.355709898886273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FTREX-BDD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'FTREX-BDD'!$V$2</c:f>
              <c:strCache>
                <c:ptCount val="1"/>
                <c:pt idx="0">
                  <c:v>Exact probability - 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'FTREX-BDD'!$O$3:$O$24</c:f>
              <c:strCache>
                <c:ptCount val="22"/>
                <c:pt idx="0">
                  <c:v>100_01</c:v>
                </c:pt>
                <c:pt idx="1">
                  <c:v>100_02</c:v>
                </c:pt>
                <c:pt idx="2">
                  <c:v>100_03</c:v>
                </c:pt>
                <c:pt idx="3">
                  <c:v>100_04</c:v>
                </c:pt>
                <c:pt idx="4">
                  <c:v>100_05</c:v>
                </c:pt>
                <c:pt idx="5">
                  <c:v>100_06</c:v>
                </c:pt>
                <c:pt idx="6">
                  <c:v>100_07</c:v>
                </c:pt>
                <c:pt idx="7">
                  <c:v>100_08</c:v>
                </c:pt>
                <c:pt idx="8">
                  <c:v>100_09</c:v>
                </c:pt>
                <c:pt idx="9">
                  <c:v>200_01</c:v>
                </c:pt>
                <c:pt idx="10">
                  <c:v>200_02</c:v>
                </c:pt>
                <c:pt idx="11">
                  <c:v>200_03</c:v>
                </c:pt>
                <c:pt idx="12">
                  <c:v>200_04</c:v>
                </c:pt>
                <c:pt idx="13">
                  <c:v>200_05</c:v>
                </c:pt>
                <c:pt idx="14">
                  <c:v>200_06</c:v>
                </c:pt>
                <c:pt idx="15">
                  <c:v>200_07</c:v>
                </c:pt>
                <c:pt idx="16">
                  <c:v>200_08</c:v>
                </c:pt>
                <c:pt idx="17">
                  <c:v>200_09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</c:strCache>
            </c:strRef>
          </c:cat>
          <c:val>
            <c:numRef>
              <c:f>'FTREX-BDD'!$V$3:$V$24</c:f>
              <c:numCache>
                <c:formatCode>General</c:formatCode>
                <c:ptCount val="22"/>
                <c:pt idx="0">
                  <c:v>0.04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0.04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0.05</c:v>
                </c:pt>
                <c:pt idx="9">
                  <c:v>0.06</c:v>
                </c:pt>
                <c:pt idx="10">
                  <c:v>0.13</c:v>
                </c:pt>
                <c:pt idx="11">
                  <c:v>0.12</c:v>
                </c:pt>
                <c:pt idx="12">
                  <c:v>0.14000000000000001</c:v>
                </c:pt>
                <c:pt idx="13">
                  <c:v>0.59</c:v>
                </c:pt>
                <c:pt idx="14">
                  <c:v>1.63</c:v>
                </c:pt>
                <c:pt idx="15">
                  <c:v>1.0900000000000001</c:v>
                </c:pt>
                <c:pt idx="16">
                  <c:v>1.87</c:v>
                </c:pt>
                <c:pt idx="17">
                  <c:v>0.74</c:v>
                </c:pt>
                <c:pt idx="18">
                  <c:v>52.14</c:v>
                </c:pt>
                <c:pt idx="19">
                  <c:v>38.39</c:v>
                </c:pt>
                <c:pt idx="21">
                  <c:v>31.52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CB-419F-AB0D-50F0442020AA}"/>
            </c:ext>
          </c:extLst>
        </c:ser>
        <c:ser>
          <c:idx val="1"/>
          <c:order val="1"/>
          <c:tx>
            <c:strRef>
              <c:f>'FTREX-BDD'!$W$2</c:f>
              <c:strCache>
                <c:ptCount val="1"/>
                <c:pt idx="0">
                  <c:v>Write cutsets - 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'FTREX-BDD'!$O$3:$O$24</c:f>
              <c:strCache>
                <c:ptCount val="22"/>
                <c:pt idx="0">
                  <c:v>100_01</c:v>
                </c:pt>
                <c:pt idx="1">
                  <c:v>100_02</c:v>
                </c:pt>
                <c:pt idx="2">
                  <c:v>100_03</c:v>
                </c:pt>
                <c:pt idx="3">
                  <c:v>100_04</c:v>
                </c:pt>
                <c:pt idx="4">
                  <c:v>100_05</c:v>
                </c:pt>
                <c:pt idx="5">
                  <c:v>100_06</c:v>
                </c:pt>
                <c:pt idx="6">
                  <c:v>100_07</c:v>
                </c:pt>
                <c:pt idx="7">
                  <c:v>100_08</c:v>
                </c:pt>
                <c:pt idx="8">
                  <c:v>100_09</c:v>
                </c:pt>
                <c:pt idx="9">
                  <c:v>200_01</c:v>
                </c:pt>
                <c:pt idx="10">
                  <c:v>200_02</c:v>
                </c:pt>
                <c:pt idx="11">
                  <c:v>200_03</c:v>
                </c:pt>
                <c:pt idx="12">
                  <c:v>200_04</c:v>
                </c:pt>
                <c:pt idx="13">
                  <c:v>200_05</c:v>
                </c:pt>
                <c:pt idx="14">
                  <c:v>200_06</c:v>
                </c:pt>
                <c:pt idx="15">
                  <c:v>200_07</c:v>
                </c:pt>
                <c:pt idx="16">
                  <c:v>200_08</c:v>
                </c:pt>
                <c:pt idx="17">
                  <c:v>200_09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</c:strCache>
            </c:strRef>
          </c:cat>
          <c:val>
            <c:numRef>
              <c:f>'FTREX-BDD'!$W$3:$W$24</c:f>
              <c:numCache>
                <c:formatCode>General</c:formatCode>
                <c:ptCount val="22"/>
                <c:pt idx="0">
                  <c:v>0.04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0.04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0.05</c:v>
                </c:pt>
                <c:pt idx="9">
                  <c:v>0.06</c:v>
                </c:pt>
                <c:pt idx="10">
                  <c:v>0.13</c:v>
                </c:pt>
                <c:pt idx="11">
                  <c:v>0.12</c:v>
                </c:pt>
                <c:pt idx="12">
                  <c:v>0.14000000000000001</c:v>
                </c:pt>
                <c:pt idx="13">
                  <c:v>0.6</c:v>
                </c:pt>
                <c:pt idx="14">
                  <c:v>1.63</c:v>
                </c:pt>
                <c:pt idx="15">
                  <c:v>1.0900000000000001</c:v>
                </c:pt>
                <c:pt idx="16">
                  <c:v>1.88</c:v>
                </c:pt>
                <c:pt idx="17">
                  <c:v>0.74</c:v>
                </c:pt>
                <c:pt idx="18">
                  <c:v>52.41</c:v>
                </c:pt>
                <c:pt idx="19">
                  <c:v>38.799999999999997</c:v>
                </c:pt>
                <c:pt idx="21">
                  <c:v>31.62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CB-419F-AB0D-50F0442020AA}"/>
            </c:ext>
          </c:extLst>
        </c:ser>
        <c:ser>
          <c:idx val="2"/>
          <c:order val="2"/>
          <c:tx>
            <c:strRef>
              <c:f>'FTREX-BDD'!$X$2</c:f>
              <c:strCache>
                <c:ptCount val="1"/>
                <c:pt idx="0">
                  <c:v>Exact probability - NAME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'FTREX-BDD'!$O$3:$O$24</c:f>
              <c:strCache>
                <c:ptCount val="22"/>
                <c:pt idx="0">
                  <c:v>100_01</c:v>
                </c:pt>
                <c:pt idx="1">
                  <c:v>100_02</c:v>
                </c:pt>
                <c:pt idx="2">
                  <c:v>100_03</c:v>
                </c:pt>
                <c:pt idx="3">
                  <c:v>100_04</c:v>
                </c:pt>
                <c:pt idx="4">
                  <c:v>100_05</c:v>
                </c:pt>
                <c:pt idx="5">
                  <c:v>100_06</c:v>
                </c:pt>
                <c:pt idx="6">
                  <c:v>100_07</c:v>
                </c:pt>
                <c:pt idx="7">
                  <c:v>100_08</c:v>
                </c:pt>
                <c:pt idx="8">
                  <c:v>100_09</c:v>
                </c:pt>
                <c:pt idx="9">
                  <c:v>200_01</c:v>
                </c:pt>
                <c:pt idx="10">
                  <c:v>200_02</c:v>
                </c:pt>
                <c:pt idx="11">
                  <c:v>200_03</c:v>
                </c:pt>
                <c:pt idx="12">
                  <c:v>200_04</c:v>
                </c:pt>
                <c:pt idx="13">
                  <c:v>200_05</c:v>
                </c:pt>
                <c:pt idx="14">
                  <c:v>200_06</c:v>
                </c:pt>
                <c:pt idx="15">
                  <c:v>200_07</c:v>
                </c:pt>
                <c:pt idx="16">
                  <c:v>200_08</c:v>
                </c:pt>
                <c:pt idx="17">
                  <c:v>200_09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</c:strCache>
            </c:strRef>
          </c:cat>
          <c:val>
            <c:numRef>
              <c:f>'FTREX-BDD'!$X$3:$X$24</c:f>
              <c:numCache>
                <c:formatCode>General</c:formatCode>
                <c:ptCount val="22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0.06</c:v>
                </c:pt>
                <c:pt idx="8">
                  <c:v>0.05</c:v>
                </c:pt>
                <c:pt idx="9">
                  <c:v>0.05</c:v>
                </c:pt>
                <c:pt idx="10">
                  <c:v>0.11</c:v>
                </c:pt>
                <c:pt idx="11">
                  <c:v>0.06</c:v>
                </c:pt>
                <c:pt idx="12">
                  <c:v>0.44</c:v>
                </c:pt>
                <c:pt idx="13">
                  <c:v>0.53</c:v>
                </c:pt>
                <c:pt idx="14">
                  <c:v>1.35</c:v>
                </c:pt>
                <c:pt idx="15">
                  <c:v>2.36</c:v>
                </c:pt>
                <c:pt idx="16">
                  <c:v>2.69</c:v>
                </c:pt>
                <c:pt idx="17">
                  <c:v>0.56999999999999995</c:v>
                </c:pt>
                <c:pt idx="18">
                  <c:v>49.6</c:v>
                </c:pt>
                <c:pt idx="19">
                  <c:v>25.65</c:v>
                </c:pt>
                <c:pt idx="20">
                  <c:v>16.93</c:v>
                </c:pt>
                <c:pt idx="21">
                  <c:v>30.05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CB-419F-AB0D-50F0442020AA}"/>
            </c:ext>
          </c:extLst>
        </c:ser>
        <c:ser>
          <c:idx val="3"/>
          <c:order val="3"/>
          <c:tx>
            <c:strRef>
              <c:f>'FTREX-BDD'!$Y$2</c:f>
              <c:strCache>
                <c:ptCount val="1"/>
                <c:pt idx="0">
                  <c:v>Write cutsets - NAME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'FTREX-BDD'!$O$3:$O$24</c:f>
              <c:strCache>
                <c:ptCount val="22"/>
                <c:pt idx="0">
                  <c:v>100_01</c:v>
                </c:pt>
                <c:pt idx="1">
                  <c:v>100_02</c:v>
                </c:pt>
                <c:pt idx="2">
                  <c:v>100_03</c:v>
                </c:pt>
                <c:pt idx="3">
                  <c:v>100_04</c:v>
                </c:pt>
                <c:pt idx="4">
                  <c:v>100_05</c:v>
                </c:pt>
                <c:pt idx="5">
                  <c:v>100_06</c:v>
                </c:pt>
                <c:pt idx="6">
                  <c:v>100_07</c:v>
                </c:pt>
                <c:pt idx="7">
                  <c:v>100_08</c:v>
                </c:pt>
                <c:pt idx="8">
                  <c:v>100_09</c:v>
                </c:pt>
                <c:pt idx="9">
                  <c:v>200_01</c:v>
                </c:pt>
                <c:pt idx="10">
                  <c:v>200_02</c:v>
                </c:pt>
                <c:pt idx="11">
                  <c:v>200_03</c:v>
                </c:pt>
                <c:pt idx="12">
                  <c:v>200_04</c:v>
                </c:pt>
                <c:pt idx="13">
                  <c:v>200_05</c:v>
                </c:pt>
                <c:pt idx="14">
                  <c:v>200_06</c:v>
                </c:pt>
                <c:pt idx="15">
                  <c:v>200_07</c:v>
                </c:pt>
                <c:pt idx="16">
                  <c:v>200_08</c:v>
                </c:pt>
                <c:pt idx="17">
                  <c:v>200_09</c:v>
                </c:pt>
                <c:pt idx="18">
                  <c:v>500_01</c:v>
                </c:pt>
                <c:pt idx="19">
                  <c:v>500_02</c:v>
                </c:pt>
                <c:pt idx="20">
                  <c:v>500_03</c:v>
                </c:pt>
                <c:pt idx="21">
                  <c:v>500_04</c:v>
                </c:pt>
              </c:strCache>
            </c:strRef>
          </c:cat>
          <c:val>
            <c:numRef>
              <c:f>'FTREX-BDD'!$Y$3:$Y$24</c:f>
              <c:numCache>
                <c:formatCode>General</c:formatCode>
                <c:ptCount val="22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0.06</c:v>
                </c:pt>
                <c:pt idx="8">
                  <c:v>0.05</c:v>
                </c:pt>
                <c:pt idx="9">
                  <c:v>0.05</c:v>
                </c:pt>
                <c:pt idx="10">
                  <c:v>0.12</c:v>
                </c:pt>
                <c:pt idx="11">
                  <c:v>0.06</c:v>
                </c:pt>
                <c:pt idx="12">
                  <c:v>0.44</c:v>
                </c:pt>
                <c:pt idx="13">
                  <c:v>0.53</c:v>
                </c:pt>
                <c:pt idx="14">
                  <c:v>1.36</c:v>
                </c:pt>
                <c:pt idx="15">
                  <c:v>2.36</c:v>
                </c:pt>
                <c:pt idx="16">
                  <c:v>2.7</c:v>
                </c:pt>
                <c:pt idx="17">
                  <c:v>0.57999999999999996</c:v>
                </c:pt>
                <c:pt idx="18">
                  <c:v>49.87</c:v>
                </c:pt>
                <c:pt idx="19">
                  <c:v>26.08</c:v>
                </c:pt>
                <c:pt idx="20">
                  <c:v>17.07</c:v>
                </c:pt>
                <c:pt idx="21">
                  <c:v>30.08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CB-419F-AB0D-50F044202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48384"/>
        <c:axId val="318204927"/>
      </c:lineChart>
      <c:catAx>
        <c:axId val="276748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Configuration #</a:t>
                </a:r>
              </a:p>
            </c:rich>
          </c:tx>
          <c:layout>
            <c:manualLayout>
              <c:xMode val="edge"/>
              <c:yMode val="edge"/>
              <c:x val="0.41676411654524459"/>
              <c:y val="0.840381005987005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204927"/>
        <c:crosses val="autoZero"/>
        <c:auto val="1"/>
        <c:lblAlgn val="ctr"/>
        <c:lblOffset val="100"/>
        <c:noMultiLvlLbl val="0"/>
      </c:catAx>
      <c:valAx>
        <c:axId val="3182049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74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36142771463469"/>
          <c:y val="0.1542252613422567"/>
          <c:w val="0.3097467408634943"/>
          <c:h val="0.321924647353219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225425</xdr:colOff>
      <xdr:row>33</xdr:row>
      <xdr:rowOff>12065</xdr:rowOff>
    </xdr:from>
    <xdr:to>
      <xdr:col>34</xdr:col>
      <xdr:colOff>522605</xdr:colOff>
      <xdr:row>58</xdr:row>
      <xdr:rowOff>143192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2D0156-D2D4-829B-A3F4-A91AFBA65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100328</xdr:colOff>
      <xdr:row>29</xdr:row>
      <xdr:rowOff>173354</xdr:rowOff>
    </xdr:from>
    <xdr:to>
      <xdr:col>18</xdr:col>
      <xdr:colOff>510540</xdr:colOff>
      <xdr:row>59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5AB2B6-801B-1025-4B20-13F37BE58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144397</xdr:colOff>
      <xdr:row>28</xdr:row>
      <xdr:rowOff>18381</xdr:rowOff>
    </xdr:from>
    <xdr:to>
      <xdr:col>14</xdr:col>
      <xdr:colOff>195719</xdr:colOff>
      <xdr:row>60</xdr:row>
      <xdr:rowOff>185847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7D27E69-6AF6-2479-E0EA-129701F38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434601</xdr:colOff>
      <xdr:row>34</xdr:row>
      <xdr:rowOff>94990</xdr:rowOff>
    </xdr:from>
    <xdr:to>
      <xdr:col>32</xdr:col>
      <xdr:colOff>529181</xdr:colOff>
      <xdr:row>54</xdr:row>
      <xdr:rowOff>85413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93CFDD8-2150-0DB3-D7ED-35B45DAB1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517706</xdr:colOff>
      <xdr:row>47</xdr:row>
      <xdr:rowOff>82868</xdr:rowOff>
    </xdr:from>
    <xdr:to>
      <xdr:col>61</xdr:col>
      <xdr:colOff>97245</xdr:colOff>
      <xdr:row>85</xdr:row>
      <xdr:rowOff>67310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ABF5208-28AB-E013-12F7-FE69C3110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287932</xdr:colOff>
      <xdr:row>30</xdr:row>
      <xdr:rowOff>4629</xdr:rowOff>
    </xdr:from>
    <xdr:to>
      <xdr:col>14</xdr:col>
      <xdr:colOff>200686</xdr:colOff>
      <xdr:row>62</xdr:row>
      <xdr:rowOff>11193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3F507C-3844-0ECB-C11C-DE09BDAF1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490273</xdr:colOff>
      <xdr:row>13</xdr:row>
      <xdr:rowOff>183621</xdr:rowOff>
    </xdr:from>
    <xdr:to>
      <xdr:col>39</xdr:col>
      <xdr:colOff>420423</xdr:colOff>
      <xdr:row>46</xdr:row>
      <xdr:rowOff>68261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15B085-2DC6-62E4-C935-73373D94A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128249</xdr:colOff>
      <xdr:row>27</xdr:row>
      <xdr:rowOff>153486</xdr:rowOff>
    </xdr:from>
    <xdr:to>
      <xdr:col>23</xdr:col>
      <xdr:colOff>555450</xdr:colOff>
      <xdr:row>54</xdr:row>
      <xdr:rowOff>128219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B2C7F-3667-B198-3BA9-A69C050E3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349250</xdr:colOff>
      <xdr:row>6</xdr:row>
      <xdr:rowOff>362</xdr:rowOff>
    </xdr:from>
    <xdr:to>
      <xdr:col>19</xdr:col>
      <xdr:colOff>397329</xdr:colOff>
      <xdr:row>32</xdr:row>
      <xdr:rowOff>104321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613E0F-4C6F-198D-DBB8-1864569F8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0572-C732-4492-8A0C-0ABB6144F50E}">
  <dimension ref="B1:R57"/>
  <sheetViews>
    <sheetView zoomScale="67" workbookViewId="0">
      <selection activeCell="F26" sqref="F26:F30"/>
    </sheetView>
  </sheetViews>
  <sheetFormatPr baseColWidth="10" defaultColWidth="8.83203125" defaultRowHeight="15" x14ac:dyDescent="0.2"/>
  <cols>
    <col min="2" max="2" width="27" bestFit="1" customWidth="1"/>
  </cols>
  <sheetData>
    <row r="1" spans="2:18" x14ac:dyDescent="0.2">
      <c r="B1" t="s">
        <v>3</v>
      </c>
      <c r="C1" t="s">
        <v>4</v>
      </c>
      <c r="D1" t="s">
        <v>4</v>
      </c>
      <c r="E1" t="s">
        <v>4</v>
      </c>
      <c r="F1" t="s">
        <v>4</v>
      </c>
    </row>
    <row r="2" spans="2:18" x14ac:dyDescent="0.2">
      <c r="B2" t="s">
        <v>5</v>
      </c>
      <c r="C2" t="s">
        <v>6</v>
      </c>
      <c r="D2" t="s">
        <v>6</v>
      </c>
      <c r="E2" t="s">
        <v>7</v>
      </c>
      <c r="F2" t="s">
        <v>7</v>
      </c>
    </row>
    <row r="3" spans="2:18" x14ac:dyDescent="0.2">
      <c r="B3" t="s">
        <v>8</v>
      </c>
      <c r="C3" t="s">
        <v>9</v>
      </c>
      <c r="D3" t="s">
        <v>10</v>
      </c>
      <c r="E3" t="s">
        <v>9</v>
      </c>
      <c r="F3" t="s">
        <v>10</v>
      </c>
    </row>
    <row r="4" spans="2:18" x14ac:dyDescent="0.2">
      <c r="B4" t="s">
        <v>11</v>
      </c>
      <c r="C4" t="s">
        <v>12</v>
      </c>
      <c r="D4">
        <v>0.35600429214537099</v>
      </c>
      <c r="E4" t="s">
        <v>12</v>
      </c>
      <c r="F4">
        <v>0.35538480523973698</v>
      </c>
    </row>
    <row r="5" spans="2:18" x14ac:dyDescent="0.2">
      <c r="B5" t="s">
        <v>13</v>
      </c>
      <c r="C5" t="s">
        <v>12</v>
      </c>
      <c r="D5">
        <v>0.36084339395165399</v>
      </c>
      <c r="E5" t="s">
        <v>12</v>
      </c>
      <c r="F5">
        <v>0.36112267989665198</v>
      </c>
    </row>
    <row r="6" spans="2:18" x14ac:dyDescent="0.2">
      <c r="B6" t="s">
        <v>14</v>
      </c>
      <c r="C6" t="s">
        <v>12</v>
      </c>
      <c r="D6">
        <v>0.340483750216662</v>
      </c>
      <c r="E6" t="s">
        <v>12</v>
      </c>
      <c r="F6">
        <v>0.38132703490555198</v>
      </c>
    </row>
    <row r="7" spans="2:18" x14ac:dyDescent="0.2">
      <c r="B7" t="s">
        <v>15</v>
      </c>
      <c r="C7" t="s">
        <v>12</v>
      </c>
      <c r="D7">
        <v>0.350411488674581</v>
      </c>
      <c r="E7" t="s">
        <v>12</v>
      </c>
      <c r="F7">
        <v>0.35771398339420502</v>
      </c>
    </row>
    <row r="8" spans="2:18" x14ac:dyDescent="0.2">
      <c r="B8" t="s">
        <v>16</v>
      </c>
      <c r="C8" t="s">
        <v>12</v>
      </c>
      <c r="D8">
        <v>0.35218038875609597</v>
      </c>
      <c r="E8" t="s">
        <v>12</v>
      </c>
      <c r="F8">
        <v>0.34629368409514399</v>
      </c>
    </row>
    <row r="9" spans="2:18" ht="18" x14ac:dyDescent="0.2">
      <c r="B9" t="s">
        <v>17</v>
      </c>
      <c r="C9" t="s">
        <v>12</v>
      </c>
      <c r="D9">
        <v>0.3466861480847</v>
      </c>
      <c r="E9" t="s">
        <v>12</v>
      </c>
      <c r="F9">
        <v>0.35680489800870402</v>
      </c>
      <c r="R9" s="1" t="s">
        <v>0</v>
      </c>
    </row>
    <row r="10" spans="2:18" ht="18" x14ac:dyDescent="0.2">
      <c r="B10" t="s">
        <v>18</v>
      </c>
      <c r="C10" t="s">
        <v>12</v>
      </c>
      <c r="D10">
        <v>0.34957290627062299</v>
      </c>
      <c r="E10" t="s">
        <v>12</v>
      </c>
      <c r="F10">
        <v>0.35848832037299799</v>
      </c>
      <c r="R10" s="1" t="s">
        <v>1</v>
      </c>
    </row>
    <row r="11" spans="2:18" x14ac:dyDescent="0.2">
      <c r="B11" t="s">
        <v>19</v>
      </c>
      <c r="C11" t="s">
        <v>12</v>
      </c>
      <c r="D11">
        <v>0.367333277128636</v>
      </c>
      <c r="E11" t="s">
        <v>12</v>
      </c>
      <c r="F11">
        <v>0.40125190466642302</v>
      </c>
    </row>
    <row r="12" spans="2:18" x14ac:dyDescent="0.2">
      <c r="B12" t="s">
        <v>20</v>
      </c>
      <c r="C12" t="s">
        <v>12</v>
      </c>
      <c r="D12">
        <v>0.35535245481878502</v>
      </c>
      <c r="E12" t="s">
        <v>12</v>
      </c>
      <c r="F12">
        <v>0.40653518214821799</v>
      </c>
    </row>
    <row r="13" spans="2:18" x14ac:dyDescent="0.2">
      <c r="B13" t="s">
        <v>21</v>
      </c>
      <c r="C13" t="s">
        <v>12</v>
      </c>
      <c r="D13">
        <v>0.35219176765531301</v>
      </c>
      <c r="E13" t="s">
        <v>12</v>
      </c>
      <c r="F13">
        <v>0.35600841231644098</v>
      </c>
    </row>
    <row r="14" spans="2:18" x14ac:dyDescent="0.2">
      <c r="B14" t="s">
        <v>22</v>
      </c>
      <c r="C14" t="s">
        <v>12</v>
      </c>
      <c r="D14">
        <v>0.431900846771895</v>
      </c>
      <c r="E14" t="s">
        <v>12</v>
      </c>
      <c r="F14">
        <v>27.732541572302502</v>
      </c>
    </row>
    <row r="15" spans="2:18" x14ac:dyDescent="0.2">
      <c r="B15" t="s">
        <v>23</v>
      </c>
      <c r="C15" t="s">
        <v>12</v>
      </c>
      <c r="D15">
        <v>0.42094170581549401</v>
      </c>
      <c r="E15" t="s">
        <v>12</v>
      </c>
      <c r="F15">
        <v>1.4852784844115301</v>
      </c>
    </row>
    <row r="16" spans="2:18" x14ac:dyDescent="0.2">
      <c r="B16" t="s">
        <v>24</v>
      </c>
      <c r="C16" t="s">
        <v>12</v>
      </c>
      <c r="D16">
        <v>0.4473332837224</v>
      </c>
      <c r="E16" t="s">
        <v>12</v>
      </c>
      <c r="F16">
        <v>0.35742154810577598</v>
      </c>
    </row>
    <row r="17" spans="2:6" x14ac:dyDescent="0.2">
      <c r="B17" t="s">
        <v>25</v>
      </c>
      <c r="C17" t="s">
        <v>12</v>
      </c>
      <c r="D17">
        <v>1.1525586657225999</v>
      </c>
      <c r="E17" t="s">
        <v>12</v>
      </c>
      <c r="F17">
        <v>0.399933689273893</v>
      </c>
    </row>
    <row r="18" spans="2:6" x14ac:dyDescent="0.2">
      <c r="B18" t="s">
        <v>26</v>
      </c>
      <c r="C18" t="s">
        <v>12</v>
      </c>
      <c r="D18">
        <v>2.0445491718128301</v>
      </c>
      <c r="E18" t="s">
        <v>12</v>
      </c>
      <c r="F18">
        <v>0.60312035121023599</v>
      </c>
    </row>
    <row r="19" spans="2:6" x14ac:dyDescent="0.2">
      <c r="B19" t="s">
        <v>27</v>
      </c>
      <c r="C19" t="s">
        <v>12</v>
      </c>
      <c r="D19">
        <v>1.4935459699481699</v>
      </c>
      <c r="E19" t="s">
        <v>12</v>
      </c>
      <c r="F19">
        <v>23.318893126212</v>
      </c>
    </row>
    <row r="20" spans="2:6" x14ac:dyDescent="0.2">
      <c r="B20" t="s">
        <v>28</v>
      </c>
      <c r="C20" t="s">
        <v>12</v>
      </c>
      <c r="D20">
        <v>2.4599639819934902</v>
      </c>
      <c r="E20" t="s">
        <v>12</v>
      </c>
      <c r="F20">
        <v>1.26049202401191</v>
      </c>
    </row>
    <row r="21" spans="2:6" x14ac:dyDescent="0.2">
      <c r="B21" t="s">
        <v>29</v>
      </c>
      <c r="C21" t="s">
        <v>12</v>
      </c>
      <c r="D21">
        <v>1.0382380690425601</v>
      </c>
      <c r="E21" t="s">
        <v>12</v>
      </c>
      <c r="F21">
        <v>99.254423462785695</v>
      </c>
    </row>
    <row r="22" spans="2:6" x14ac:dyDescent="0.2">
      <c r="B22" t="s">
        <v>30</v>
      </c>
      <c r="C22" t="s">
        <v>12</v>
      </c>
      <c r="D22">
        <v>71.512142442166805</v>
      </c>
      <c r="E22" t="s">
        <v>31</v>
      </c>
      <c r="F22">
        <v>901.00169255956996</v>
      </c>
    </row>
    <row r="23" spans="2:6" x14ac:dyDescent="0.2">
      <c r="B23" t="s">
        <v>32</v>
      </c>
      <c r="C23" t="s">
        <v>12</v>
      </c>
      <c r="D23">
        <v>47.373723511584103</v>
      </c>
      <c r="E23" t="s">
        <v>31</v>
      </c>
      <c r="F23">
        <v>901.002047104761</v>
      </c>
    </row>
    <row r="24" spans="2:6" x14ac:dyDescent="0.2">
      <c r="B24" t="s">
        <v>33</v>
      </c>
      <c r="C24" t="s">
        <v>12</v>
      </c>
      <c r="D24">
        <v>225.83621097635401</v>
      </c>
      <c r="E24" t="s">
        <v>31</v>
      </c>
      <c r="F24">
        <v>901.00231695268303</v>
      </c>
    </row>
    <row r="25" spans="2:6" x14ac:dyDescent="0.2">
      <c r="B25" t="s">
        <v>34</v>
      </c>
      <c r="C25" t="s">
        <v>12</v>
      </c>
      <c r="D25">
        <v>38.564331354573298</v>
      </c>
      <c r="E25" t="s">
        <v>31</v>
      </c>
      <c r="F25">
        <v>901.00180470477699</v>
      </c>
    </row>
    <row r="26" spans="2:6" x14ac:dyDescent="0.2">
      <c r="B26" t="s">
        <v>35</v>
      </c>
      <c r="C26" t="s">
        <v>12</v>
      </c>
      <c r="D26">
        <v>300.77606152929297</v>
      </c>
      <c r="E26" t="s">
        <v>31</v>
      </c>
      <c r="F26">
        <v>901.00200629886206</v>
      </c>
    </row>
    <row r="27" spans="2:6" x14ac:dyDescent="0.2">
      <c r="B27" t="s">
        <v>36</v>
      </c>
      <c r="C27" t="s">
        <v>31</v>
      </c>
      <c r="D27">
        <v>901.00237277895201</v>
      </c>
      <c r="E27" t="s">
        <v>31</v>
      </c>
      <c r="F27">
        <v>901.00194662809304</v>
      </c>
    </row>
    <row r="28" spans="2:6" x14ac:dyDescent="0.2">
      <c r="B28" t="s">
        <v>37</v>
      </c>
      <c r="C28" t="s">
        <v>31</v>
      </c>
      <c r="D28">
        <v>901.00217395368895</v>
      </c>
      <c r="E28" t="s">
        <v>31</v>
      </c>
      <c r="F28">
        <v>901.00232474878396</v>
      </c>
    </row>
    <row r="29" spans="2:6" x14ac:dyDescent="0.2">
      <c r="B29" t="s">
        <v>38</v>
      </c>
      <c r="C29" t="s">
        <v>12</v>
      </c>
      <c r="D29">
        <v>177.979430323466</v>
      </c>
      <c r="E29" t="s">
        <v>31</v>
      </c>
      <c r="F29">
        <v>901.00197509396799</v>
      </c>
    </row>
    <row r="30" spans="2:6" x14ac:dyDescent="0.2">
      <c r="B30" t="s">
        <v>39</v>
      </c>
      <c r="C30" t="s">
        <v>31</v>
      </c>
      <c r="D30">
        <v>901.00219125766296</v>
      </c>
      <c r="E30" t="s">
        <v>31</v>
      </c>
      <c r="F30">
        <v>901.00197007879603</v>
      </c>
    </row>
    <row r="31" spans="2:6" x14ac:dyDescent="0.2">
      <c r="B31" t="s">
        <v>40</v>
      </c>
      <c r="C31" t="s">
        <v>12</v>
      </c>
      <c r="D31">
        <v>0.37196501065045501</v>
      </c>
      <c r="E31" t="s">
        <v>12</v>
      </c>
      <c r="F31">
        <v>0.34335568360984298</v>
      </c>
    </row>
    <row r="32" spans="2:6" x14ac:dyDescent="0.2">
      <c r="B32" t="s">
        <v>41</v>
      </c>
      <c r="C32" t="s">
        <v>12</v>
      </c>
      <c r="D32">
        <v>0.367956816218793</v>
      </c>
      <c r="E32" t="s">
        <v>12</v>
      </c>
      <c r="F32">
        <v>0.37181920930743201</v>
      </c>
    </row>
    <row r="33" spans="2:6" x14ac:dyDescent="0.2">
      <c r="B33" t="s">
        <v>42</v>
      </c>
      <c r="C33" t="s">
        <v>12</v>
      </c>
      <c r="D33">
        <v>0.33536261599510903</v>
      </c>
      <c r="E33" t="s">
        <v>12</v>
      </c>
      <c r="F33">
        <v>0.35022240690886902</v>
      </c>
    </row>
    <row r="34" spans="2:6" x14ac:dyDescent="0.2">
      <c r="B34" t="s">
        <v>43</v>
      </c>
      <c r="C34" t="s">
        <v>12</v>
      </c>
      <c r="D34">
        <v>0.33076451998203898</v>
      </c>
      <c r="E34" t="s">
        <v>12</v>
      </c>
      <c r="F34">
        <v>0.35328260529786298</v>
      </c>
    </row>
    <row r="35" spans="2:6" x14ac:dyDescent="0.2">
      <c r="B35" t="s">
        <v>44</v>
      </c>
      <c r="C35" t="s">
        <v>12</v>
      </c>
      <c r="D35">
        <v>0.34376908931881101</v>
      </c>
      <c r="E35" t="s">
        <v>12</v>
      </c>
      <c r="F35">
        <v>0.31898893974721398</v>
      </c>
    </row>
    <row r="36" spans="2:6" x14ac:dyDescent="0.2">
      <c r="B36" t="s">
        <v>45</v>
      </c>
      <c r="C36" t="s">
        <v>12</v>
      </c>
      <c r="D36">
        <v>0.34326816443353803</v>
      </c>
      <c r="E36" t="s">
        <v>12</v>
      </c>
      <c r="F36">
        <v>0.34218868054449503</v>
      </c>
    </row>
    <row r="37" spans="2:6" x14ac:dyDescent="0.2">
      <c r="B37" t="s">
        <v>46</v>
      </c>
      <c r="C37" t="s">
        <v>12</v>
      </c>
      <c r="D37">
        <v>0.35834520775824702</v>
      </c>
      <c r="E37" t="s">
        <v>12</v>
      </c>
      <c r="F37">
        <v>0.35426632221788101</v>
      </c>
    </row>
    <row r="38" spans="2:6" x14ac:dyDescent="0.2">
      <c r="B38" t="s">
        <v>47</v>
      </c>
      <c r="C38" t="s">
        <v>12</v>
      </c>
      <c r="D38">
        <v>0.37165673542767702</v>
      </c>
      <c r="E38" t="s">
        <v>12</v>
      </c>
      <c r="F38">
        <v>0.36105142906308102</v>
      </c>
    </row>
    <row r="39" spans="2:6" x14ac:dyDescent="0.2">
      <c r="B39" t="s">
        <v>48</v>
      </c>
      <c r="C39" t="s">
        <v>12</v>
      </c>
      <c r="D39">
        <v>0.34757602680474498</v>
      </c>
      <c r="E39" t="s">
        <v>12</v>
      </c>
      <c r="F39">
        <v>0.38561906013637698</v>
      </c>
    </row>
    <row r="40" spans="2:6" x14ac:dyDescent="0.2">
      <c r="B40" t="s">
        <v>49</v>
      </c>
      <c r="C40" t="s">
        <v>12</v>
      </c>
      <c r="D40">
        <v>0.347906960174441</v>
      </c>
      <c r="E40" t="s">
        <v>12</v>
      </c>
      <c r="F40">
        <v>0.353153070434927</v>
      </c>
    </row>
    <row r="41" spans="2:6" x14ac:dyDescent="0.2">
      <c r="B41" t="s">
        <v>50</v>
      </c>
      <c r="C41" t="s">
        <v>12</v>
      </c>
      <c r="D41">
        <v>0.42703207861632098</v>
      </c>
      <c r="E41" t="s">
        <v>12</v>
      </c>
      <c r="F41">
        <v>26.967019034549502</v>
      </c>
    </row>
    <row r="42" spans="2:6" x14ac:dyDescent="0.2">
      <c r="B42" t="s">
        <v>51</v>
      </c>
      <c r="C42" t="s">
        <v>12</v>
      </c>
      <c r="D42">
        <v>0.35992793645709698</v>
      </c>
      <c r="E42" t="s">
        <v>12</v>
      </c>
      <c r="F42">
        <v>1.36274131760001</v>
      </c>
    </row>
    <row r="43" spans="2:6" x14ac:dyDescent="0.2">
      <c r="B43" t="s">
        <v>52</v>
      </c>
      <c r="C43" t="s">
        <v>12</v>
      </c>
      <c r="D43">
        <v>0.79404207039624397</v>
      </c>
      <c r="E43" t="s">
        <v>12</v>
      </c>
      <c r="F43">
        <v>0.34443063102662502</v>
      </c>
    </row>
    <row r="44" spans="2:6" x14ac:dyDescent="0.2">
      <c r="B44" t="s">
        <v>53</v>
      </c>
      <c r="C44" t="s">
        <v>12</v>
      </c>
      <c r="D44">
        <v>0.97855625953525305</v>
      </c>
      <c r="E44" t="s">
        <v>12</v>
      </c>
      <c r="F44">
        <v>0.38683519791811699</v>
      </c>
    </row>
    <row r="45" spans="2:6" x14ac:dyDescent="0.2">
      <c r="B45" t="s">
        <v>54</v>
      </c>
      <c r="C45" t="s">
        <v>12</v>
      </c>
      <c r="D45">
        <v>1.81189968250691</v>
      </c>
      <c r="E45" t="s">
        <v>12</v>
      </c>
      <c r="F45">
        <v>0.58394140563905195</v>
      </c>
    </row>
    <row r="46" spans="2:6" x14ac:dyDescent="0.2">
      <c r="B46" t="s">
        <v>55</v>
      </c>
      <c r="C46" t="s">
        <v>12</v>
      </c>
      <c r="D46">
        <v>3.06855461932718</v>
      </c>
      <c r="E46" t="s">
        <v>12</v>
      </c>
      <c r="F46">
        <v>21.687002820894101</v>
      </c>
    </row>
    <row r="47" spans="2:6" x14ac:dyDescent="0.2">
      <c r="B47" t="s">
        <v>56</v>
      </c>
      <c r="C47" t="s">
        <v>12</v>
      </c>
      <c r="D47">
        <v>3.40998989436775</v>
      </c>
      <c r="E47" t="s">
        <v>12</v>
      </c>
      <c r="F47">
        <v>1.2020680680871001</v>
      </c>
    </row>
    <row r="48" spans="2:6" x14ac:dyDescent="0.2">
      <c r="B48" t="s">
        <v>57</v>
      </c>
      <c r="C48" t="s">
        <v>12</v>
      </c>
      <c r="D48">
        <v>0.96051662694662798</v>
      </c>
      <c r="E48" t="s">
        <v>12</v>
      </c>
      <c r="F48">
        <v>96.917122863233004</v>
      </c>
    </row>
    <row r="49" spans="2:6" x14ac:dyDescent="0.2">
      <c r="B49" t="s">
        <v>58</v>
      </c>
      <c r="C49" t="s">
        <v>12</v>
      </c>
      <c r="D49">
        <v>65.843059114180505</v>
      </c>
      <c r="E49" t="s">
        <v>31</v>
      </c>
      <c r="F49">
        <v>901.00190800242103</v>
      </c>
    </row>
    <row r="50" spans="2:6" x14ac:dyDescent="0.2">
      <c r="B50" t="s">
        <v>59</v>
      </c>
      <c r="C50" t="s">
        <v>12</v>
      </c>
      <c r="D50">
        <v>29.301196513697501</v>
      </c>
      <c r="E50" t="s">
        <v>31</v>
      </c>
      <c r="F50">
        <v>901.00201038829903</v>
      </c>
    </row>
    <row r="51" spans="2:6" x14ac:dyDescent="0.2">
      <c r="B51" t="s">
        <v>60</v>
      </c>
      <c r="C51" t="s">
        <v>12</v>
      </c>
      <c r="D51">
        <v>20.888749296776901</v>
      </c>
      <c r="E51" t="s">
        <v>31</v>
      </c>
      <c r="F51">
        <v>901.00185070093698</v>
      </c>
    </row>
    <row r="52" spans="2:6" x14ac:dyDescent="0.2">
      <c r="B52" t="s">
        <v>61</v>
      </c>
      <c r="C52" t="s">
        <v>12</v>
      </c>
      <c r="D52">
        <v>37.013537867925997</v>
      </c>
      <c r="E52" t="s">
        <v>31</v>
      </c>
      <c r="F52">
        <v>901.00188754871397</v>
      </c>
    </row>
    <row r="53" spans="2:6" x14ac:dyDescent="0.2">
      <c r="B53" t="s">
        <v>62</v>
      </c>
      <c r="C53" t="s">
        <v>12</v>
      </c>
      <c r="D53">
        <v>298.51902849413398</v>
      </c>
      <c r="E53" t="s">
        <v>31</v>
      </c>
      <c r="F53">
        <v>901.00195747520695</v>
      </c>
    </row>
    <row r="54" spans="2:6" x14ac:dyDescent="0.2">
      <c r="B54" t="s">
        <v>63</v>
      </c>
      <c r="C54" t="s">
        <v>31</v>
      </c>
      <c r="D54">
        <v>901.00209863204498</v>
      </c>
      <c r="E54" t="s">
        <v>31</v>
      </c>
      <c r="F54">
        <v>901.00181066337905</v>
      </c>
    </row>
    <row r="55" spans="2:6" x14ac:dyDescent="0.2">
      <c r="B55" t="s">
        <v>64</v>
      </c>
      <c r="C55" t="s">
        <v>12</v>
      </c>
      <c r="D55">
        <v>172.831302924081</v>
      </c>
      <c r="E55" t="s">
        <v>31</v>
      </c>
      <c r="F55">
        <v>901.00172675028398</v>
      </c>
    </row>
    <row r="56" spans="2:6" x14ac:dyDescent="0.2">
      <c r="B56" t="s">
        <v>65</v>
      </c>
      <c r="C56" t="s">
        <v>12</v>
      </c>
      <c r="D56">
        <v>179.56331700924699</v>
      </c>
      <c r="E56" t="s">
        <v>31</v>
      </c>
      <c r="F56">
        <v>901.00191876757799</v>
      </c>
    </row>
    <row r="57" spans="2:6" x14ac:dyDescent="0.2">
      <c r="B57" t="s">
        <v>66</v>
      </c>
      <c r="C57" t="s">
        <v>31</v>
      </c>
      <c r="D57">
        <v>901.00218167435298</v>
      </c>
      <c r="E57" t="s">
        <v>31</v>
      </c>
      <c r="F57">
        <v>901.00191904511303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ED53-A48C-4AF2-B2A6-0A4D0B436A3D}">
  <dimension ref="A1:E57"/>
  <sheetViews>
    <sheetView workbookViewId="0">
      <selection activeCell="H16" sqref="H16"/>
    </sheetView>
  </sheetViews>
  <sheetFormatPr baseColWidth="10" defaultColWidth="8.83203125" defaultRowHeight="15" x14ac:dyDescent="0.2"/>
  <cols>
    <col min="1" max="1" width="27.1640625" bestFit="1" customWidth="1"/>
  </cols>
  <sheetData>
    <row r="1" spans="1:5" x14ac:dyDescent="0.2">
      <c r="A1" t="s">
        <v>3</v>
      </c>
      <c r="B1" t="s">
        <v>4</v>
      </c>
      <c r="C1" t="s">
        <v>4</v>
      </c>
      <c r="D1" t="s">
        <v>4</v>
      </c>
      <c r="E1" t="s">
        <v>4</v>
      </c>
    </row>
    <row r="2" spans="1:5" x14ac:dyDescent="0.2">
      <c r="A2" t="s">
        <v>5</v>
      </c>
      <c r="B2" t="s">
        <v>6</v>
      </c>
      <c r="C2" t="s">
        <v>6</v>
      </c>
      <c r="D2" t="s">
        <v>7</v>
      </c>
      <c r="E2" t="s">
        <v>7</v>
      </c>
    </row>
    <row r="3" spans="1:5" x14ac:dyDescent="0.2">
      <c r="A3" t="s">
        <v>8</v>
      </c>
      <c r="B3" t="s">
        <v>9</v>
      </c>
      <c r="C3" t="s">
        <v>10</v>
      </c>
      <c r="D3" t="s">
        <v>9</v>
      </c>
      <c r="E3" t="s">
        <v>10</v>
      </c>
    </row>
    <row r="4" spans="1:5" x14ac:dyDescent="0.2">
      <c r="A4" t="s">
        <v>11</v>
      </c>
      <c r="B4" t="s">
        <v>12</v>
      </c>
      <c r="C4">
        <v>0.39536942401900799</v>
      </c>
      <c r="D4" t="s">
        <v>12</v>
      </c>
      <c r="E4">
        <v>0.37874025432392899</v>
      </c>
    </row>
    <row r="5" spans="1:5" x14ac:dyDescent="0.2">
      <c r="A5" t="s">
        <v>13</v>
      </c>
      <c r="B5" t="s">
        <v>12</v>
      </c>
      <c r="C5">
        <v>0.44095169007778101</v>
      </c>
      <c r="D5" t="s">
        <v>12</v>
      </c>
      <c r="E5">
        <v>0.30483258608728597</v>
      </c>
    </row>
    <row r="6" spans="1:5" x14ac:dyDescent="0.2">
      <c r="A6" t="s">
        <v>14</v>
      </c>
      <c r="B6" t="s">
        <v>12</v>
      </c>
      <c r="C6">
        <v>0.30690586473792703</v>
      </c>
      <c r="D6" t="s">
        <v>12</v>
      </c>
      <c r="E6">
        <v>0.27658146014437002</v>
      </c>
    </row>
    <row r="7" spans="1:5" x14ac:dyDescent="0.2">
      <c r="A7" t="s">
        <v>15</v>
      </c>
      <c r="B7" t="s">
        <v>12</v>
      </c>
      <c r="C7">
        <v>0.34994682110845998</v>
      </c>
      <c r="D7" t="s">
        <v>12</v>
      </c>
      <c r="E7">
        <v>0.452815993689</v>
      </c>
    </row>
    <row r="8" spans="1:5" x14ac:dyDescent="0.2">
      <c r="A8" t="s">
        <v>16</v>
      </c>
      <c r="B8" t="s">
        <v>12</v>
      </c>
      <c r="C8">
        <v>0.43839472020044901</v>
      </c>
      <c r="D8" t="s">
        <v>12</v>
      </c>
      <c r="E8">
        <v>0.45142384385689999</v>
      </c>
    </row>
    <row r="9" spans="1:5" x14ac:dyDescent="0.2">
      <c r="A9" t="s">
        <v>17</v>
      </c>
      <c r="B9" t="s">
        <v>12</v>
      </c>
      <c r="C9">
        <v>0.43949204403907</v>
      </c>
      <c r="D9" t="s">
        <v>12</v>
      </c>
      <c r="E9">
        <v>0.27998312795534702</v>
      </c>
    </row>
    <row r="10" spans="1:5" x14ac:dyDescent="0.2">
      <c r="A10" t="s">
        <v>18</v>
      </c>
      <c r="B10" t="s">
        <v>12</v>
      </c>
      <c r="C10">
        <v>0.28154916223138499</v>
      </c>
      <c r="D10" t="s">
        <v>12</v>
      </c>
      <c r="E10">
        <v>0.29106812318786901</v>
      </c>
    </row>
    <row r="11" spans="1:5" x14ac:dyDescent="0.2">
      <c r="A11" t="s">
        <v>19</v>
      </c>
      <c r="B11" t="s">
        <v>12</v>
      </c>
      <c r="C11">
        <v>0.291965117212384</v>
      </c>
      <c r="D11" t="s">
        <v>12</v>
      </c>
      <c r="E11">
        <v>0.47907778108492399</v>
      </c>
    </row>
    <row r="12" spans="1:5" x14ac:dyDescent="0.2">
      <c r="A12" t="s">
        <v>20</v>
      </c>
      <c r="B12" t="s">
        <v>12</v>
      </c>
      <c r="C12">
        <v>0.26844942569732599</v>
      </c>
      <c r="D12" t="s">
        <v>12</v>
      </c>
      <c r="E12">
        <v>0.31233215192332803</v>
      </c>
    </row>
    <row r="13" spans="1:5" x14ac:dyDescent="0.2">
      <c r="A13" t="s">
        <v>21</v>
      </c>
      <c r="B13" t="s">
        <v>12</v>
      </c>
      <c r="C13">
        <v>0.42887122789397802</v>
      </c>
      <c r="D13" t="s">
        <v>12</v>
      </c>
      <c r="E13">
        <v>0.29372300999238998</v>
      </c>
    </row>
    <row r="14" spans="1:5" x14ac:dyDescent="0.2">
      <c r="A14" t="s">
        <v>22</v>
      </c>
      <c r="B14" t="s">
        <v>12</v>
      </c>
      <c r="C14">
        <v>0.32461633998900602</v>
      </c>
      <c r="D14" t="s">
        <v>12</v>
      </c>
      <c r="E14">
        <v>23.0913356197997</v>
      </c>
    </row>
    <row r="15" spans="1:5" x14ac:dyDescent="0.2">
      <c r="A15" t="s">
        <v>23</v>
      </c>
      <c r="B15" t="s">
        <v>12</v>
      </c>
      <c r="C15">
        <v>0.31886772997677298</v>
      </c>
      <c r="D15" t="s">
        <v>12</v>
      </c>
      <c r="E15">
        <v>1.1415683832019501</v>
      </c>
    </row>
    <row r="16" spans="1:5" x14ac:dyDescent="0.2">
      <c r="A16" t="s">
        <v>24</v>
      </c>
      <c r="B16" t="s">
        <v>12</v>
      </c>
      <c r="C16">
        <v>0.33435477595776297</v>
      </c>
      <c r="D16" t="s">
        <v>12</v>
      </c>
      <c r="E16">
        <v>0.45586450072005302</v>
      </c>
    </row>
    <row r="17" spans="1:5" x14ac:dyDescent="0.2">
      <c r="A17" t="s">
        <v>25</v>
      </c>
      <c r="B17" t="s">
        <v>12</v>
      </c>
      <c r="C17">
        <v>0.75003217672929101</v>
      </c>
      <c r="D17" t="s">
        <v>12</v>
      </c>
      <c r="E17">
        <v>0.33520016865804703</v>
      </c>
    </row>
    <row r="18" spans="1:5" x14ac:dyDescent="0.2">
      <c r="A18" t="s">
        <v>26</v>
      </c>
      <c r="B18" t="s">
        <v>12</v>
      </c>
      <c r="C18">
        <v>1.27497266884893</v>
      </c>
      <c r="D18" t="s">
        <v>12</v>
      </c>
      <c r="E18">
        <v>0.55847975891083401</v>
      </c>
    </row>
    <row r="19" spans="1:5" x14ac:dyDescent="0.2">
      <c r="A19" t="s">
        <v>27</v>
      </c>
      <c r="B19" t="s">
        <v>12</v>
      </c>
      <c r="C19">
        <v>0.934222427662462</v>
      </c>
      <c r="D19" t="s">
        <v>12</v>
      </c>
      <c r="E19">
        <v>18.995742673054298</v>
      </c>
    </row>
    <row r="20" spans="1:5" x14ac:dyDescent="0.2">
      <c r="A20" t="s">
        <v>28</v>
      </c>
      <c r="B20" t="s">
        <v>12</v>
      </c>
      <c r="C20">
        <v>1.43122094683349</v>
      </c>
      <c r="D20" t="s">
        <v>12</v>
      </c>
      <c r="E20">
        <v>0.99386597517877795</v>
      </c>
    </row>
    <row r="21" spans="1:5" x14ac:dyDescent="0.2">
      <c r="A21" t="s">
        <v>29</v>
      </c>
      <c r="B21" t="s">
        <v>12</v>
      </c>
      <c r="C21">
        <v>0.67605916503816799</v>
      </c>
      <c r="D21" t="s">
        <v>12</v>
      </c>
      <c r="E21">
        <v>111.016448976006</v>
      </c>
    </row>
    <row r="22" spans="1:5" x14ac:dyDescent="0.2">
      <c r="A22" t="s">
        <v>30</v>
      </c>
      <c r="B22" t="s">
        <v>12</v>
      </c>
      <c r="C22">
        <v>39.651616115122998</v>
      </c>
      <c r="D22" t="s">
        <v>31</v>
      </c>
      <c r="E22">
        <v>901.00215909676604</v>
      </c>
    </row>
    <row r="23" spans="1:5" x14ac:dyDescent="0.2">
      <c r="A23" t="s">
        <v>32</v>
      </c>
      <c r="B23" t="s">
        <v>12</v>
      </c>
      <c r="C23">
        <v>31.794364672154099</v>
      </c>
      <c r="D23" t="s">
        <v>31</v>
      </c>
      <c r="E23">
        <v>901.00202558422404</v>
      </c>
    </row>
    <row r="24" spans="1:5" x14ac:dyDescent="0.2">
      <c r="A24" t="s">
        <v>33</v>
      </c>
      <c r="B24" t="s">
        <v>12</v>
      </c>
      <c r="C24">
        <v>142.11603824514799</v>
      </c>
      <c r="D24" t="s">
        <v>31</v>
      </c>
      <c r="E24">
        <v>901.00222840020399</v>
      </c>
    </row>
    <row r="25" spans="1:5" x14ac:dyDescent="0.2">
      <c r="A25" t="s">
        <v>34</v>
      </c>
      <c r="B25" t="s">
        <v>12</v>
      </c>
      <c r="C25">
        <v>24.9225847311317</v>
      </c>
      <c r="D25" t="s">
        <v>31</v>
      </c>
      <c r="E25">
        <v>901.00271424697701</v>
      </c>
    </row>
    <row r="26" spans="1:5" x14ac:dyDescent="0.2">
      <c r="A26" t="s">
        <v>35</v>
      </c>
      <c r="B26" t="s">
        <v>12</v>
      </c>
      <c r="C26">
        <v>206.765088517218</v>
      </c>
      <c r="D26" t="s">
        <v>31</v>
      </c>
      <c r="E26">
        <v>901.00265721278197</v>
      </c>
    </row>
    <row r="27" spans="1:5" x14ac:dyDescent="0.2">
      <c r="A27" t="s">
        <v>36</v>
      </c>
      <c r="B27" t="s">
        <v>31</v>
      </c>
      <c r="C27">
        <v>901.00236235698605</v>
      </c>
      <c r="D27" t="s">
        <v>31</v>
      </c>
      <c r="E27">
        <v>901.00257085589601</v>
      </c>
    </row>
    <row r="28" spans="1:5" x14ac:dyDescent="0.2">
      <c r="A28" t="s">
        <v>37</v>
      </c>
      <c r="B28" t="s">
        <v>12</v>
      </c>
      <c r="C28">
        <v>719.27033880399495</v>
      </c>
      <c r="D28" t="s">
        <v>31</v>
      </c>
      <c r="E28">
        <v>901.00213734898705</v>
      </c>
    </row>
    <row r="29" spans="1:5" x14ac:dyDescent="0.2">
      <c r="A29" t="s">
        <v>38</v>
      </c>
      <c r="B29" t="s">
        <v>12</v>
      </c>
      <c r="C29">
        <v>129.88371861586299</v>
      </c>
      <c r="D29" t="s">
        <v>31</v>
      </c>
      <c r="E29">
        <v>901.00228293379701</v>
      </c>
    </row>
    <row r="30" spans="1:5" x14ac:dyDescent="0.2">
      <c r="A30" t="s">
        <v>39</v>
      </c>
      <c r="B30" t="s">
        <v>31</v>
      </c>
      <c r="C30">
        <v>901.00222073867894</v>
      </c>
      <c r="D30" t="s">
        <v>31</v>
      </c>
      <c r="E30">
        <v>901.002233264967</v>
      </c>
    </row>
    <row r="31" spans="1:5" x14ac:dyDescent="0.2">
      <c r="A31" t="s">
        <v>40</v>
      </c>
      <c r="B31" t="s">
        <v>12</v>
      </c>
      <c r="C31">
        <v>0.27743201563134701</v>
      </c>
      <c r="D31" t="s">
        <v>12</v>
      </c>
      <c r="E31">
        <v>0.28254896914586403</v>
      </c>
    </row>
    <row r="32" spans="1:5" x14ac:dyDescent="0.2">
      <c r="A32" t="s">
        <v>41</v>
      </c>
      <c r="B32" t="s">
        <v>12</v>
      </c>
      <c r="C32">
        <v>0.28831899492070001</v>
      </c>
      <c r="D32" t="s">
        <v>12</v>
      </c>
      <c r="E32">
        <v>0.30585748702287602</v>
      </c>
    </row>
    <row r="33" spans="1:5" x14ac:dyDescent="0.2">
      <c r="A33" t="s">
        <v>42</v>
      </c>
      <c r="B33" t="s">
        <v>12</v>
      </c>
      <c r="C33">
        <v>0.42539055785164198</v>
      </c>
      <c r="D33" t="s">
        <v>12</v>
      </c>
      <c r="E33">
        <v>0.37679908331483603</v>
      </c>
    </row>
    <row r="34" spans="1:5" x14ac:dyDescent="0.2">
      <c r="A34" t="s">
        <v>43</v>
      </c>
      <c r="B34" t="s">
        <v>12</v>
      </c>
      <c r="C34">
        <v>0.43302229372784401</v>
      </c>
      <c r="D34" t="s">
        <v>12</v>
      </c>
      <c r="E34">
        <v>0.36824545683339199</v>
      </c>
    </row>
    <row r="35" spans="1:5" x14ac:dyDescent="0.2">
      <c r="A35" t="s">
        <v>44</v>
      </c>
      <c r="B35" t="s">
        <v>12</v>
      </c>
      <c r="C35">
        <v>0.27980975667014701</v>
      </c>
      <c r="D35" t="s">
        <v>12</v>
      </c>
      <c r="E35">
        <v>0.42468491615727499</v>
      </c>
    </row>
    <row r="36" spans="1:5" x14ac:dyDescent="0.2">
      <c r="A36" t="s">
        <v>45</v>
      </c>
      <c r="B36" t="s">
        <v>12</v>
      </c>
      <c r="C36">
        <v>0.422941195778548</v>
      </c>
      <c r="D36" t="s">
        <v>12</v>
      </c>
      <c r="E36">
        <v>0.420027633197605</v>
      </c>
    </row>
    <row r="37" spans="1:5" x14ac:dyDescent="0.2">
      <c r="A37" t="s">
        <v>46</v>
      </c>
      <c r="B37" t="s">
        <v>12</v>
      </c>
      <c r="C37">
        <v>0.435220172163099</v>
      </c>
      <c r="D37" t="s">
        <v>12</v>
      </c>
      <c r="E37">
        <v>0.29247215483337602</v>
      </c>
    </row>
    <row r="38" spans="1:5" x14ac:dyDescent="0.2">
      <c r="A38" t="s">
        <v>47</v>
      </c>
      <c r="B38" t="s">
        <v>12</v>
      </c>
      <c r="C38">
        <v>0.45785448001697598</v>
      </c>
      <c r="D38" t="s">
        <v>12</v>
      </c>
      <c r="E38">
        <v>0.473809904884547</v>
      </c>
    </row>
    <row r="39" spans="1:5" x14ac:dyDescent="0.2">
      <c r="A39" t="s">
        <v>48</v>
      </c>
      <c r="B39" t="s">
        <v>12</v>
      </c>
      <c r="C39">
        <v>0.44569130614399899</v>
      </c>
      <c r="D39" t="s">
        <v>12</v>
      </c>
      <c r="E39">
        <v>0.45572497881948898</v>
      </c>
    </row>
    <row r="40" spans="1:5" x14ac:dyDescent="0.2">
      <c r="A40" t="s">
        <v>49</v>
      </c>
      <c r="B40" t="s">
        <v>12</v>
      </c>
      <c r="C40">
        <v>0.42827646387740897</v>
      </c>
      <c r="D40" t="s">
        <v>12</v>
      </c>
      <c r="E40">
        <v>0.28660064423456699</v>
      </c>
    </row>
    <row r="41" spans="1:5" x14ac:dyDescent="0.2">
      <c r="A41" t="s">
        <v>50</v>
      </c>
      <c r="B41" t="s">
        <v>12</v>
      </c>
      <c r="C41">
        <v>0.48931303992867398</v>
      </c>
      <c r="D41" t="s">
        <v>12</v>
      </c>
      <c r="E41">
        <v>23.315834772307401</v>
      </c>
    </row>
    <row r="42" spans="1:5" x14ac:dyDescent="0.2">
      <c r="A42" t="s">
        <v>51</v>
      </c>
      <c r="B42" t="s">
        <v>12</v>
      </c>
      <c r="C42">
        <v>0.45569282211363299</v>
      </c>
      <c r="D42" t="s">
        <v>12</v>
      </c>
      <c r="E42">
        <v>1.02424038387835</v>
      </c>
    </row>
    <row r="43" spans="1:5" x14ac:dyDescent="0.2">
      <c r="A43" t="s">
        <v>52</v>
      </c>
      <c r="B43" t="s">
        <v>12</v>
      </c>
      <c r="C43">
        <v>0.68832586891949099</v>
      </c>
      <c r="D43" t="s">
        <v>12</v>
      </c>
      <c r="E43">
        <v>0.433650268241763</v>
      </c>
    </row>
    <row r="44" spans="1:5" x14ac:dyDescent="0.2">
      <c r="A44" t="s">
        <v>53</v>
      </c>
      <c r="B44" t="s">
        <v>12</v>
      </c>
      <c r="C44">
        <v>0.57877637725323405</v>
      </c>
      <c r="D44" t="s">
        <v>12</v>
      </c>
      <c r="E44">
        <v>0.50046373810619105</v>
      </c>
    </row>
    <row r="45" spans="1:5" x14ac:dyDescent="0.2">
      <c r="A45" t="s">
        <v>54</v>
      </c>
      <c r="B45" t="s">
        <v>12</v>
      </c>
      <c r="C45">
        <v>1.18361430615186</v>
      </c>
      <c r="D45" t="s">
        <v>12</v>
      </c>
      <c r="E45">
        <v>0.52708150120452002</v>
      </c>
    </row>
    <row r="46" spans="1:5" x14ac:dyDescent="0.2">
      <c r="A46" t="s">
        <v>55</v>
      </c>
      <c r="B46" t="s">
        <v>12</v>
      </c>
      <c r="C46">
        <v>1.55465672304853</v>
      </c>
      <c r="D46" t="s">
        <v>12</v>
      </c>
      <c r="E46">
        <v>18.3874519988894</v>
      </c>
    </row>
    <row r="47" spans="1:5" x14ac:dyDescent="0.2">
      <c r="A47" t="s">
        <v>56</v>
      </c>
      <c r="B47" t="s">
        <v>12</v>
      </c>
      <c r="C47">
        <v>2.2976220464333799</v>
      </c>
      <c r="D47" t="s">
        <v>12</v>
      </c>
      <c r="E47">
        <v>0.79499940108507805</v>
      </c>
    </row>
    <row r="48" spans="1:5" x14ac:dyDescent="0.2">
      <c r="A48" t="s">
        <v>57</v>
      </c>
      <c r="B48" t="s">
        <v>12</v>
      </c>
      <c r="C48">
        <v>0.68695177230983895</v>
      </c>
      <c r="D48" t="s">
        <v>12</v>
      </c>
      <c r="E48">
        <v>114.206001447048</v>
      </c>
    </row>
    <row r="49" spans="1:5" x14ac:dyDescent="0.2">
      <c r="A49" t="s">
        <v>58</v>
      </c>
      <c r="B49" t="s">
        <v>12</v>
      </c>
      <c r="C49">
        <v>38.799865331966402</v>
      </c>
      <c r="D49" t="s">
        <v>31</v>
      </c>
      <c r="E49">
        <v>901.00227639917205</v>
      </c>
    </row>
    <row r="50" spans="1:5" x14ac:dyDescent="0.2">
      <c r="A50" t="s">
        <v>59</v>
      </c>
      <c r="B50" t="s">
        <v>12</v>
      </c>
      <c r="C50">
        <v>19.535529330838401</v>
      </c>
      <c r="D50" t="s">
        <v>31</v>
      </c>
      <c r="E50">
        <v>901.00202517304501</v>
      </c>
    </row>
    <row r="51" spans="1:5" x14ac:dyDescent="0.2">
      <c r="A51" t="s">
        <v>60</v>
      </c>
      <c r="B51" t="s">
        <v>12</v>
      </c>
      <c r="C51">
        <v>13.5964443162083</v>
      </c>
      <c r="D51" t="s">
        <v>31</v>
      </c>
      <c r="E51">
        <v>901.00226619606804</v>
      </c>
    </row>
    <row r="52" spans="1:5" x14ac:dyDescent="0.2">
      <c r="A52" t="s">
        <v>61</v>
      </c>
      <c r="B52" t="s">
        <v>12</v>
      </c>
      <c r="C52">
        <v>23.688566236290999</v>
      </c>
      <c r="D52" t="s">
        <v>31</v>
      </c>
      <c r="E52">
        <v>901.00228884396995</v>
      </c>
    </row>
    <row r="53" spans="1:5" x14ac:dyDescent="0.2">
      <c r="A53" t="s">
        <v>62</v>
      </c>
      <c r="B53" t="s">
        <v>12</v>
      </c>
      <c r="C53">
        <v>204.121299348305</v>
      </c>
      <c r="D53" t="s">
        <v>31</v>
      </c>
      <c r="E53">
        <v>901.00220470782301</v>
      </c>
    </row>
    <row r="54" spans="1:5" x14ac:dyDescent="0.2">
      <c r="A54" t="s">
        <v>63</v>
      </c>
      <c r="B54" t="s">
        <v>31</v>
      </c>
      <c r="C54">
        <v>901.00251771882097</v>
      </c>
      <c r="D54" t="s">
        <v>31</v>
      </c>
      <c r="E54">
        <v>901.00222808588296</v>
      </c>
    </row>
    <row r="55" spans="1:5" x14ac:dyDescent="0.2">
      <c r="A55" t="s">
        <v>64</v>
      </c>
      <c r="B55" t="s">
        <v>12</v>
      </c>
      <c r="C55">
        <v>126.003246536012</v>
      </c>
      <c r="D55" t="s">
        <v>31</v>
      </c>
      <c r="E55">
        <v>901.00229359697505</v>
      </c>
    </row>
    <row r="56" spans="1:5" x14ac:dyDescent="0.2">
      <c r="A56" t="s">
        <v>65</v>
      </c>
      <c r="B56" t="s">
        <v>12</v>
      </c>
      <c r="C56">
        <v>128.965270237065</v>
      </c>
      <c r="D56" t="s">
        <v>31</v>
      </c>
      <c r="E56">
        <v>901.00230221310596</v>
      </c>
    </row>
    <row r="57" spans="1:5" x14ac:dyDescent="0.2">
      <c r="A57" t="s">
        <v>66</v>
      </c>
      <c r="B57" t="s">
        <v>31</v>
      </c>
      <c r="C57">
        <v>901.00239652208904</v>
      </c>
      <c r="D57" t="s">
        <v>31</v>
      </c>
      <c r="E57">
        <v>901.00221448065702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CDD9-DE0A-40F2-AE1D-599B1B16D1D3}">
  <dimension ref="A1:O57"/>
  <sheetViews>
    <sheetView workbookViewId="0">
      <selection activeCell="I53" sqref="I53:I57"/>
    </sheetView>
  </sheetViews>
  <sheetFormatPr baseColWidth="10" defaultColWidth="8.83203125" defaultRowHeight="15" x14ac:dyDescent="0.2"/>
  <cols>
    <col min="1" max="1" width="26.83203125" bestFit="1" customWidth="1"/>
  </cols>
  <sheetData>
    <row r="1" spans="1:15" x14ac:dyDescent="0.2">
      <c r="A1" t="s">
        <v>3</v>
      </c>
      <c r="B1" t="s">
        <v>4</v>
      </c>
      <c r="C1" t="s">
        <v>4</v>
      </c>
      <c r="D1" t="s">
        <v>4</v>
      </c>
      <c r="E1" t="s">
        <v>4</v>
      </c>
      <c r="F1" t="s">
        <v>4</v>
      </c>
      <c r="G1" t="s">
        <v>4</v>
      </c>
      <c r="H1" t="s">
        <v>4</v>
      </c>
      <c r="I1" t="s">
        <v>4</v>
      </c>
    </row>
    <row r="2" spans="1:15" x14ac:dyDescent="0.2">
      <c r="A2" t="s">
        <v>5</v>
      </c>
      <c r="B2" t="s">
        <v>6</v>
      </c>
      <c r="C2" t="s">
        <v>6</v>
      </c>
      <c r="D2" t="s">
        <v>6</v>
      </c>
      <c r="E2" t="s">
        <v>6</v>
      </c>
      <c r="F2" t="s">
        <v>7</v>
      </c>
      <c r="G2" t="s">
        <v>7</v>
      </c>
      <c r="H2" t="s">
        <v>7</v>
      </c>
      <c r="I2" t="s">
        <v>7</v>
      </c>
    </row>
    <row r="3" spans="1:15" x14ac:dyDescent="0.2">
      <c r="A3" t="s">
        <v>8</v>
      </c>
      <c r="B3" t="s">
        <v>9</v>
      </c>
      <c r="C3" t="s">
        <v>67</v>
      </c>
      <c r="D3" t="s">
        <v>10</v>
      </c>
      <c r="E3" t="s">
        <v>68</v>
      </c>
      <c r="F3" t="s">
        <v>9</v>
      </c>
      <c r="G3" t="s">
        <v>67</v>
      </c>
      <c r="H3" t="s">
        <v>10</v>
      </c>
      <c r="I3" t="s">
        <v>68</v>
      </c>
    </row>
    <row r="4" spans="1:15" x14ac:dyDescent="0.2">
      <c r="A4" t="s">
        <v>11</v>
      </c>
      <c r="B4" t="s">
        <v>12</v>
      </c>
      <c r="C4">
        <v>0.37170117000000003</v>
      </c>
      <c r="D4">
        <v>0.35256295464932902</v>
      </c>
      <c r="E4">
        <v>30.924800000000001</v>
      </c>
      <c r="F4" t="s">
        <v>12</v>
      </c>
      <c r="G4">
        <v>0.36638263399999998</v>
      </c>
      <c r="H4">
        <v>0.353639677166938</v>
      </c>
      <c r="I4">
        <v>30.539776</v>
      </c>
    </row>
    <row r="5" spans="1:15" x14ac:dyDescent="0.2">
      <c r="A5" t="s">
        <v>13</v>
      </c>
      <c r="B5" t="s">
        <v>12</v>
      </c>
      <c r="C5">
        <v>0.36749617200000001</v>
      </c>
      <c r="D5">
        <v>0.35259909927845001</v>
      </c>
      <c r="E5">
        <v>31.436800000000002</v>
      </c>
      <c r="F5" t="s">
        <v>12</v>
      </c>
      <c r="G5">
        <v>0.40730074799999999</v>
      </c>
      <c r="H5">
        <v>0.39315102342516101</v>
      </c>
      <c r="I5">
        <v>32.083967999999999</v>
      </c>
    </row>
    <row r="6" spans="1:15" x14ac:dyDescent="0.2">
      <c r="A6" t="s">
        <v>14</v>
      </c>
      <c r="B6" t="s">
        <v>12</v>
      </c>
      <c r="C6">
        <v>0.36555934000000001</v>
      </c>
      <c r="D6">
        <v>0.35178964212536801</v>
      </c>
      <c r="E6">
        <v>31.100928</v>
      </c>
      <c r="F6" t="s">
        <v>12</v>
      </c>
      <c r="G6">
        <v>0.36358941900000002</v>
      </c>
      <c r="H6">
        <v>0.34875655546784401</v>
      </c>
      <c r="I6">
        <v>30.474240000000002</v>
      </c>
    </row>
    <row r="7" spans="1:15" x14ac:dyDescent="0.2">
      <c r="A7" t="s">
        <v>15</v>
      </c>
      <c r="B7" t="s">
        <v>12</v>
      </c>
      <c r="C7">
        <v>0.36022317500000001</v>
      </c>
      <c r="D7">
        <v>0.34643698483705498</v>
      </c>
      <c r="E7">
        <v>31.571967999999998</v>
      </c>
      <c r="F7" t="s">
        <v>12</v>
      </c>
      <c r="G7">
        <v>0.37653475800000002</v>
      </c>
      <c r="H7">
        <v>0.36163798533379998</v>
      </c>
      <c r="I7">
        <v>30.769151999999998</v>
      </c>
    </row>
    <row r="8" spans="1:15" x14ac:dyDescent="0.2">
      <c r="A8" t="s">
        <v>16</v>
      </c>
      <c r="B8" t="s">
        <v>12</v>
      </c>
      <c r="C8">
        <v>0.37388410300000002</v>
      </c>
      <c r="D8">
        <v>0.35839887801557702</v>
      </c>
      <c r="E8">
        <v>30.928896000000002</v>
      </c>
      <c r="F8" t="s">
        <v>12</v>
      </c>
      <c r="G8">
        <v>0.37065776099999997</v>
      </c>
      <c r="H8">
        <v>0.35658160410821399</v>
      </c>
      <c r="I8">
        <v>30.949376000000001</v>
      </c>
    </row>
    <row r="9" spans="1:15" x14ac:dyDescent="0.2">
      <c r="A9" t="s">
        <v>17</v>
      </c>
      <c r="B9" t="s">
        <v>12</v>
      </c>
      <c r="C9">
        <v>0.360437018</v>
      </c>
      <c r="D9">
        <v>0.34726630616933102</v>
      </c>
      <c r="E9">
        <v>31.285247999999999</v>
      </c>
      <c r="F9" t="s">
        <v>12</v>
      </c>
      <c r="G9">
        <v>0.37398014299999999</v>
      </c>
      <c r="H9">
        <v>0.36029697954654599</v>
      </c>
      <c r="I9">
        <v>31.027200000000001</v>
      </c>
    </row>
    <row r="10" spans="1:15" ht="18" x14ac:dyDescent="0.2">
      <c r="A10" t="s">
        <v>18</v>
      </c>
      <c r="B10" t="s">
        <v>12</v>
      </c>
      <c r="C10">
        <v>0.38968200200000003</v>
      </c>
      <c r="D10">
        <v>0.37416466325521403</v>
      </c>
      <c r="E10">
        <v>32.448512000000001</v>
      </c>
      <c r="F10" t="s">
        <v>12</v>
      </c>
      <c r="G10">
        <v>0.37268906000000002</v>
      </c>
      <c r="H10">
        <v>0.35877886880189103</v>
      </c>
      <c r="I10">
        <v>30.887936</v>
      </c>
      <c r="O10" s="1" t="s">
        <v>0</v>
      </c>
    </row>
    <row r="11" spans="1:15" x14ac:dyDescent="0.2">
      <c r="A11" t="s">
        <v>19</v>
      </c>
      <c r="B11" t="s">
        <v>12</v>
      </c>
      <c r="C11">
        <v>0.38847253500000001</v>
      </c>
      <c r="D11">
        <v>0.37443238217383601</v>
      </c>
      <c r="E11">
        <v>34.553856000000003</v>
      </c>
      <c r="F11" t="s">
        <v>12</v>
      </c>
      <c r="G11">
        <v>0.4207475</v>
      </c>
      <c r="H11">
        <v>0.40618884097784702</v>
      </c>
      <c r="I11">
        <v>32.632832000000001</v>
      </c>
    </row>
    <row r="12" spans="1:15" ht="18" x14ac:dyDescent="0.2">
      <c r="A12" t="s">
        <v>20</v>
      </c>
      <c r="B12" t="s">
        <v>12</v>
      </c>
      <c r="C12">
        <v>0.36500804199999998</v>
      </c>
      <c r="D12">
        <v>0.35132429655641301</v>
      </c>
      <c r="E12">
        <v>32.043008</v>
      </c>
      <c r="F12" t="s">
        <v>12</v>
      </c>
      <c r="G12">
        <v>0.41249323399999999</v>
      </c>
      <c r="H12">
        <v>0.39786667190492098</v>
      </c>
      <c r="I12">
        <v>32.808959999999999</v>
      </c>
      <c r="O12" s="1" t="s">
        <v>2</v>
      </c>
    </row>
    <row r="13" spans="1:15" x14ac:dyDescent="0.2">
      <c r="A13" t="s">
        <v>21</v>
      </c>
      <c r="B13" t="s">
        <v>12</v>
      </c>
      <c r="C13">
        <v>0.379399347</v>
      </c>
      <c r="D13">
        <v>0.36499018222093499</v>
      </c>
      <c r="E13">
        <v>32.575488</v>
      </c>
      <c r="F13" t="s">
        <v>12</v>
      </c>
      <c r="G13">
        <v>0.38664240100000002</v>
      </c>
      <c r="H13">
        <v>0.37617990933358603</v>
      </c>
      <c r="I13">
        <v>30.519296000000001</v>
      </c>
    </row>
    <row r="14" spans="1:15" x14ac:dyDescent="0.2">
      <c r="A14" t="s">
        <v>22</v>
      </c>
      <c r="B14" t="s">
        <v>12</v>
      </c>
      <c r="C14">
        <v>0.45833563399999999</v>
      </c>
      <c r="D14">
        <v>0.444016648456454</v>
      </c>
      <c r="E14">
        <v>41.705472</v>
      </c>
      <c r="F14" t="s">
        <v>12</v>
      </c>
      <c r="G14">
        <v>25.401917533999999</v>
      </c>
      <c r="H14">
        <v>25.3312862087041</v>
      </c>
      <c r="I14">
        <v>894.30016000000001</v>
      </c>
    </row>
    <row r="15" spans="1:15" x14ac:dyDescent="0.2">
      <c r="A15" t="s">
        <v>23</v>
      </c>
      <c r="B15" t="s">
        <v>12</v>
      </c>
      <c r="C15">
        <v>0.450065722</v>
      </c>
      <c r="D15">
        <v>0.437748179771006</v>
      </c>
      <c r="E15">
        <v>41.422848000000002</v>
      </c>
      <c r="F15" t="s">
        <v>12</v>
      </c>
      <c r="G15">
        <v>1.471561855</v>
      </c>
      <c r="H15">
        <v>1.4557049348950299</v>
      </c>
      <c r="I15">
        <v>82.153471999999994</v>
      </c>
    </row>
    <row r="16" spans="1:15" x14ac:dyDescent="0.2">
      <c r="A16" t="s">
        <v>24</v>
      </c>
      <c r="B16" t="s">
        <v>12</v>
      </c>
      <c r="C16">
        <v>0.46176354600000002</v>
      </c>
      <c r="D16">
        <v>0.44778541382402098</v>
      </c>
      <c r="E16">
        <v>41.910271999999999</v>
      </c>
      <c r="F16" t="s">
        <v>12</v>
      </c>
      <c r="G16">
        <v>0.36912782999999999</v>
      </c>
      <c r="H16">
        <v>0.35619693994522</v>
      </c>
      <c r="I16">
        <v>30.900224000000001</v>
      </c>
    </row>
    <row r="17" spans="1:9" x14ac:dyDescent="0.2">
      <c r="A17" t="s">
        <v>25</v>
      </c>
      <c r="B17" t="s">
        <v>12</v>
      </c>
      <c r="C17">
        <v>0.92442901899999996</v>
      </c>
      <c r="D17">
        <v>0.91239783912897099</v>
      </c>
      <c r="E17">
        <v>71.548928000000004</v>
      </c>
      <c r="F17" t="s">
        <v>12</v>
      </c>
      <c r="G17">
        <v>0.42824073099999999</v>
      </c>
      <c r="H17">
        <v>0.41238594613969298</v>
      </c>
      <c r="I17">
        <v>31.674368000000001</v>
      </c>
    </row>
    <row r="18" spans="1:9" x14ac:dyDescent="0.2">
      <c r="A18" t="s">
        <v>26</v>
      </c>
      <c r="B18" t="s">
        <v>12</v>
      </c>
      <c r="C18">
        <v>1.9697586680000001</v>
      </c>
      <c r="D18">
        <v>1.9561637835577099</v>
      </c>
      <c r="E18">
        <v>106.078208</v>
      </c>
      <c r="F18" t="s">
        <v>12</v>
      </c>
      <c r="G18">
        <v>0.62375543099999997</v>
      </c>
      <c r="H18">
        <v>0.60743458569049802</v>
      </c>
      <c r="I18">
        <v>39.194623999999997</v>
      </c>
    </row>
    <row r="19" spans="1:9" x14ac:dyDescent="0.2">
      <c r="A19" t="s">
        <v>27</v>
      </c>
      <c r="B19" t="s">
        <v>12</v>
      </c>
      <c r="C19">
        <v>1.4209599909999999</v>
      </c>
      <c r="D19">
        <v>1.40829505678266</v>
      </c>
      <c r="E19">
        <v>108.76927999999999</v>
      </c>
      <c r="F19" t="s">
        <v>12</v>
      </c>
      <c r="G19">
        <v>22.483759171999999</v>
      </c>
      <c r="H19">
        <v>22.412962074391501</v>
      </c>
      <c r="I19">
        <v>773.44358399999999</v>
      </c>
    </row>
    <row r="20" spans="1:9" x14ac:dyDescent="0.2">
      <c r="A20" t="s">
        <v>28</v>
      </c>
      <c r="B20" t="s">
        <v>12</v>
      </c>
      <c r="C20">
        <v>2.2241288539999999</v>
      </c>
      <c r="D20">
        <v>2.2105223853140998</v>
      </c>
      <c r="E20">
        <v>184.71321599999999</v>
      </c>
      <c r="F20" t="s">
        <v>12</v>
      </c>
      <c r="G20">
        <v>1.291805517</v>
      </c>
      <c r="H20">
        <v>1.2780615212395701</v>
      </c>
      <c r="I20">
        <v>60.018687999999997</v>
      </c>
    </row>
    <row r="21" spans="1:9" x14ac:dyDescent="0.2">
      <c r="A21" t="s">
        <v>29</v>
      </c>
      <c r="B21" t="s">
        <v>12</v>
      </c>
      <c r="C21">
        <v>1.0562864569999999</v>
      </c>
      <c r="D21">
        <v>1.04202057234942</v>
      </c>
      <c r="E21">
        <v>74.137600000000006</v>
      </c>
      <c r="F21" t="s">
        <v>12</v>
      </c>
      <c r="G21">
        <v>92.498574617000003</v>
      </c>
      <c r="H21">
        <v>92.295607739128101</v>
      </c>
      <c r="I21">
        <v>2061.2464639999998</v>
      </c>
    </row>
    <row r="22" spans="1:9" x14ac:dyDescent="0.2">
      <c r="A22" t="s">
        <v>30</v>
      </c>
      <c r="B22" t="s">
        <v>12</v>
      </c>
      <c r="C22">
        <v>53.072916673999998</v>
      </c>
      <c r="D22">
        <v>53.133955759927602</v>
      </c>
      <c r="E22">
        <v>3319.5048959999999</v>
      </c>
      <c r="F22" t="s">
        <v>31</v>
      </c>
      <c r="G22">
        <v>901.17927167899995</v>
      </c>
      <c r="H22">
        <v>901.00279042590398</v>
      </c>
      <c r="I22">
        <v>75.108351999999996</v>
      </c>
    </row>
    <row r="23" spans="1:9" x14ac:dyDescent="0.2">
      <c r="A23" t="s">
        <v>32</v>
      </c>
      <c r="B23" t="s">
        <v>12</v>
      </c>
      <c r="C23">
        <v>39.502209207999996</v>
      </c>
      <c r="D23">
        <v>39.533404789865003</v>
      </c>
      <c r="E23">
        <v>3081.1217919999999</v>
      </c>
      <c r="F23" t="s">
        <v>31</v>
      </c>
      <c r="G23">
        <v>901.14991039799997</v>
      </c>
      <c r="H23">
        <v>901.00259748939402</v>
      </c>
      <c r="I23">
        <v>276.238336</v>
      </c>
    </row>
    <row r="24" spans="1:9" x14ac:dyDescent="0.2">
      <c r="A24" t="s">
        <v>33</v>
      </c>
      <c r="B24" t="s">
        <v>69</v>
      </c>
      <c r="C24">
        <v>177.95923346999999</v>
      </c>
      <c r="D24">
        <v>177.17309191077899</v>
      </c>
      <c r="E24">
        <v>16000</v>
      </c>
      <c r="F24" t="s">
        <v>31</v>
      </c>
      <c r="G24">
        <v>901.21969226299996</v>
      </c>
      <c r="H24">
        <v>901.00334416050396</v>
      </c>
      <c r="I24">
        <v>183.68512000000001</v>
      </c>
    </row>
    <row r="25" spans="1:9" x14ac:dyDescent="0.2">
      <c r="A25" t="s">
        <v>34</v>
      </c>
      <c r="B25" t="s">
        <v>12</v>
      </c>
      <c r="C25">
        <v>31.970679604000001</v>
      </c>
      <c r="D25">
        <v>32.019942345097597</v>
      </c>
      <c r="E25">
        <v>644.71449600000005</v>
      </c>
      <c r="F25" t="s">
        <v>31</v>
      </c>
      <c r="G25">
        <v>901.22969350799997</v>
      </c>
      <c r="H25">
        <v>901.00250957813103</v>
      </c>
      <c r="I25">
        <v>37.425151999999997</v>
      </c>
    </row>
    <row r="26" spans="1:9" x14ac:dyDescent="0.2">
      <c r="A26" t="s">
        <v>35</v>
      </c>
      <c r="B26" t="s">
        <v>69</v>
      </c>
      <c r="C26">
        <v>260.372107503</v>
      </c>
      <c r="D26">
        <v>259.31938717048598</v>
      </c>
      <c r="E26">
        <v>16000</v>
      </c>
      <c r="F26" t="s">
        <v>31</v>
      </c>
      <c r="G26">
        <v>901.22000897999999</v>
      </c>
      <c r="H26">
        <v>901.00303589366297</v>
      </c>
      <c r="I26">
        <v>219.11552</v>
      </c>
    </row>
    <row r="27" spans="1:9" x14ac:dyDescent="0.2">
      <c r="A27" t="s">
        <v>36</v>
      </c>
      <c r="B27" t="s">
        <v>31</v>
      </c>
      <c r="C27">
        <v>901.40213801699997</v>
      </c>
      <c r="D27">
        <v>901.00332589074901</v>
      </c>
      <c r="E27">
        <v>3204.7841279999998</v>
      </c>
      <c r="F27" t="s">
        <v>31</v>
      </c>
      <c r="G27">
        <v>901.27237233300002</v>
      </c>
      <c r="H27">
        <v>901.003083087503</v>
      </c>
      <c r="I27">
        <v>1328.35328</v>
      </c>
    </row>
    <row r="28" spans="1:9" x14ac:dyDescent="0.2">
      <c r="A28" t="s">
        <v>37</v>
      </c>
      <c r="B28" t="s">
        <v>31</v>
      </c>
      <c r="C28">
        <v>901.97226765999994</v>
      </c>
      <c r="D28">
        <v>901.00322547368705</v>
      </c>
      <c r="E28">
        <v>14050.902016</v>
      </c>
      <c r="F28" t="s">
        <v>31</v>
      </c>
      <c r="G28">
        <v>901.25537475900001</v>
      </c>
      <c r="H28">
        <v>901.00240038614697</v>
      </c>
      <c r="I28">
        <v>346.00140800000003</v>
      </c>
    </row>
    <row r="29" spans="1:9" x14ac:dyDescent="0.2">
      <c r="A29" t="s">
        <v>38</v>
      </c>
      <c r="B29" t="s">
        <v>69</v>
      </c>
      <c r="C29">
        <v>155.55259530500001</v>
      </c>
      <c r="D29">
        <v>154.66795812826601</v>
      </c>
      <c r="E29">
        <v>16000</v>
      </c>
      <c r="F29" t="s">
        <v>31</v>
      </c>
      <c r="G29">
        <v>901.18775323099999</v>
      </c>
      <c r="H29">
        <v>901.00308020319699</v>
      </c>
      <c r="I29">
        <v>223.72761600000001</v>
      </c>
    </row>
    <row r="30" spans="1:9" x14ac:dyDescent="0.2">
      <c r="A30" t="s">
        <v>39</v>
      </c>
      <c r="B30" t="s">
        <v>31</v>
      </c>
      <c r="C30">
        <v>901.22154842199996</v>
      </c>
      <c r="D30">
        <v>901.00314217340201</v>
      </c>
      <c r="E30">
        <v>1806.897152</v>
      </c>
      <c r="F30" t="s">
        <v>31</v>
      </c>
      <c r="G30">
        <v>901.09981373300002</v>
      </c>
      <c r="H30">
        <v>901.00296746287495</v>
      </c>
      <c r="I30">
        <v>153.690112</v>
      </c>
    </row>
    <row r="31" spans="1:9" x14ac:dyDescent="0.2">
      <c r="A31" t="s">
        <v>40</v>
      </c>
      <c r="B31" t="s">
        <v>12</v>
      </c>
      <c r="C31">
        <v>0.354268998</v>
      </c>
      <c r="D31">
        <v>0.34116567485034399</v>
      </c>
      <c r="E31">
        <v>31.236096</v>
      </c>
      <c r="F31" t="s">
        <v>12</v>
      </c>
      <c r="G31">
        <v>0.36366464599999998</v>
      </c>
      <c r="H31">
        <v>0.349566185846924</v>
      </c>
      <c r="I31">
        <v>30.932991999999999</v>
      </c>
    </row>
    <row r="32" spans="1:9" x14ac:dyDescent="0.2">
      <c r="A32" t="s">
        <v>41</v>
      </c>
      <c r="B32" t="s">
        <v>12</v>
      </c>
      <c r="C32">
        <v>0.359558131</v>
      </c>
      <c r="D32">
        <v>0.34612937644123998</v>
      </c>
      <c r="E32">
        <v>31.035392000000002</v>
      </c>
      <c r="F32" t="s">
        <v>12</v>
      </c>
      <c r="G32">
        <v>0.407323398</v>
      </c>
      <c r="H32">
        <v>0.433864194899797</v>
      </c>
      <c r="I32">
        <v>31.440895999999999</v>
      </c>
    </row>
    <row r="33" spans="1:9" x14ac:dyDescent="0.2">
      <c r="A33" t="s">
        <v>42</v>
      </c>
      <c r="B33" t="s">
        <v>12</v>
      </c>
      <c r="C33">
        <v>0.36460411700000001</v>
      </c>
      <c r="D33">
        <v>0.35015429556369698</v>
      </c>
      <c r="E33">
        <v>30.96576</v>
      </c>
      <c r="F33" t="s">
        <v>12</v>
      </c>
      <c r="G33">
        <v>0.38924339099999999</v>
      </c>
      <c r="H33">
        <v>0.386375089175999</v>
      </c>
      <c r="I33">
        <v>30.277632000000001</v>
      </c>
    </row>
    <row r="34" spans="1:9" x14ac:dyDescent="0.2">
      <c r="A34" t="s">
        <v>43</v>
      </c>
      <c r="B34" t="s">
        <v>12</v>
      </c>
      <c r="C34">
        <v>0.365724202</v>
      </c>
      <c r="D34">
        <v>0.35264925565570499</v>
      </c>
      <c r="E34">
        <v>31.834112000000001</v>
      </c>
      <c r="F34" t="s">
        <v>12</v>
      </c>
      <c r="G34">
        <v>0.37232700800000001</v>
      </c>
      <c r="H34">
        <v>0.35711285099387102</v>
      </c>
      <c r="I34">
        <v>30.793728000000002</v>
      </c>
    </row>
    <row r="35" spans="1:9" x14ac:dyDescent="0.2">
      <c r="A35" t="s">
        <v>44</v>
      </c>
      <c r="B35" t="s">
        <v>12</v>
      </c>
      <c r="C35">
        <v>0.35360860700000002</v>
      </c>
      <c r="D35">
        <v>0.33884047716855997</v>
      </c>
      <c r="E35">
        <v>31.088640000000002</v>
      </c>
      <c r="F35" t="s">
        <v>12</v>
      </c>
      <c r="G35">
        <v>0.36689011999999999</v>
      </c>
      <c r="H35">
        <v>0.35336263757198999</v>
      </c>
      <c r="I35">
        <v>30.375935999999999</v>
      </c>
    </row>
    <row r="36" spans="1:9" x14ac:dyDescent="0.2">
      <c r="A36" t="s">
        <v>45</v>
      </c>
      <c r="B36" t="s">
        <v>12</v>
      </c>
      <c r="C36">
        <v>0.38147131400000001</v>
      </c>
      <c r="D36">
        <v>0.367956642061471</v>
      </c>
      <c r="E36">
        <v>30.859264</v>
      </c>
      <c r="F36" t="s">
        <v>12</v>
      </c>
      <c r="G36">
        <v>0.37785390699999999</v>
      </c>
      <c r="H36">
        <v>0.36519704945385401</v>
      </c>
      <c r="I36">
        <v>30.834688</v>
      </c>
    </row>
    <row r="37" spans="1:9" x14ac:dyDescent="0.2">
      <c r="A37" t="s">
        <v>46</v>
      </c>
      <c r="B37" t="s">
        <v>12</v>
      </c>
      <c r="C37">
        <v>0.38548215400000002</v>
      </c>
      <c r="D37">
        <v>0.37214632518589402</v>
      </c>
      <c r="E37">
        <v>34.447360000000003</v>
      </c>
      <c r="F37" t="s">
        <v>12</v>
      </c>
      <c r="G37">
        <v>0.37015340000000002</v>
      </c>
      <c r="H37">
        <v>0.35620010085403903</v>
      </c>
      <c r="I37">
        <v>31.236096</v>
      </c>
    </row>
    <row r="38" spans="1:9" x14ac:dyDescent="0.2">
      <c r="A38" t="s">
        <v>47</v>
      </c>
      <c r="B38" t="s">
        <v>12</v>
      </c>
      <c r="C38">
        <v>0.379027163</v>
      </c>
      <c r="D38">
        <v>0.36403954867273502</v>
      </c>
      <c r="E38">
        <v>34.398207999999997</v>
      </c>
      <c r="F38" t="s">
        <v>12</v>
      </c>
      <c r="G38">
        <v>0.39598594599999998</v>
      </c>
      <c r="H38">
        <v>0.38331474643200603</v>
      </c>
      <c r="I38">
        <v>31.813631999999998</v>
      </c>
    </row>
    <row r="39" spans="1:9" x14ac:dyDescent="0.2">
      <c r="A39" t="s">
        <v>48</v>
      </c>
      <c r="B39" t="s">
        <v>12</v>
      </c>
      <c r="C39">
        <v>0.358172775</v>
      </c>
      <c r="D39">
        <v>0.345482842996716</v>
      </c>
      <c r="E39">
        <v>31.973375999999998</v>
      </c>
      <c r="F39" t="s">
        <v>12</v>
      </c>
      <c r="G39">
        <v>0.41457074300000002</v>
      </c>
      <c r="H39">
        <v>0.40004423726350002</v>
      </c>
      <c r="I39">
        <v>32.456704000000002</v>
      </c>
    </row>
    <row r="40" spans="1:9" x14ac:dyDescent="0.2">
      <c r="A40" t="s">
        <v>49</v>
      </c>
      <c r="B40" t="s">
        <v>12</v>
      </c>
      <c r="C40">
        <v>0.36623067300000001</v>
      </c>
      <c r="D40">
        <v>0.35152251832187098</v>
      </c>
      <c r="E40">
        <v>31.268864000000001</v>
      </c>
      <c r="F40" t="s">
        <v>12</v>
      </c>
      <c r="G40">
        <v>0.383824322</v>
      </c>
      <c r="H40">
        <v>0.36946197226643501</v>
      </c>
      <c r="I40">
        <v>31.506432</v>
      </c>
    </row>
    <row r="41" spans="1:9" x14ac:dyDescent="0.2">
      <c r="A41" t="s">
        <v>50</v>
      </c>
      <c r="B41" t="s">
        <v>12</v>
      </c>
      <c r="C41">
        <v>0.44747617099999998</v>
      </c>
      <c r="D41">
        <v>0.43203380424529297</v>
      </c>
      <c r="E41">
        <v>41.848832000000002</v>
      </c>
      <c r="F41" t="s">
        <v>12</v>
      </c>
      <c r="G41">
        <v>27.178099275000001</v>
      </c>
      <c r="H41">
        <v>27.0604176502674</v>
      </c>
      <c r="I41">
        <v>764.16614400000003</v>
      </c>
    </row>
    <row r="42" spans="1:9" x14ac:dyDescent="0.2">
      <c r="A42" t="s">
        <v>51</v>
      </c>
      <c r="B42" t="s">
        <v>12</v>
      </c>
      <c r="C42">
        <v>0.382177989</v>
      </c>
      <c r="D42">
        <v>0.36545700393617098</v>
      </c>
      <c r="E42">
        <v>35.229695999999997</v>
      </c>
      <c r="F42" t="s">
        <v>12</v>
      </c>
      <c r="G42">
        <v>1.3838561250000001</v>
      </c>
      <c r="H42">
        <v>1.3668179474771001</v>
      </c>
      <c r="I42">
        <v>73.986047999999997</v>
      </c>
    </row>
    <row r="43" spans="1:9" x14ac:dyDescent="0.2">
      <c r="A43" t="s">
        <v>52</v>
      </c>
      <c r="B43" t="s">
        <v>12</v>
      </c>
      <c r="C43">
        <v>0.75972451699999999</v>
      </c>
      <c r="D43">
        <v>0.74652355443686202</v>
      </c>
      <c r="E43">
        <v>49.049599999999998</v>
      </c>
      <c r="F43" t="s">
        <v>12</v>
      </c>
      <c r="G43">
        <v>0.36651642499999998</v>
      </c>
      <c r="H43">
        <v>0.352435937151312</v>
      </c>
      <c r="I43">
        <v>31.031296000000001</v>
      </c>
    </row>
    <row r="44" spans="1:9" x14ac:dyDescent="0.2">
      <c r="A44" t="s">
        <v>53</v>
      </c>
      <c r="B44" t="s">
        <v>12</v>
      </c>
      <c r="C44">
        <v>0.86417512900000004</v>
      </c>
      <c r="D44">
        <v>0.84973078127950397</v>
      </c>
      <c r="E44">
        <v>108.95359999999999</v>
      </c>
      <c r="F44" t="s">
        <v>12</v>
      </c>
      <c r="G44">
        <v>0.41331544199999998</v>
      </c>
      <c r="H44">
        <v>0.399024155922234</v>
      </c>
      <c r="I44">
        <v>31.289344</v>
      </c>
    </row>
    <row r="45" spans="1:9" x14ac:dyDescent="0.2">
      <c r="A45" t="s">
        <v>54</v>
      </c>
      <c r="B45" t="s">
        <v>12</v>
      </c>
      <c r="C45">
        <v>1.703066559</v>
      </c>
      <c r="D45">
        <v>1.68866577465087</v>
      </c>
      <c r="E45">
        <v>106.90560000000001</v>
      </c>
      <c r="F45" t="s">
        <v>12</v>
      </c>
      <c r="G45">
        <v>0.57881221900000002</v>
      </c>
      <c r="H45">
        <v>0.56624370813369695</v>
      </c>
      <c r="I45">
        <v>37.838847999999999</v>
      </c>
    </row>
    <row r="46" spans="1:9" x14ac:dyDescent="0.2">
      <c r="A46" t="s">
        <v>55</v>
      </c>
      <c r="B46" t="s">
        <v>12</v>
      </c>
      <c r="C46">
        <v>2.7123243800000001</v>
      </c>
      <c r="D46">
        <v>2.6964609911665298</v>
      </c>
      <c r="E46">
        <v>109.28128</v>
      </c>
      <c r="F46" t="s">
        <v>12</v>
      </c>
      <c r="G46">
        <v>20.543056511</v>
      </c>
      <c r="H46">
        <v>20.489531123079299</v>
      </c>
      <c r="I46">
        <v>663.46188800000004</v>
      </c>
    </row>
    <row r="47" spans="1:9" x14ac:dyDescent="0.2">
      <c r="A47" t="s">
        <v>56</v>
      </c>
      <c r="B47" t="s">
        <v>12</v>
      </c>
      <c r="C47">
        <v>3.0354348170000001</v>
      </c>
      <c r="D47">
        <v>3.0228782994672598</v>
      </c>
      <c r="E47">
        <v>192.21299200000001</v>
      </c>
      <c r="F47" t="s">
        <v>12</v>
      </c>
      <c r="G47">
        <v>1.1983381749999999</v>
      </c>
      <c r="H47">
        <v>1.1817632140591701</v>
      </c>
      <c r="I47">
        <v>55.635967999999998</v>
      </c>
    </row>
    <row r="48" spans="1:9" x14ac:dyDescent="0.2">
      <c r="A48" t="s">
        <v>57</v>
      </c>
      <c r="B48" t="s">
        <v>12</v>
      </c>
      <c r="C48">
        <v>0.89809556599999996</v>
      </c>
      <c r="D48">
        <v>0.88648732937872399</v>
      </c>
      <c r="E48">
        <v>102.580224</v>
      </c>
      <c r="F48" t="s">
        <v>12</v>
      </c>
      <c r="G48">
        <v>92.488239453000006</v>
      </c>
      <c r="H48">
        <v>92.246934560127499</v>
      </c>
      <c r="I48">
        <v>1761.1735040000001</v>
      </c>
    </row>
    <row r="49" spans="1:9" x14ac:dyDescent="0.2">
      <c r="A49" t="s">
        <v>58</v>
      </c>
      <c r="B49" t="s">
        <v>12</v>
      </c>
      <c r="C49">
        <v>50.555250676</v>
      </c>
      <c r="D49">
        <v>50.591725357808102</v>
      </c>
      <c r="E49">
        <v>3319.5581440000001</v>
      </c>
      <c r="F49" t="s">
        <v>31</v>
      </c>
      <c r="G49">
        <v>901.19180643599998</v>
      </c>
      <c r="H49">
        <v>901.00239353161305</v>
      </c>
      <c r="I49">
        <v>74.870784</v>
      </c>
    </row>
    <row r="50" spans="1:9" x14ac:dyDescent="0.2">
      <c r="A50" t="s">
        <v>59</v>
      </c>
      <c r="B50" t="s">
        <v>12</v>
      </c>
      <c r="C50">
        <v>27.279059081</v>
      </c>
      <c r="D50">
        <v>27.2840675022453</v>
      </c>
      <c r="E50">
        <v>3423.0681599999998</v>
      </c>
      <c r="F50" t="s">
        <v>31</v>
      </c>
      <c r="G50">
        <v>901.21070949800003</v>
      </c>
      <c r="H50">
        <v>901.002954396419</v>
      </c>
      <c r="I50">
        <v>187.51897600000001</v>
      </c>
    </row>
    <row r="51" spans="1:9" x14ac:dyDescent="0.2">
      <c r="A51" t="s">
        <v>60</v>
      </c>
      <c r="B51" t="s">
        <v>12</v>
      </c>
      <c r="C51">
        <v>17.597989979000001</v>
      </c>
      <c r="D51">
        <v>17.5949783213436</v>
      </c>
      <c r="E51">
        <v>1458.8149759999999</v>
      </c>
      <c r="F51" t="s">
        <v>31</v>
      </c>
      <c r="G51">
        <v>901.10410083800002</v>
      </c>
      <c r="H51">
        <v>901.00276552513196</v>
      </c>
      <c r="I51">
        <v>184.25036800000001</v>
      </c>
    </row>
    <row r="52" spans="1:9" x14ac:dyDescent="0.2">
      <c r="A52" t="s">
        <v>61</v>
      </c>
      <c r="B52" t="s">
        <v>12</v>
      </c>
      <c r="C52">
        <v>30.425882926</v>
      </c>
      <c r="D52">
        <v>30.462984854355401</v>
      </c>
      <c r="E52">
        <v>442.44992000000002</v>
      </c>
      <c r="F52" t="s">
        <v>31</v>
      </c>
      <c r="G52">
        <v>901.21606105700005</v>
      </c>
      <c r="H52">
        <v>901.00337086990396</v>
      </c>
      <c r="I52">
        <v>36.220928000000001</v>
      </c>
    </row>
    <row r="53" spans="1:9" x14ac:dyDescent="0.2">
      <c r="A53" t="s">
        <v>62</v>
      </c>
      <c r="B53" t="s">
        <v>69</v>
      </c>
      <c r="C53">
        <v>239.37582949200001</v>
      </c>
      <c r="D53">
        <v>238.470601148903</v>
      </c>
      <c r="E53">
        <v>16000</v>
      </c>
      <c r="F53" t="s">
        <v>31</v>
      </c>
      <c r="G53">
        <v>901.10926673799997</v>
      </c>
      <c r="H53">
        <v>901.00301178265295</v>
      </c>
      <c r="I53">
        <v>218.95987199999999</v>
      </c>
    </row>
    <row r="54" spans="1:9" x14ac:dyDescent="0.2">
      <c r="A54" t="s">
        <v>63</v>
      </c>
      <c r="B54" t="s">
        <v>31</v>
      </c>
      <c r="C54">
        <v>901.67238231299996</v>
      </c>
      <c r="D54">
        <v>901.00220683030705</v>
      </c>
      <c r="E54">
        <v>3475.0013439999998</v>
      </c>
      <c r="F54" t="s">
        <v>31</v>
      </c>
      <c r="G54">
        <v>901.20153868600005</v>
      </c>
      <c r="H54">
        <v>901.002746718004</v>
      </c>
      <c r="I54">
        <v>1328.9185279999999</v>
      </c>
    </row>
    <row r="55" spans="1:9" x14ac:dyDescent="0.2">
      <c r="A55" t="s">
        <v>64</v>
      </c>
      <c r="B55" t="s">
        <v>69</v>
      </c>
      <c r="C55">
        <v>162.352151878</v>
      </c>
      <c r="D55">
        <v>161.41139667853699</v>
      </c>
      <c r="E55">
        <v>16000</v>
      </c>
      <c r="F55" t="s">
        <v>31</v>
      </c>
      <c r="G55">
        <v>901.24150223499998</v>
      </c>
      <c r="H55">
        <v>901.00301091000404</v>
      </c>
      <c r="I55">
        <v>345.94406400000003</v>
      </c>
    </row>
    <row r="56" spans="1:9" x14ac:dyDescent="0.2">
      <c r="A56" t="s">
        <v>65</v>
      </c>
      <c r="B56" t="s">
        <v>69</v>
      </c>
      <c r="C56">
        <v>150.03076356299999</v>
      </c>
      <c r="D56">
        <v>149.18997938092701</v>
      </c>
      <c r="E56">
        <v>16000</v>
      </c>
      <c r="F56" t="s">
        <v>31</v>
      </c>
      <c r="G56">
        <v>901.293403173</v>
      </c>
      <c r="H56">
        <v>901.00290118437204</v>
      </c>
      <c r="I56">
        <v>223.75628800000001</v>
      </c>
    </row>
    <row r="57" spans="1:9" x14ac:dyDescent="0.2">
      <c r="A57" t="s">
        <v>66</v>
      </c>
      <c r="B57" t="s">
        <v>31</v>
      </c>
      <c r="C57">
        <v>901.229721068</v>
      </c>
      <c r="D57">
        <v>901.00229953136295</v>
      </c>
      <c r="E57">
        <v>1781.497856</v>
      </c>
      <c r="F57" t="s">
        <v>31</v>
      </c>
      <c r="G57">
        <v>901.18837494599995</v>
      </c>
      <c r="H57">
        <v>901.00347122922506</v>
      </c>
      <c r="I57">
        <v>152.78899200000001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647A-49CD-4CB6-93A5-54E5F617819B}">
  <dimension ref="A1:Z51"/>
  <sheetViews>
    <sheetView tabSelected="1" workbookViewId="0">
      <selection activeCell="L24" sqref="L24"/>
    </sheetView>
  </sheetViews>
  <sheetFormatPr baseColWidth="10" defaultColWidth="8.83203125" defaultRowHeight="15" x14ac:dyDescent="0.2"/>
  <cols>
    <col min="1" max="1" width="14.1640625" bestFit="1" customWidth="1"/>
    <col min="13" max="13" width="14.1640625" bestFit="1" customWidth="1"/>
  </cols>
  <sheetData>
    <row r="1" spans="1:26" x14ac:dyDescent="0.2">
      <c r="A1" t="s">
        <v>172</v>
      </c>
      <c r="N1" t="s">
        <v>173</v>
      </c>
      <c r="Z1" t="s">
        <v>114</v>
      </c>
    </row>
    <row r="2" spans="1:26" x14ac:dyDescent="0.2">
      <c r="A2" t="s">
        <v>108</v>
      </c>
      <c r="B2" t="s">
        <v>111</v>
      </c>
      <c r="C2" t="s">
        <v>113</v>
      </c>
      <c r="D2" t="s">
        <v>170</v>
      </c>
      <c r="E2" t="s">
        <v>171</v>
      </c>
      <c r="M2" t="s">
        <v>108</v>
      </c>
      <c r="N2" t="s">
        <v>111</v>
      </c>
      <c r="O2" t="s">
        <v>113</v>
      </c>
      <c r="P2" t="s">
        <v>170</v>
      </c>
      <c r="Q2" t="s">
        <v>171</v>
      </c>
      <c r="Z2" t="s">
        <v>115</v>
      </c>
    </row>
    <row r="3" spans="1:26" x14ac:dyDescent="0.2">
      <c r="A3" t="s">
        <v>114</v>
      </c>
      <c r="B3">
        <v>0.11244756</v>
      </c>
      <c r="C3">
        <v>0.113772972</v>
      </c>
      <c r="D3">
        <v>0.35600429214537099</v>
      </c>
      <c r="E3">
        <v>0.35538480523973698</v>
      </c>
      <c r="M3" t="s">
        <v>114</v>
      </c>
      <c r="N3">
        <v>6.3324160000000003</v>
      </c>
      <c r="O3">
        <v>6.2709760000000001</v>
      </c>
      <c r="P3">
        <v>30.924800000000001</v>
      </c>
      <c r="Q3">
        <v>30.539776</v>
      </c>
      <c r="Z3" t="s">
        <v>116</v>
      </c>
    </row>
    <row r="4" spans="1:26" x14ac:dyDescent="0.2">
      <c r="A4" t="s">
        <v>115</v>
      </c>
      <c r="B4">
        <v>0.21960044500000001</v>
      </c>
      <c r="C4">
        <v>0.221840754</v>
      </c>
      <c r="D4">
        <v>0.36084339395165399</v>
      </c>
      <c r="E4">
        <v>0.36112267989665198</v>
      </c>
      <c r="M4" t="s">
        <v>115</v>
      </c>
      <c r="N4">
        <v>6.303744</v>
      </c>
      <c r="O4">
        <v>6.1521920000000003</v>
      </c>
      <c r="P4">
        <v>31.436800000000002</v>
      </c>
      <c r="Q4">
        <v>32.083967999999999</v>
      </c>
      <c r="Z4" t="s">
        <v>117</v>
      </c>
    </row>
    <row r="5" spans="1:26" x14ac:dyDescent="0.2">
      <c r="A5" t="s">
        <v>116</v>
      </c>
      <c r="B5">
        <v>9.7503664000000004E-2</v>
      </c>
      <c r="C5">
        <v>0.100072827</v>
      </c>
      <c r="D5">
        <v>0.340483750216662</v>
      </c>
      <c r="E5">
        <v>0.38132703490555198</v>
      </c>
      <c r="M5" t="s">
        <v>116</v>
      </c>
      <c r="N5">
        <v>6.2054400000000003</v>
      </c>
      <c r="O5">
        <v>6.0784640000000003</v>
      </c>
      <c r="P5">
        <v>31.100928</v>
      </c>
      <c r="Q5">
        <v>30.474240000000002</v>
      </c>
      <c r="Z5" t="s">
        <v>118</v>
      </c>
    </row>
    <row r="6" spans="1:26" x14ac:dyDescent="0.2">
      <c r="A6" t="s">
        <v>117</v>
      </c>
      <c r="B6">
        <v>0.10509741</v>
      </c>
      <c r="C6">
        <v>0.105313641</v>
      </c>
      <c r="D6">
        <v>0.350411488674581</v>
      </c>
      <c r="E6">
        <v>0.35771398339420502</v>
      </c>
      <c r="M6" t="s">
        <v>117</v>
      </c>
      <c r="N6">
        <v>6.283264</v>
      </c>
      <c r="O6">
        <v>6.1685759999999998</v>
      </c>
      <c r="P6">
        <v>31.571967999999998</v>
      </c>
      <c r="Q6">
        <v>30.769151999999998</v>
      </c>
      <c r="Z6" t="s">
        <v>119</v>
      </c>
    </row>
    <row r="7" spans="1:26" x14ac:dyDescent="0.2">
      <c r="A7" t="s">
        <v>118</v>
      </c>
      <c r="B7">
        <v>9.4771300000000003E-2</v>
      </c>
      <c r="C7">
        <v>9.5055674000000007E-2</v>
      </c>
      <c r="D7">
        <v>0.35218038875609597</v>
      </c>
      <c r="E7">
        <v>0.34629368409514399</v>
      </c>
      <c r="M7" t="s">
        <v>118</v>
      </c>
      <c r="N7">
        <v>6.0784640000000003</v>
      </c>
      <c r="O7">
        <v>5.9637760000000002</v>
      </c>
      <c r="P7">
        <v>30.928896000000002</v>
      </c>
      <c r="Q7">
        <v>30.949376000000001</v>
      </c>
      <c r="Z7" t="s">
        <v>120</v>
      </c>
    </row>
    <row r="8" spans="1:26" x14ac:dyDescent="0.2">
      <c r="A8" t="s">
        <v>119</v>
      </c>
      <c r="B8">
        <v>0.110762124</v>
      </c>
      <c r="C8">
        <v>0.110468444</v>
      </c>
      <c r="D8">
        <v>0.3466861480847</v>
      </c>
      <c r="E8">
        <v>0.35680489800870402</v>
      </c>
      <c r="M8" t="s">
        <v>119</v>
      </c>
      <c r="N8">
        <v>6.1890559999999999</v>
      </c>
      <c r="O8">
        <v>6.2136319999999996</v>
      </c>
      <c r="P8">
        <v>31.285247999999999</v>
      </c>
      <c r="Q8">
        <v>31.027200000000001</v>
      </c>
      <c r="Z8" t="s">
        <v>121</v>
      </c>
    </row>
    <row r="9" spans="1:26" x14ac:dyDescent="0.2">
      <c r="A9" t="s">
        <v>120</v>
      </c>
      <c r="B9">
        <v>0.103812877</v>
      </c>
      <c r="C9">
        <v>0.10284903500000001</v>
      </c>
      <c r="D9">
        <v>0.34957290627062299</v>
      </c>
      <c r="E9">
        <v>0.35848832037299799</v>
      </c>
      <c r="M9" t="s">
        <v>120</v>
      </c>
      <c r="N9">
        <v>6.230016</v>
      </c>
      <c r="O9">
        <v>6.1685759999999998</v>
      </c>
      <c r="P9">
        <v>32.448512000000001</v>
      </c>
      <c r="Q9">
        <v>30.887936</v>
      </c>
      <c r="Z9" t="s">
        <v>122</v>
      </c>
    </row>
    <row r="10" spans="1:26" x14ac:dyDescent="0.2">
      <c r="A10" t="s">
        <v>121</v>
      </c>
      <c r="B10">
        <v>0.221237831</v>
      </c>
      <c r="C10">
        <v>0.223540244</v>
      </c>
      <c r="D10">
        <v>0.367333277128636</v>
      </c>
      <c r="E10">
        <v>0.40125190466642302</v>
      </c>
      <c r="M10" t="s">
        <v>121</v>
      </c>
      <c r="N10">
        <v>6.1849600000000002</v>
      </c>
      <c r="O10">
        <v>6.1890559999999999</v>
      </c>
      <c r="P10">
        <v>34.553856000000003</v>
      </c>
      <c r="Q10">
        <v>32.632832000000001</v>
      </c>
      <c r="Z10" t="s">
        <v>123</v>
      </c>
    </row>
    <row r="11" spans="1:26" x14ac:dyDescent="0.2">
      <c r="A11" t="s">
        <v>122</v>
      </c>
      <c r="B11">
        <v>0.23065189999999999</v>
      </c>
      <c r="C11">
        <v>0.233140597</v>
      </c>
      <c r="D11">
        <v>0.35535245481878502</v>
      </c>
      <c r="E11">
        <v>0.40653518214821799</v>
      </c>
      <c r="M11" t="s">
        <v>122</v>
      </c>
      <c r="N11">
        <v>6.3406079999999996</v>
      </c>
      <c r="O11">
        <v>6.2423039999999999</v>
      </c>
      <c r="P11">
        <v>32.043008</v>
      </c>
      <c r="Q11">
        <v>32.808959999999999</v>
      </c>
      <c r="Z11" t="s">
        <v>139</v>
      </c>
    </row>
    <row r="12" spans="1:26" x14ac:dyDescent="0.2">
      <c r="A12" t="s">
        <v>123</v>
      </c>
      <c r="B12">
        <v>0.133368608</v>
      </c>
      <c r="C12">
        <v>0.13125976</v>
      </c>
      <c r="D12">
        <v>0.35219176765531301</v>
      </c>
      <c r="E12">
        <v>0.35600841231644098</v>
      </c>
      <c r="M12" t="s">
        <v>123</v>
      </c>
      <c r="N12">
        <v>6.557696</v>
      </c>
      <c r="O12">
        <v>6.4757759999999998</v>
      </c>
      <c r="P12">
        <v>32.575488</v>
      </c>
      <c r="Q12">
        <v>30.519296000000001</v>
      </c>
      <c r="Z12" t="s">
        <v>124</v>
      </c>
    </row>
    <row r="13" spans="1:26" x14ac:dyDescent="0.2">
      <c r="A13" t="s">
        <v>139</v>
      </c>
      <c r="B13">
        <v>14.98442949</v>
      </c>
      <c r="C13">
        <v>14.991968522000001</v>
      </c>
      <c r="D13">
        <v>0.431900846771895</v>
      </c>
      <c r="E13">
        <v>27.732541572302502</v>
      </c>
      <c r="M13" t="s">
        <v>139</v>
      </c>
      <c r="N13">
        <v>12.759040000000001</v>
      </c>
      <c r="O13">
        <v>8.1756159999999998</v>
      </c>
      <c r="P13">
        <v>41.705472</v>
      </c>
      <c r="Q13">
        <v>894.30016000000001</v>
      </c>
      <c r="Z13" t="s">
        <v>125</v>
      </c>
    </row>
    <row r="14" spans="1:26" x14ac:dyDescent="0.2">
      <c r="A14" t="s">
        <v>124</v>
      </c>
      <c r="B14">
        <v>1.103876946</v>
      </c>
      <c r="C14">
        <v>1.110123379</v>
      </c>
      <c r="D14">
        <v>0.42094170581549401</v>
      </c>
      <c r="E14">
        <v>1.4852784844115301</v>
      </c>
      <c r="M14" t="s">
        <v>124</v>
      </c>
      <c r="N14">
        <v>6.8198400000000001</v>
      </c>
      <c r="O14">
        <v>6.7338240000000003</v>
      </c>
      <c r="P14">
        <v>41.422848000000002</v>
      </c>
      <c r="Q14">
        <v>82.153471999999994</v>
      </c>
      <c r="Z14" t="s">
        <v>126</v>
      </c>
    </row>
    <row r="15" spans="1:26" x14ac:dyDescent="0.2">
      <c r="A15" t="s">
        <v>125</v>
      </c>
      <c r="B15">
        <v>0.103748514</v>
      </c>
      <c r="C15">
        <v>0.10867394900000001</v>
      </c>
      <c r="D15">
        <v>0.4473332837224</v>
      </c>
      <c r="E15">
        <v>0.35742154810577598</v>
      </c>
      <c r="M15" t="s">
        <v>125</v>
      </c>
      <c r="N15">
        <v>6.2545919999999997</v>
      </c>
      <c r="O15">
        <v>6.2054400000000003</v>
      </c>
      <c r="P15">
        <v>41.910271999999999</v>
      </c>
      <c r="Q15">
        <v>30.900224000000001</v>
      </c>
      <c r="Z15" t="s">
        <v>127</v>
      </c>
    </row>
    <row r="16" spans="1:26" x14ac:dyDescent="0.2">
      <c r="A16" t="s">
        <v>126</v>
      </c>
      <c r="B16">
        <v>0.221674606</v>
      </c>
      <c r="C16">
        <v>0.22820383899999999</v>
      </c>
      <c r="D16">
        <v>1.1525586657225999</v>
      </c>
      <c r="E16">
        <v>0.399933689273893</v>
      </c>
      <c r="M16" t="s">
        <v>126</v>
      </c>
      <c r="N16">
        <v>6.4675840000000004</v>
      </c>
      <c r="O16">
        <v>6.4716800000000001</v>
      </c>
      <c r="P16">
        <v>71.548928000000004</v>
      </c>
      <c r="Q16">
        <v>31.674368000000001</v>
      </c>
      <c r="Z16" t="s">
        <v>140</v>
      </c>
    </row>
    <row r="17" spans="1:26" x14ac:dyDescent="0.2">
      <c r="A17" t="s">
        <v>127</v>
      </c>
      <c r="B17">
        <v>2.024685963</v>
      </c>
      <c r="C17">
        <v>0.39378183500000002</v>
      </c>
      <c r="D17">
        <v>2.0445491718128301</v>
      </c>
      <c r="E17">
        <v>0.60312035121023599</v>
      </c>
      <c r="M17" t="s">
        <v>127</v>
      </c>
      <c r="N17">
        <v>108.04428799999999</v>
      </c>
      <c r="O17">
        <v>9.8672640000000005</v>
      </c>
      <c r="P17">
        <v>106.078208</v>
      </c>
      <c r="Q17">
        <v>39.194623999999997</v>
      </c>
      <c r="Z17" t="s">
        <v>141</v>
      </c>
    </row>
    <row r="18" spans="1:26" x14ac:dyDescent="0.2">
      <c r="A18" t="s">
        <v>140</v>
      </c>
      <c r="B18">
        <v>12.893044789999999</v>
      </c>
      <c r="C18">
        <v>12.958363910999999</v>
      </c>
      <c r="D18">
        <v>1.4935459699481699</v>
      </c>
      <c r="E18">
        <v>23.318893126212</v>
      </c>
      <c r="M18" t="s">
        <v>140</v>
      </c>
      <c r="N18">
        <v>8.8186879999999999</v>
      </c>
      <c r="O18">
        <v>8.6958079999999995</v>
      </c>
      <c r="P18">
        <v>108.76927999999999</v>
      </c>
      <c r="Q18">
        <v>773.44358399999999</v>
      </c>
      <c r="Z18" t="s">
        <v>142</v>
      </c>
    </row>
    <row r="19" spans="1:26" x14ac:dyDescent="0.2">
      <c r="A19" t="s">
        <v>141</v>
      </c>
      <c r="B19">
        <v>2.676052678</v>
      </c>
      <c r="C19">
        <v>0.74224239000000003</v>
      </c>
      <c r="D19">
        <v>2.4599639819934902</v>
      </c>
      <c r="E19">
        <v>1.26049202401191</v>
      </c>
      <c r="M19" t="s">
        <v>141</v>
      </c>
      <c r="N19">
        <v>116.744192</v>
      </c>
      <c r="O19">
        <v>9.7443840000000002</v>
      </c>
      <c r="P19">
        <v>184.71321599999999</v>
      </c>
      <c r="Q19">
        <v>60.018687999999997</v>
      </c>
      <c r="Z19" t="s">
        <v>99</v>
      </c>
    </row>
    <row r="20" spans="1:26" x14ac:dyDescent="0.2">
      <c r="A20" t="s">
        <v>142</v>
      </c>
      <c r="B20">
        <v>34.973116781999998</v>
      </c>
      <c r="C20">
        <v>35.772169886</v>
      </c>
      <c r="D20">
        <v>1.0382380690425601</v>
      </c>
      <c r="E20">
        <v>99.254423462785695</v>
      </c>
      <c r="M20" t="s">
        <v>142</v>
      </c>
      <c r="N20">
        <v>7.3564160000000003</v>
      </c>
      <c r="O20">
        <v>6.5986560000000001</v>
      </c>
      <c r="P20">
        <v>74.137600000000006</v>
      </c>
      <c r="Q20">
        <v>2061.2464639999998</v>
      </c>
      <c r="Z20" t="s">
        <v>100</v>
      </c>
    </row>
    <row r="21" spans="1:26" x14ac:dyDescent="0.2">
      <c r="A21" t="s">
        <v>99</v>
      </c>
      <c r="B21">
        <v>900.70740531299998</v>
      </c>
      <c r="C21">
        <v>900.71484535299999</v>
      </c>
      <c r="D21">
        <v>71.512142442166805</v>
      </c>
      <c r="E21">
        <v>901.00169255956996</v>
      </c>
      <c r="M21" t="s">
        <v>99</v>
      </c>
      <c r="N21">
        <v>114.73715199999999</v>
      </c>
      <c r="O21">
        <v>118.14502400000001</v>
      </c>
      <c r="P21">
        <v>3319.5048959999999</v>
      </c>
      <c r="Q21">
        <v>75.108351999999996</v>
      </c>
      <c r="Z21" t="s">
        <v>101</v>
      </c>
    </row>
    <row r="22" spans="1:26" x14ac:dyDescent="0.2">
      <c r="A22" t="s">
        <v>100</v>
      </c>
      <c r="B22">
        <v>284.23696863700002</v>
      </c>
      <c r="C22">
        <v>900.75066494500004</v>
      </c>
      <c r="D22">
        <v>47.373723511584103</v>
      </c>
      <c r="E22">
        <v>901.002047104761</v>
      </c>
      <c r="M22" t="s">
        <v>100</v>
      </c>
      <c r="N22">
        <v>16000</v>
      </c>
      <c r="O22">
        <v>129.417216</v>
      </c>
      <c r="P22">
        <v>3081.1217919999999</v>
      </c>
      <c r="Q22">
        <v>276.238336</v>
      </c>
      <c r="Z22" t="s">
        <v>102</v>
      </c>
    </row>
    <row r="23" spans="1:26" x14ac:dyDescent="0.2">
      <c r="A23" t="s">
        <v>101</v>
      </c>
      <c r="B23">
        <v>512.98595976499996</v>
      </c>
      <c r="C23">
        <v>300.68815876000002</v>
      </c>
      <c r="D23">
        <v>225.83621097635401</v>
      </c>
      <c r="E23">
        <v>901.00231695268303</v>
      </c>
      <c r="M23" t="s">
        <v>101</v>
      </c>
      <c r="N23">
        <v>16000</v>
      </c>
      <c r="O23">
        <v>16000</v>
      </c>
      <c r="P23">
        <v>16000</v>
      </c>
      <c r="Q23">
        <v>183.68512000000001</v>
      </c>
      <c r="Z23" t="s">
        <v>103</v>
      </c>
    </row>
    <row r="24" spans="1:26" x14ac:dyDescent="0.2">
      <c r="A24" t="s">
        <v>102</v>
      </c>
      <c r="B24">
        <v>900.39855015000001</v>
      </c>
      <c r="C24">
        <v>900.70903568200004</v>
      </c>
      <c r="D24">
        <v>38.564331354573298</v>
      </c>
      <c r="E24">
        <v>901.00180470477699</v>
      </c>
      <c r="M24" t="s">
        <v>102</v>
      </c>
      <c r="N24">
        <v>8.3025920000000006</v>
      </c>
      <c r="O24">
        <v>8.3025920000000006</v>
      </c>
      <c r="P24">
        <v>644.71449600000005</v>
      </c>
      <c r="Q24">
        <v>37.425151999999997</v>
      </c>
      <c r="Z24" t="s">
        <v>104</v>
      </c>
    </row>
    <row r="25" spans="1:26" x14ac:dyDescent="0.2">
      <c r="A25" t="s">
        <v>103</v>
      </c>
      <c r="B25">
        <v>900.73680904599996</v>
      </c>
      <c r="C25">
        <v>900.74183300899995</v>
      </c>
      <c r="D25">
        <v>300.77606152929297</v>
      </c>
      <c r="E25">
        <v>901.00200629886206</v>
      </c>
      <c r="M25" t="s">
        <v>103</v>
      </c>
      <c r="N25">
        <v>2067.1733760000002</v>
      </c>
      <c r="O25">
        <v>141.34067200000001</v>
      </c>
      <c r="P25">
        <v>16000</v>
      </c>
      <c r="Q25">
        <v>219.11552</v>
      </c>
      <c r="Z25" t="s">
        <v>105</v>
      </c>
    </row>
    <row r="26" spans="1:26" x14ac:dyDescent="0.2">
      <c r="A26" t="s">
        <v>104</v>
      </c>
      <c r="B26">
        <v>900.94614853099995</v>
      </c>
      <c r="C26">
        <v>900.73926895600005</v>
      </c>
      <c r="D26">
        <v>901.00237277895201</v>
      </c>
      <c r="E26">
        <v>901.00194662809304</v>
      </c>
      <c r="M26" t="s">
        <v>104</v>
      </c>
      <c r="N26">
        <v>4929.6670720000002</v>
      </c>
      <c r="O26">
        <v>158.25305599999999</v>
      </c>
      <c r="P26">
        <v>3204.7841279999998</v>
      </c>
      <c r="Q26">
        <v>1328.35328</v>
      </c>
      <c r="Z26" t="s">
        <v>106</v>
      </c>
    </row>
    <row r="27" spans="1:26" x14ac:dyDescent="0.2">
      <c r="A27" t="s">
        <v>105</v>
      </c>
      <c r="B27">
        <v>441.01398707800001</v>
      </c>
      <c r="C27">
        <v>900.81984434000003</v>
      </c>
      <c r="D27">
        <v>901.00217395368895</v>
      </c>
      <c r="E27">
        <v>901.00232474878396</v>
      </c>
      <c r="M27" t="s">
        <v>105</v>
      </c>
      <c r="N27">
        <v>16000</v>
      </c>
      <c r="O27">
        <v>2162.60608</v>
      </c>
      <c r="P27">
        <v>14050.902016</v>
      </c>
      <c r="Q27">
        <v>346.00140800000003</v>
      </c>
      <c r="Z27" t="s">
        <v>107</v>
      </c>
    </row>
    <row r="28" spans="1:26" x14ac:dyDescent="0.2">
      <c r="A28" t="s">
        <v>106</v>
      </c>
      <c r="B28">
        <v>900.702252284</v>
      </c>
      <c r="C28">
        <v>900.59683742200002</v>
      </c>
      <c r="D28">
        <v>177.979430323466</v>
      </c>
      <c r="E28">
        <v>901.00197509396799</v>
      </c>
      <c r="M28" t="s">
        <v>106</v>
      </c>
      <c r="N28">
        <v>533.90540799999997</v>
      </c>
      <c r="O28">
        <v>9.7443840000000002</v>
      </c>
      <c r="P28">
        <v>16000</v>
      </c>
      <c r="Q28">
        <v>223.72761600000001</v>
      </c>
    </row>
    <row r="29" spans="1:26" x14ac:dyDescent="0.2">
      <c r="A29" t="s">
        <v>107</v>
      </c>
      <c r="B29">
        <v>900.66008242700002</v>
      </c>
      <c r="C29">
        <v>900.61001479799995</v>
      </c>
      <c r="D29">
        <v>901.00219125766296</v>
      </c>
      <c r="E29">
        <v>901.00197007879603</v>
      </c>
      <c r="M29" t="s">
        <v>107</v>
      </c>
      <c r="N29">
        <v>20.774912</v>
      </c>
      <c r="O29">
        <v>14.336</v>
      </c>
      <c r="P29">
        <v>1806.897152</v>
      </c>
      <c r="Q29">
        <v>153.690112</v>
      </c>
    </row>
    <row r="34" spans="2:2" x14ac:dyDescent="0.2">
      <c r="B34">
        <f>((D3-B3)/D3)*100</f>
        <v>68.413987561115391</v>
      </c>
    </row>
    <row r="35" spans="2:2" x14ac:dyDescent="0.2">
      <c r="B35">
        <f t="shared" ref="B35:B50" si="0">((D4-B4)/D4)*100</f>
        <v>39.142451079644211</v>
      </c>
    </row>
    <row r="36" spans="2:2" x14ac:dyDescent="0.2">
      <c r="B36">
        <f t="shared" si="0"/>
        <v>71.363196059149686</v>
      </c>
    </row>
    <row r="37" spans="2:2" x14ac:dyDescent="0.2">
      <c r="B37">
        <f t="shared" si="0"/>
        <v>70.007430293587916</v>
      </c>
    </row>
    <row r="38" spans="2:2" x14ac:dyDescent="0.2">
      <c r="B38">
        <f t="shared" si="0"/>
        <v>73.090125678282931</v>
      </c>
    </row>
    <row r="39" spans="2:2" x14ac:dyDescent="0.2">
      <c r="B39">
        <f t="shared" si="0"/>
        <v>68.051182716149555</v>
      </c>
    </row>
    <row r="40" spans="2:2" x14ac:dyDescent="0.2">
      <c r="B40">
        <f t="shared" si="0"/>
        <v>70.302939633533001</v>
      </c>
    </row>
    <row r="41" spans="2:2" x14ac:dyDescent="0.2">
      <c r="B41">
        <f t="shared" si="0"/>
        <v>39.771906120412559</v>
      </c>
    </row>
    <row r="42" spans="2:2" x14ac:dyDescent="0.2">
      <c r="B42">
        <f t="shared" si="0"/>
        <v>35.092076367497484</v>
      </c>
    </row>
    <row r="43" spans="2:2" x14ac:dyDescent="0.2">
      <c r="B43">
        <f t="shared" si="0"/>
        <v>62.131821283646048</v>
      </c>
    </row>
    <row r="44" spans="2:2" x14ac:dyDescent="0.2">
      <c r="B44">
        <f t="shared" si="0"/>
        <v>-3369.414242179967</v>
      </c>
    </row>
    <row r="45" spans="2:2" x14ac:dyDescent="0.2">
      <c r="B45">
        <f t="shared" si="0"/>
        <v>-162.23986142248594</v>
      </c>
    </row>
    <row r="46" spans="2:2" x14ac:dyDescent="0.2">
      <c r="B46">
        <f t="shared" si="0"/>
        <v>76.807334089545904</v>
      </c>
    </row>
    <row r="47" spans="2:2" x14ac:dyDescent="0.2">
      <c r="B47">
        <f t="shared" si="0"/>
        <v>80.766739898569895</v>
      </c>
    </row>
    <row r="48" spans="2:2" x14ac:dyDescent="0.2">
      <c r="B48">
        <f t="shared" si="0"/>
        <v>0.97152022982250363</v>
      </c>
    </row>
    <row r="49" spans="2:2" x14ac:dyDescent="0.2">
      <c r="B49">
        <f>((D18-B18)/D18)*100</f>
        <v>-763.25061627982041</v>
      </c>
    </row>
    <row r="50" spans="2:2" x14ac:dyDescent="0.2">
      <c r="B50">
        <f t="shared" si="0"/>
        <v>-8.7842219474854755</v>
      </c>
    </row>
    <row r="51" spans="2:2" x14ac:dyDescent="0.2">
      <c r="B51">
        <f>((D20-B20)/D20)*100</f>
        <v>-3268.5064943006205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8E5CC-40E3-49AC-AF6D-FE731A429BB8}">
  <dimension ref="B1:AC29"/>
  <sheetViews>
    <sheetView zoomScale="73" workbookViewId="0">
      <selection activeCell="B25" sqref="B25:B29"/>
    </sheetView>
  </sheetViews>
  <sheetFormatPr baseColWidth="10" defaultColWidth="8.83203125" defaultRowHeight="15" x14ac:dyDescent="0.2"/>
  <cols>
    <col min="2" max="2" width="27.1640625" customWidth="1"/>
    <col min="3" max="3" width="12.5" style="2" bestFit="1" customWidth="1"/>
    <col min="4" max="5" width="12.5" bestFit="1" customWidth="1"/>
    <col min="6" max="6" width="12.5" style="2" bestFit="1" customWidth="1"/>
    <col min="7" max="8" width="12.5" bestFit="1" customWidth="1"/>
    <col min="9" max="9" width="14.6640625" style="2" customWidth="1"/>
    <col min="10" max="11" width="14.6640625" customWidth="1"/>
    <col min="12" max="12" width="14.6640625" style="2" customWidth="1"/>
    <col min="13" max="15" width="14.6640625" customWidth="1"/>
    <col min="25" max="25" width="27.1640625" bestFit="1" customWidth="1"/>
    <col min="26" max="29" width="12.5" bestFit="1" customWidth="1"/>
  </cols>
  <sheetData>
    <row r="1" spans="2:29" x14ac:dyDescent="0.2">
      <c r="C1" s="2" t="s">
        <v>76</v>
      </c>
      <c r="D1" t="s">
        <v>77</v>
      </c>
      <c r="E1" t="s">
        <v>77</v>
      </c>
      <c r="F1" s="2" t="s">
        <v>77</v>
      </c>
      <c r="G1" t="s">
        <v>77</v>
      </c>
      <c r="H1" t="s">
        <v>78</v>
      </c>
      <c r="I1" s="2" t="s">
        <v>79</v>
      </c>
      <c r="J1" t="s">
        <v>80</v>
      </c>
      <c r="K1" t="s">
        <v>80</v>
      </c>
      <c r="L1" s="2" t="s">
        <v>80</v>
      </c>
      <c r="M1" t="s">
        <v>80</v>
      </c>
      <c r="N1" t="s">
        <v>80</v>
      </c>
      <c r="Z1" t="s">
        <v>78</v>
      </c>
      <c r="AA1" t="s">
        <v>78</v>
      </c>
      <c r="AB1" t="s">
        <v>80</v>
      </c>
      <c r="AC1" t="s">
        <v>79</v>
      </c>
    </row>
    <row r="2" spans="2:29" x14ac:dyDescent="0.2">
      <c r="C2" s="2" t="s">
        <v>70</v>
      </c>
      <c r="D2" t="s">
        <v>71</v>
      </c>
      <c r="E2" t="s">
        <v>72</v>
      </c>
      <c r="F2" s="2" t="s">
        <v>73</v>
      </c>
      <c r="G2" t="s">
        <v>74</v>
      </c>
      <c r="H2" t="s">
        <v>75</v>
      </c>
      <c r="I2" s="2" t="s">
        <v>70</v>
      </c>
      <c r="J2" t="s">
        <v>71</v>
      </c>
      <c r="K2" t="s">
        <v>72</v>
      </c>
      <c r="L2" s="2" t="s">
        <v>73</v>
      </c>
      <c r="M2" t="s">
        <v>74</v>
      </c>
      <c r="N2" t="s">
        <v>75</v>
      </c>
      <c r="Z2" t="s">
        <v>6</v>
      </c>
      <c r="AA2" t="s">
        <v>7</v>
      </c>
      <c r="AB2" t="s">
        <v>6</v>
      </c>
      <c r="AC2" t="s">
        <v>7</v>
      </c>
    </row>
    <row r="3" spans="2:29" x14ac:dyDescent="0.2">
      <c r="B3" t="s">
        <v>81</v>
      </c>
      <c r="C3" s="2">
        <v>0.35600429214537099</v>
      </c>
      <c r="D3">
        <v>0.35256295464932902</v>
      </c>
      <c r="E3">
        <v>0.39536942401900799</v>
      </c>
      <c r="F3" s="2">
        <v>0.35538480523973698</v>
      </c>
      <c r="G3">
        <v>0.353639677166938</v>
      </c>
      <c r="H3">
        <v>0.37874025432392899</v>
      </c>
      <c r="I3">
        <v>0.37196501065045501</v>
      </c>
      <c r="J3">
        <v>0.34116567485034399</v>
      </c>
      <c r="K3">
        <v>0.27743201563134701</v>
      </c>
      <c r="L3" s="2">
        <v>0.34335568360984298</v>
      </c>
      <c r="M3">
        <v>0.349566185846924</v>
      </c>
      <c r="N3">
        <v>0.28254896914586403</v>
      </c>
      <c r="Y3" t="s">
        <v>81</v>
      </c>
      <c r="Z3">
        <v>30.924800000000001</v>
      </c>
      <c r="AA3">
        <v>30.539776</v>
      </c>
      <c r="AB3">
        <v>31.236096</v>
      </c>
      <c r="AC3">
        <v>30.932991999999999</v>
      </c>
    </row>
    <row r="4" spans="2:29" x14ac:dyDescent="0.2">
      <c r="B4" t="s">
        <v>82</v>
      </c>
      <c r="C4" s="2">
        <v>0.36084339395165399</v>
      </c>
      <c r="D4">
        <v>0.35259909927845001</v>
      </c>
      <c r="E4">
        <v>0.44095169007778101</v>
      </c>
      <c r="F4" s="2">
        <v>0.36112267989665198</v>
      </c>
      <c r="G4">
        <v>0.39315102342516101</v>
      </c>
      <c r="H4">
        <v>0.30483258608728597</v>
      </c>
      <c r="I4" s="2">
        <v>0.367956816218793</v>
      </c>
      <c r="J4">
        <v>0.34612937644123998</v>
      </c>
      <c r="K4">
        <v>0.28831899492070001</v>
      </c>
      <c r="L4" s="2">
        <v>0.37181920930743201</v>
      </c>
      <c r="M4">
        <v>0.433864194899797</v>
      </c>
      <c r="N4">
        <v>0.30585748702287602</v>
      </c>
      <c r="Y4" t="s">
        <v>82</v>
      </c>
      <c r="Z4">
        <v>31.436800000000002</v>
      </c>
      <c r="AA4">
        <v>32.083967999999999</v>
      </c>
      <c r="AB4">
        <v>31.035392000000002</v>
      </c>
      <c r="AC4">
        <v>31.440895999999999</v>
      </c>
    </row>
    <row r="5" spans="2:29" x14ac:dyDescent="0.2">
      <c r="B5" t="s">
        <v>83</v>
      </c>
      <c r="C5" s="2">
        <v>0.340483750216662</v>
      </c>
      <c r="D5">
        <v>0.35178964212536801</v>
      </c>
      <c r="E5">
        <v>0.30690586473792703</v>
      </c>
      <c r="F5" s="2">
        <v>0.38132703490555198</v>
      </c>
      <c r="G5">
        <v>0.34875655546784401</v>
      </c>
      <c r="H5">
        <v>0.27658146014437002</v>
      </c>
      <c r="I5" s="2">
        <v>0.33536261599510903</v>
      </c>
      <c r="J5">
        <v>0.35015429556369698</v>
      </c>
      <c r="K5">
        <v>0.42539055785164198</v>
      </c>
      <c r="L5" s="2">
        <v>0.35022240690886902</v>
      </c>
      <c r="M5">
        <v>0.386375089175999</v>
      </c>
      <c r="N5">
        <v>0.37679908331483603</v>
      </c>
      <c r="Y5" t="s">
        <v>83</v>
      </c>
      <c r="Z5">
        <v>31.100928</v>
      </c>
      <c r="AA5">
        <v>30.474240000000002</v>
      </c>
      <c r="AB5">
        <v>30.96576</v>
      </c>
      <c r="AC5">
        <v>30.277632000000001</v>
      </c>
    </row>
    <row r="6" spans="2:29" x14ac:dyDescent="0.2">
      <c r="B6" t="s">
        <v>84</v>
      </c>
      <c r="C6" s="2">
        <v>0.350411488674581</v>
      </c>
      <c r="D6">
        <v>0.34643698483705498</v>
      </c>
      <c r="E6">
        <v>0.34994682110845998</v>
      </c>
      <c r="F6" s="2">
        <v>0.35771398339420502</v>
      </c>
      <c r="G6">
        <v>0.36163798533379998</v>
      </c>
      <c r="H6">
        <v>0.452815993689</v>
      </c>
      <c r="I6" s="2">
        <v>0.33076451998203898</v>
      </c>
      <c r="J6">
        <v>0.35264925565570499</v>
      </c>
      <c r="K6">
        <v>0.43302229372784401</v>
      </c>
      <c r="L6" s="2">
        <v>0.35328260529786298</v>
      </c>
      <c r="M6">
        <v>0.35711285099387102</v>
      </c>
      <c r="N6">
        <v>0.36824545683339199</v>
      </c>
      <c r="Y6" t="s">
        <v>84</v>
      </c>
      <c r="Z6">
        <v>31.571967999999998</v>
      </c>
      <c r="AA6">
        <v>30.769151999999998</v>
      </c>
      <c r="AB6">
        <v>31.834112000000001</v>
      </c>
      <c r="AC6">
        <v>30.793728000000002</v>
      </c>
    </row>
    <row r="7" spans="2:29" x14ac:dyDescent="0.2">
      <c r="B7" t="s">
        <v>85</v>
      </c>
      <c r="C7" s="2">
        <v>0.35218038875609597</v>
      </c>
      <c r="D7">
        <v>0.35839887801557702</v>
      </c>
      <c r="E7">
        <v>0.43839472020044901</v>
      </c>
      <c r="F7" s="2">
        <v>0.34629368409514399</v>
      </c>
      <c r="G7">
        <v>0.35658160410821399</v>
      </c>
      <c r="H7">
        <v>0.45142384385689999</v>
      </c>
      <c r="I7" s="2">
        <v>0.34376908931881101</v>
      </c>
      <c r="J7">
        <v>0.33884047716855997</v>
      </c>
      <c r="K7">
        <v>0.27980975667014701</v>
      </c>
      <c r="L7" s="2">
        <v>0.31898893974721398</v>
      </c>
      <c r="M7">
        <v>0.35336263757198999</v>
      </c>
      <c r="N7">
        <v>0.42468491615727499</v>
      </c>
      <c r="Y7" t="s">
        <v>85</v>
      </c>
      <c r="Z7">
        <v>30.928896000000002</v>
      </c>
      <c r="AA7">
        <v>30.949376000000001</v>
      </c>
      <c r="AB7">
        <v>31.088640000000002</v>
      </c>
      <c r="AC7">
        <v>30.375935999999999</v>
      </c>
    </row>
    <row r="8" spans="2:29" x14ac:dyDescent="0.2">
      <c r="B8" t="s">
        <v>86</v>
      </c>
      <c r="C8" s="2">
        <v>0.3466861480847</v>
      </c>
      <c r="D8">
        <v>0.34726630616933102</v>
      </c>
      <c r="E8">
        <v>0.43949204403907</v>
      </c>
      <c r="F8" s="2">
        <v>0.35680489800870402</v>
      </c>
      <c r="G8">
        <v>0.36029697954654599</v>
      </c>
      <c r="H8">
        <v>0.27998312795534702</v>
      </c>
      <c r="I8" s="2">
        <v>0.34326816443353803</v>
      </c>
      <c r="J8">
        <v>0.367956642061471</v>
      </c>
      <c r="K8">
        <v>0.422941195778548</v>
      </c>
      <c r="L8" s="2">
        <v>0.34218868054449503</v>
      </c>
      <c r="M8">
        <v>0.36519704945385401</v>
      </c>
      <c r="N8">
        <v>0.420027633197605</v>
      </c>
      <c r="Y8" t="s">
        <v>86</v>
      </c>
      <c r="Z8">
        <v>31.285247999999999</v>
      </c>
      <c r="AA8">
        <v>31.027200000000001</v>
      </c>
      <c r="AB8">
        <v>30.859264</v>
      </c>
      <c r="AC8">
        <v>30.834688</v>
      </c>
    </row>
    <row r="9" spans="2:29" x14ac:dyDescent="0.2">
      <c r="B9" t="s">
        <v>87</v>
      </c>
      <c r="C9" s="2">
        <v>0.34957290627062299</v>
      </c>
      <c r="D9">
        <v>0.37416466325521403</v>
      </c>
      <c r="E9">
        <v>0.28154916223138499</v>
      </c>
      <c r="F9" s="2">
        <v>0.35848832037299799</v>
      </c>
      <c r="G9">
        <v>0.35877886880189103</v>
      </c>
      <c r="H9">
        <v>0.29106812318786901</v>
      </c>
      <c r="I9" s="2">
        <v>0.35834520775824702</v>
      </c>
      <c r="J9">
        <v>0.37214632518589402</v>
      </c>
      <c r="K9">
        <v>0.435220172163099</v>
      </c>
      <c r="L9" s="2">
        <v>0.35426632221788101</v>
      </c>
      <c r="M9">
        <v>0.35620010085403903</v>
      </c>
      <c r="N9">
        <v>0.29247215483337602</v>
      </c>
      <c r="Y9" t="s">
        <v>87</v>
      </c>
      <c r="Z9">
        <v>32.448512000000001</v>
      </c>
      <c r="AA9">
        <v>30.887936</v>
      </c>
      <c r="AB9">
        <v>34.447360000000003</v>
      </c>
      <c r="AC9">
        <v>31.236096</v>
      </c>
    </row>
    <row r="10" spans="2:29" x14ac:dyDescent="0.2">
      <c r="B10" t="s">
        <v>88</v>
      </c>
      <c r="C10" s="2">
        <v>0.367333277128636</v>
      </c>
      <c r="D10">
        <v>0.37443238217383601</v>
      </c>
      <c r="E10">
        <v>0.291965117212384</v>
      </c>
      <c r="F10" s="2">
        <v>0.40125190466642302</v>
      </c>
      <c r="G10">
        <v>0.40618884097784702</v>
      </c>
      <c r="H10">
        <v>0.47907778108492399</v>
      </c>
      <c r="I10" s="2">
        <v>0.37165673542767702</v>
      </c>
      <c r="J10">
        <v>0.36403954867273502</v>
      </c>
      <c r="K10">
        <v>0.45785448001697598</v>
      </c>
      <c r="L10" s="2">
        <v>0.36105142906308102</v>
      </c>
      <c r="M10">
        <v>0.38331474643200603</v>
      </c>
      <c r="N10">
        <v>0.473809904884547</v>
      </c>
      <c r="Y10" t="s">
        <v>88</v>
      </c>
      <c r="Z10">
        <v>34.553856000000003</v>
      </c>
      <c r="AA10">
        <v>32.632832000000001</v>
      </c>
      <c r="AB10">
        <v>34.398207999999997</v>
      </c>
      <c r="AC10">
        <v>31.813631999999998</v>
      </c>
    </row>
    <row r="11" spans="2:29" x14ac:dyDescent="0.2">
      <c r="B11" t="s">
        <v>89</v>
      </c>
      <c r="C11" s="2">
        <v>0.35535245481878502</v>
      </c>
      <c r="D11">
        <v>0.35132429655641301</v>
      </c>
      <c r="E11">
        <v>0.26844942569732599</v>
      </c>
      <c r="F11" s="2">
        <v>0.40653518214821799</v>
      </c>
      <c r="G11">
        <v>0.39786667190492098</v>
      </c>
      <c r="H11">
        <v>0.31233215192332803</v>
      </c>
      <c r="I11" s="2">
        <v>0.34757602680474498</v>
      </c>
      <c r="J11">
        <v>0.345482842996716</v>
      </c>
      <c r="K11">
        <v>0.44569130614399899</v>
      </c>
      <c r="L11" s="2">
        <v>0.38561906013637698</v>
      </c>
      <c r="M11">
        <v>0.40004423726350002</v>
      </c>
      <c r="N11">
        <v>0.45572497881948898</v>
      </c>
      <c r="Y11" t="s">
        <v>89</v>
      </c>
      <c r="Z11">
        <v>32.043008</v>
      </c>
      <c r="AA11">
        <v>32.808959999999999</v>
      </c>
      <c r="AB11">
        <v>31.973375999999998</v>
      </c>
      <c r="AC11">
        <v>32.456704000000002</v>
      </c>
    </row>
    <row r="12" spans="2:29" x14ac:dyDescent="0.2">
      <c r="B12" t="s">
        <v>90</v>
      </c>
      <c r="C12" s="2">
        <v>0.35219176765531301</v>
      </c>
      <c r="D12">
        <v>0.36499018222093499</v>
      </c>
      <c r="E12">
        <v>0.42887122789397802</v>
      </c>
      <c r="F12" s="2">
        <v>0.35600841231644098</v>
      </c>
      <c r="G12">
        <v>0.37617990933358603</v>
      </c>
      <c r="H12">
        <v>0.29372300999238998</v>
      </c>
      <c r="I12" s="2">
        <v>0.347906960174441</v>
      </c>
      <c r="J12">
        <v>0.35152251832187098</v>
      </c>
      <c r="K12">
        <v>0.42827646387740897</v>
      </c>
      <c r="L12" s="2">
        <v>0.353153070434927</v>
      </c>
      <c r="M12">
        <v>0.36946197226643501</v>
      </c>
      <c r="N12">
        <v>0.28660064423456699</v>
      </c>
      <c r="Y12" t="s">
        <v>90</v>
      </c>
      <c r="Z12">
        <v>32.575488</v>
      </c>
      <c r="AA12">
        <v>30.519296000000001</v>
      </c>
      <c r="AB12">
        <v>31.268864000000001</v>
      </c>
      <c r="AC12">
        <v>31.506432</v>
      </c>
    </row>
    <row r="13" spans="2:29" x14ac:dyDescent="0.2">
      <c r="B13" t="s">
        <v>91</v>
      </c>
      <c r="C13" s="2">
        <v>0.431900846771895</v>
      </c>
      <c r="D13">
        <v>0.444016648456454</v>
      </c>
      <c r="E13">
        <v>0.32461633998900602</v>
      </c>
      <c r="F13" s="2">
        <v>27.732541572302502</v>
      </c>
      <c r="G13">
        <v>25.3312862087041</v>
      </c>
      <c r="H13">
        <v>23.0913356197997</v>
      </c>
      <c r="I13" s="2">
        <v>0.42703207861632098</v>
      </c>
      <c r="J13">
        <v>0.43203380424529297</v>
      </c>
      <c r="K13">
        <v>0.48931303992867398</v>
      </c>
      <c r="L13" s="2">
        <v>26.967019034549502</v>
      </c>
      <c r="M13">
        <v>27.0604176502674</v>
      </c>
      <c r="N13">
        <v>23.315834772307401</v>
      </c>
      <c r="Y13" t="s">
        <v>91</v>
      </c>
      <c r="Z13">
        <v>41.705472</v>
      </c>
      <c r="AA13">
        <v>894.30016000000001</v>
      </c>
      <c r="AB13">
        <v>41.848832000000002</v>
      </c>
      <c r="AC13">
        <v>764.16614400000003</v>
      </c>
    </row>
    <row r="14" spans="2:29" x14ac:dyDescent="0.2">
      <c r="B14" t="s">
        <v>92</v>
      </c>
      <c r="C14" s="2">
        <v>0.42094170581549401</v>
      </c>
      <c r="D14">
        <v>0.437748179771006</v>
      </c>
      <c r="E14">
        <v>0.31886772997677298</v>
      </c>
      <c r="F14" s="2">
        <v>1.4852784844115301</v>
      </c>
      <c r="G14">
        <v>1.4557049348950299</v>
      </c>
      <c r="H14">
        <v>1.1415683832019501</v>
      </c>
      <c r="I14" s="2">
        <v>0.35992793645709698</v>
      </c>
      <c r="J14">
        <v>0.36545700393617098</v>
      </c>
      <c r="K14">
        <v>0.45569282211363299</v>
      </c>
      <c r="L14" s="2">
        <v>1.36274131760001</v>
      </c>
      <c r="M14">
        <v>1.3668179474771001</v>
      </c>
      <c r="N14">
        <v>1.02424038387835</v>
      </c>
      <c r="Y14" t="s">
        <v>92</v>
      </c>
      <c r="Z14">
        <v>41.422848000000002</v>
      </c>
      <c r="AA14">
        <v>82.153471999999994</v>
      </c>
      <c r="AB14">
        <v>35.229695999999997</v>
      </c>
      <c r="AC14">
        <v>73.986047999999997</v>
      </c>
    </row>
    <row r="15" spans="2:29" x14ac:dyDescent="0.2">
      <c r="B15" t="s">
        <v>93</v>
      </c>
      <c r="C15" s="2">
        <v>0.4473332837224</v>
      </c>
      <c r="D15">
        <v>0.44778541382402098</v>
      </c>
      <c r="E15">
        <v>0.33435477595776297</v>
      </c>
      <c r="F15" s="2">
        <v>0.35742154810577598</v>
      </c>
      <c r="G15">
        <v>0.35619693994522</v>
      </c>
      <c r="H15">
        <v>0.45586450072005302</v>
      </c>
      <c r="I15" s="2">
        <v>0.79404207039624397</v>
      </c>
      <c r="J15">
        <v>0.74652355443686202</v>
      </c>
      <c r="K15">
        <v>0.68832586891949099</v>
      </c>
      <c r="L15" s="2">
        <v>0.34443063102662502</v>
      </c>
      <c r="M15">
        <v>0.352435937151312</v>
      </c>
      <c r="N15">
        <v>0.433650268241763</v>
      </c>
      <c r="Y15" t="s">
        <v>93</v>
      </c>
      <c r="Z15">
        <v>41.910271999999999</v>
      </c>
      <c r="AA15">
        <v>30.900224000000001</v>
      </c>
      <c r="AB15">
        <v>49.049599999999998</v>
      </c>
      <c r="AC15">
        <v>31.031296000000001</v>
      </c>
    </row>
    <row r="16" spans="2:29" x14ac:dyDescent="0.2">
      <c r="B16" t="s">
        <v>94</v>
      </c>
      <c r="C16" s="2">
        <v>1.1525586657225999</v>
      </c>
      <c r="D16">
        <v>0.91239783912897099</v>
      </c>
      <c r="E16">
        <v>0.75003217672929101</v>
      </c>
      <c r="F16" s="2">
        <v>0.399933689273893</v>
      </c>
      <c r="G16">
        <v>0.41238594613969298</v>
      </c>
      <c r="H16">
        <v>0.33520016865804703</v>
      </c>
      <c r="I16" s="2">
        <v>0.97855625953525305</v>
      </c>
      <c r="J16">
        <v>0.84973078127950397</v>
      </c>
      <c r="K16">
        <v>0.57877637725323405</v>
      </c>
      <c r="L16" s="2">
        <v>0.38683519791811699</v>
      </c>
      <c r="M16">
        <v>0.399024155922234</v>
      </c>
      <c r="N16">
        <v>0.50046373810619105</v>
      </c>
      <c r="Y16" t="s">
        <v>94</v>
      </c>
      <c r="Z16">
        <v>71.548928000000004</v>
      </c>
      <c r="AA16">
        <v>31.674368000000001</v>
      </c>
      <c r="AB16">
        <v>108.95359999999999</v>
      </c>
      <c r="AC16">
        <v>31.289344</v>
      </c>
    </row>
    <row r="17" spans="2:29" x14ac:dyDescent="0.2">
      <c r="B17" t="s">
        <v>95</v>
      </c>
      <c r="C17" s="2">
        <v>2.0445491718128301</v>
      </c>
      <c r="D17">
        <v>1.9561637835577099</v>
      </c>
      <c r="E17">
        <v>1.27497266884893</v>
      </c>
      <c r="F17" s="2">
        <v>0.60312035121023599</v>
      </c>
      <c r="G17">
        <v>0.60743458569049802</v>
      </c>
      <c r="H17">
        <v>0.55847975891083401</v>
      </c>
      <c r="I17" s="2">
        <v>1.81189968250691</v>
      </c>
      <c r="J17">
        <v>1.68866577465087</v>
      </c>
      <c r="K17">
        <v>1.18361430615186</v>
      </c>
      <c r="L17" s="2">
        <v>0.58394140563905195</v>
      </c>
      <c r="M17">
        <v>0.56624370813369695</v>
      </c>
      <c r="N17">
        <v>0.52708150120452002</v>
      </c>
      <c r="Y17" t="s">
        <v>95</v>
      </c>
      <c r="Z17">
        <v>106.078208</v>
      </c>
      <c r="AA17">
        <v>39.194623999999997</v>
      </c>
      <c r="AB17">
        <v>106.90560000000001</v>
      </c>
      <c r="AC17">
        <v>37.838847999999999</v>
      </c>
    </row>
    <row r="18" spans="2:29" x14ac:dyDescent="0.2">
      <c r="B18" t="s">
        <v>96</v>
      </c>
      <c r="C18" s="2">
        <v>1.4935459699481699</v>
      </c>
      <c r="D18">
        <v>1.40829505678266</v>
      </c>
      <c r="E18">
        <v>0.934222427662462</v>
      </c>
      <c r="F18" s="2">
        <v>23.318893126212</v>
      </c>
      <c r="G18">
        <v>22.412962074391501</v>
      </c>
      <c r="H18">
        <v>18.995742673054298</v>
      </c>
      <c r="I18" s="2">
        <v>3.06855461932718</v>
      </c>
      <c r="J18">
        <v>2.6964609911665298</v>
      </c>
      <c r="K18">
        <v>1.55465672304853</v>
      </c>
      <c r="L18" s="2">
        <v>21.687002820894101</v>
      </c>
      <c r="M18">
        <v>20.489531123079299</v>
      </c>
      <c r="N18">
        <v>18.3874519988894</v>
      </c>
      <c r="Y18" t="s">
        <v>96</v>
      </c>
      <c r="Z18">
        <v>108.76927999999999</v>
      </c>
      <c r="AA18">
        <v>773.44358399999999</v>
      </c>
      <c r="AB18">
        <v>109.28128</v>
      </c>
      <c r="AC18">
        <v>663.46188800000004</v>
      </c>
    </row>
    <row r="19" spans="2:29" x14ac:dyDescent="0.2">
      <c r="B19" t="s">
        <v>97</v>
      </c>
      <c r="C19" s="2">
        <v>2.4599639819934902</v>
      </c>
      <c r="D19">
        <v>2.2105223853140998</v>
      </c>
      <c r="E19">
        <v>1.43122094683349</v>
      </c>
      <c r="F19" s="2">
        <v>1.26049202401191</v>
      </c>
      <c r="G19">
        <v>1.2780615212395701</v>
      </c>
      <c r="H19">
        <v>0.99386597517877795</v>
      </c>
      <c r="I19" s="2">
        <v>3.40998989436775</v>
      </c>
      <c r="J19">
        <v>3.0228782994672598</v>
      </c>
      <c r="K19">
        <v>2.2976220464333799</v>
      </c>
      <c r="L19" s="2">
        <v>1.2020680680871001</v>
      </c>
      <c r="M19">
        <v>1.1817632140591701</v>
      </c>
      <c r="N19">
        <v>0.79499940108507805</v>
      </c>
      <c r="Y19" t="s">
        <v>97</v>
      </c>
      <c r="Z19">
        <v>184.71321599999999</v>
      </c>
      <c r="AA19">
        <v>60.018687999999997</v>
      </c>
      <c r="AB19">
        <v>192.21299200000001</v>
      </c>
      <c r="AC19">
        <v>55.635967999999998</v>
      </c>
    </row>
    <row r="20" spans="2:29" x14ac:dyDescent="0.2">
      <c r="B20" t="s">
        <v>98</v>
      </c>
      <c r="C20" s="2">
        <v>1.0382380690425601</v>
      </c>
      <c r="D20">
        <v>1.04202057234942</v>
      </c>
      <c r="E20">
        <v>0.67605916503816799</v>
      </c>
      <c r="F20" s="2">
        <v>99.254423462785695</v>
      </c>
      <c r="G20">
        <v>92.295607739128101</v>
      </c>
      <c r="H20">
        <v>111.016448976006</v>
      </c>
      <c r="I20" s="2">
        <v>0.96051662694662798</v>
      </c>
      <c r="J20">
        <v>0.88648732937872399</v>
      </c>
      <c r="K20">
        <v>0.68695177230983895</v>
      </c>
      <c r="L20" s="2">
        <v>96.917122863233004</v>
      </c>
      <c r="M20">
        <v>92.246934560127499</v>
      </c>
      <c r="N20">
        <v>114.206001447048</v>
      </c>
      <c r="Y20" t="s">
        <v>98</v>
      </c>
      <c r="Z20">
        <v>74.137600000000006</v>
      </c>
      <c r="AA20">
        <v>2061.2464639999998</v>
      </c>
      <c r="AB20">
        <v>102.580224</v>
      </c>
      <c r="AC20">
        <v>1761.1735040000001</v>
      </c>
    </row>
    <row r="21" spans="2:29" x14ac:dyDescent="0.2">
      <c r="B21" t="s">
        <v>99</v>
      </c>
      <c r="C21" s="2">
        <v>71.512142442166805</v>
      </c>
      <c r="D21">
        <v>53.133955759927602</v>
      </c>
      <c r="E21">
        <v>39.651616115122998</v>
      </c>
      <c r="F21" s="2">
        <v>901.00169255956996</v>
      </c>
      <c r="G21">
        <v>901.00279042590398</v>
      </c>
      <c r="H21">
        <v>901.00215909676604</v>
      </c>
      <c r="I21" s="2">
        <v>65.843059114180505</v>
      </c>
      <c r="J21">
        <v>50.591725357808102</v>
      </c>
      <c r="K21">
        <v>38.799865331966402</v>
      </c>
      <c r="L21" s="2">
        <v>901.00190800242103</v>
      </c>
      <c r="M21">
        <v>901.00239353161305</v>
      </c>
      <c r="N21">
        <v>901.00227639917205</v>
      </c>
      <c r="Y21" t="s">
        <v>99</v>
      </c>
      <c r="Z21">
        <v>3319.5048959999999</v>
      </c>
      <c r="AA21">
        <v>75.108351999999996</v>
      </c>
      <c r="AB21">
        <v>3319.5581440000001</v>
      </c>
      <c r="AC21">
        <v>74.870784</v>
      </c>
    </row>
    <row r="22" spans="2:29" x14ac:dyDescent="0.2">
      <c r="B22" t="s">
        <v>100</v>
      </c>
      <c r="C22" s="2">
        <v>47.373723511584103</v>
      </c>
      <c r="D22">
        <v>39.533404789865003</v>
      </c>
      <c r="E22">
        <v>31.794364672154099</v>
      </c>
      <c r="F22" s="2">
        <v>901.002047104761</v>
      </c>
      <c r="G22">
        <v>901.00259748939402</v>
      </c>
      <c r="H22">
        <v>901.00202558422404</v>
      </c>
      <c r="I22" s="2">
        <v>29.301196513697501</v>
      </c>
      <c r="J22">
        <v>27.2840675022453</v>
      </c>
      <c r="K22">
        <v>19.535529330838401</v>
      </c>
      <c r="L22" s="2">
        <v>901.00201038829903</v>
      </c>
      <c r="M22">
        <v>901.002954396419</v>
      </c>
      <c r="N22">
        <v>901.00202517304501</v>
      </c>
      <c r="Y22" t="s">
        <v>100</v>
      </c>
      <c r="Z22">
        <v>3081.1217919999999</v>
      </c>
      <c r="AA22">
        <v>276.238336</v>
      </c>
      <c r="AB22">
        <v>3423.0681599999998</v>
      </c>
      <c r="AC22">
        <v>187.51897600000001</v>
      </c>
    </row>
    <row r="23" spans="2:29" x14ac:dyDescent="0.2">
      <c r="B23" t="s">
        <v>101</v>
      </c>
      <c r="C23" s="2">
        <v>225.83621097635401</v>
      </c>
      <c r="D23">
        <v>177.17309191077899</v>
      </c>
      <c r="E23">
        <v>142.11603824514799</v>
      </c>
      <c r="F23" s="2">
        <v>901.00231695268303</v>
      </c>
      <c r="G23">
        <v>901.00334416050396</v>
      </c>
      <c r="H23">
        <v>901.00222840020399</v>
      </c>
      <c r="I23" s="2">
        <v>20.888749296776901</v>
      </c>
      <c r="J23">
        <v>17.5949783213436</v>
      </c>
      <c r="K23">
        <v>13.5964443162083</v>
      </c>
      <c r="L23" s="2">
        <v>901.00185070093698</v>
      </c>
      <c r="M23">
        <v>901.00276552513196</v>
      </c>
      <c r="N23">
        <v>901.00226619606804</v>
      </c>
      <c r="Y23" t="s">
        <v>101</v>
      </c>
      <c r="Z23">
        <v>16000</v>
      </c>
      <c r="AA23">
        <v>183.68512000000001</v>
      </c>
      <c r="AB23">
        <v>1458.8149759999999</v>
      </c>
      <c r="AC23">
        <v>184.25036800000001</v>
      </c>
    </row>
    <row r="24" spans="2:29" x14ac:dyDescent="0.2">
      <c r="B24" t="s">
        <v>102</v>
      </c>
      <c r="C24" s="2">
        <v>38.564331354573298</v>
      </c>
      <c r="D24">
        <v>32.019942345097597</v>
      </c>
      <c r="E24">
        <v>24.9225847311317</v>
      </c>
      <c r="F24" s="2">
        <v>901.00180470477699</v>
      </c>
      <c r="G24">
        <v>901.00250957813103</v>
      </c>
      <c r="H24">
        <v>901.00271424697701</v>
      </c>
      <c r="I24" s="2">
        <v>37.013537867925997</v>
      </c>
      <c r="J24">
        <v>30.462984854355401</v>
      </c>
      <c r="K24">
        <v>23.688566236290999</v>
      </c>
      <c r="L24" s="2">
        <v>901.00188754871397</v>
      </c>
      <c r="M24">
        <v>901.00337086990396</v>
      </c>
      <c r="N24">
        <v>901.00228884396995</v>
      </c>
      <c r="Y24" t="s">
        <v>102</v>
      </c>
      <c r="Z24">
        <v>644.71449600000005</v>
      </c>
      <c r="AA24">
        <v>37.425151999999997</v>
      </c>
      <c r="AB24">
        <v>442.44992000000002</v>
      </c>
      <c r="AC24">
        <v>36.220928000000001</v>
      </c>
    </row>
    <row r="25" spans="2:29" x14ac:dyDescent="0.2">
      <c r="B25" t="s">
        <v>103</v>
      </c>
      <c r="C25" s="2">
        <v>300.77606152929297</v>
      </c>
      <c r="D25">
        <v>259.31938717048598</v>
      </c>
      <c r="E25">
        <v>206.765088517218</v>
      </c>
      <c r="F25" s="2">
        <v>901.00200629886206</v>
      </c>
      <c r="G25">
        <v>901.00303589366297</v>
      </c>
      <c r="H25">
        <v>901.00265721278197</v>
      </c>
      <c r="I25" s="2">
        <v>298.51902849413398</v>
      </c>
      <c r="J25">
        <v>238.470601148903</v>
      </c>
      <c r="K25">
        <v>204.121299348305</v>
      </c>
      <c r="L25" s="2">
        <v>901.00195747520695</v>
      </c>
      <c r="M25">
        <v>901.00301178265295</v>
      </c>
      <c r="N25">
        <v>901.00220470782301</v>
      </c>
      <c r="Y25" t="s">
        <v>103</v>
      </c>
      <c r="Z25">
        <v>16000</v>
      </c>
      <c r="AA25">
        <v>219.11552</v>
      </c>
      <c r="AB25">
        <v>16000</v>
      </c>
      <c r="AC25">
        <v>218.95987199999999</v>
      </c>
    </row>
    <row r="26" spans="2:29" x14ac:dyDescent="0.2">
      <c r="B26" t="s">
        <v>104</v>
      </c>
      <c r="C26" s="2">
        <v>901.00237277895201</v>
      </c>
      <c r="D26">
        <v>901.00332589074901</v>
      </c>
      <c r="E26">
        <v>901.00236235698605</v>
      </c>
      <c r="F26" s="2">
        <v>901.00194662809304</v>
      </c>
      <c r="G26">
        <v>901.003083087503</v>
      </c>
      <c r="H26">
        <v>901.00257085589601</v>
      </c>
      <c r="I26" s="2">
        <v>901.00209863204498</v>
      </c>
      <c r="J26">
        <v>901.00220683030705</v>
      </c>
      <c r="K26">
        <v>901.00251771882097</v>
      </c>
      <c r="L26" s="2">
        <v>901.00181066337905</v>
      </c>
      <c r="M26">
        <v>901.002746718004</v>
      </c>
      <c r="N26">
        <v>901.00222808588296</v>
      </c>
      <c r="Y26" t="s">
        <v>104</v>
      </c>
      <c r="Z26">
        <v>3204.7841279999998</v>
      </c>
      <c r="AA26">
        <v>1328.35328</v>
      </c>
      <c r="AB26">
        <v>3475.0013439999998</v>
      </c>
      <c r="AC26">
        <v>1328.9185279999999</v>
      </c>
    </row>
    <row r="27" spans="2:29" x14ac:dyDescent="0.2">
      <c r="B27" t="s">
        <v>105</v>
      </c>
      <c r="C27" s="2">
        <v>901.00217395368895</v>
      </c>
      <c r="D27">
        <v>901.00322547368705</v>
      </c>
      <c r="E27">
        <v>719.27033880399495</v>
      </c>
      <c r="F27" s="2">
        <v>901.00232474878396</v>
      </c>
      <c r="G27">
        <v>901.00240038614697</v>
      </c>
      <c r="H27">
        <v>901.00213734898705</v>
      </c>
      <c r="I27" s="2">
        <v>172.831302924081</v>
      </c>
      <c r="J27">
        <v>161.41139667853699</v>
      </c>
      <c r="K27">
        <v>126.003246536012</v>
      </c>
      <c r="L27" s="2">
        <v>901.00172675028398</v>
      </c>
      <c r="M27">
        <v>901.00301091000404</v>
      </c>
      <c r="N27">
        <v>901.00229359697505</v>
      </c>
      <c r="Y27" t="s">
        <v>105</v>
      </c>
      <c r="Z27">
        <v>14050.902016</v>
      </c>
      <c r="AA27">
        <v>346.00140800000003</v>
      </c>
      <c r="AB27">
        <v>16000</v>
      </c>
      <c r="AC27">
        <v>345.94406400000003</v>
      </c>
    </row>
    <row r="28" spans="2:29" x14ac:dyDescent="0.2">
      <c r="B28" t="s">
        <v>106</v>
      </c>
      <c r="C28" s="2">
        <v>177.979430323466</v>
      </c>
      <c r="D28">
        <v>154.66795812826601</v>
      </c>
      <c r="E28">
        <v>129.88371861586299</v>
      </c>
      <c r="F28" s="2">
        <v>901.00197509396799</v>
      </c>
      <c r="G28">
        <v>901.00308020319699</v>
      </c>
      <c r="H28">
        <v>901.00228293379701</v>
      </c>
      <c r="I28" s="2">
        <v>179.56331700924699</v>
      </c>
      <c r="J28">
        <v>149.18997938092701</v>
      </c>
      <c r="K28">
        <v>128.965270237065</v>
      </c>
      <c r="L28" s="2">
        <v>901.00191876757799</v>
      </c>
      <c r="M28">
        <v>901.00290118437204</v>
      </c>
      <c r="N28">
        <v>901.00230221310596</v>
      </c>
      <c r="Y28" t="s">
        <v>106</v>
      </c>
      <c r="Z28">
        <v>16000</v>
      </c>
      <c r="AA28">
        <v>223.72761600000001</v>
      </c>
      <c r="AB28">
        <v>16000</v>
      </c>
      <c r="AC28">
        <v>223.75628800000001</v>
      </c>
    </row>
    <row r="29" spans="2:29" x14ac:dyDescent="0.2">
      <c r="B29" t="s">
        <v>107</v>
      </c>
      <c r="C29" s="2">
        <v>901.00219125766296</v>
      </c>
      <c r="D29">
        <v>901.00314217340201</v>
      </c>
      <c r="E29">
        <v>901.00222073867894</v>
      </c>
      <c r="F29" s="2">
        <v>901.00197007879603</v>
      </c>
      <c r="G29">
        <v>901.00296746287495</v>
      </c>
      <c r="H29">
        <v>901.002233264967</v>
      </c>
      <c r="I29" s="2">
        <v>901.00218167435298</v>
      </c>
      <c r="J29">
        <v>901.00229953136295</v>
      </c>
      <c r="K29">
        <v>901.00239652208904</v>
      </c>
      <c r="L29" s="2">
        <v>901.00191904511303</v>
      </c>
      <c r="M29">
        <v>901.00347122922506</v>
      </c>
      <c r="N29">
        <v>901.00221448065702</v>
      </c>
      <c r="Y29" t="s">
        <v>107</v>
      </c>
      <c r="Z29">
        <v>1806.897152</v>
      </c>
      <c r="AA29">
        <v>153.690112</v>
      </c>
      <c r="AB29">
        <v>1781.497856</v>
      </c>
      <c r="AC29">
        <v>152.78899200000001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033E-FA3F-453C-B192-30EB8AAF7731}">
  <dimension ref="A1:BH40"/>
  <sheetViews>
    <sheetView topLeftCell="AB31" zoomScale="96" zoomScaleNormal="50" workbookViewId="0">
      <selection activeCell="A22" sqref="A22:XFD22"/>
    </sheetView>
  </sheetViews>
  <sheetFormatPr baseColWidth="10" defaultColWidth="8.83203125" defaultRowHeight="15" x14ac:dyDescent="0.2"/>
  <cols>
    <col min="1" max="1" width="14.33203125" customWidth="1"/>
    <col min="2" max="4" width="11.6640625" bestFit="1" customWidth="1"/>
    <col min="5" max="5" width="14.33203125" bestFit="1" customWidth="1"/>
    <col min="6" max="6" width="12.1640625" bestFit="1" customWidth="1"/>
    <col min="7" max="7" width="12.83203125" bestFit="1" customWidth="1"/>
    <col min="8" max="8" width="13.83203125" bestFit="1" customWidth="1"/>
    <col min="9" max="9" width="16.1640625" bestFit="1" customWidth="1"/>
    <col min="10" max="10" width="17.1640625" bestFit="1" customWidth="1"/>
    <col min="11" max="11" width="7.6640625" bestFit="1" customWidth="1"/>
    <col min="12" max="12" width="14.1640625" bestFit="1" customWidth="1"/>
    <col min="13" max="13" width="10.6640625" bestFit="1" customWidth="1"/>
    <col min="14" max="15" width="11.1640625" bestFit="1" customWidth="1"/>
    <col min="16" max="16" width="14.33203125" bestFit="1" customWidth="1"/>
    <col min="17" max="17" width="12.1640625" bestFit="1" customWidth="1"/>
  </cols>
  <sheetData>
    <row r="1" spans="1:21" x14ac:dyDescent="0.2"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156</v>
      </c>
      <c r="H1" t="s">
        <v>157</v>
      </c>
      <c r="I1" t="s">
        <v>158</v>
      </c>
      <c r="J1" t="s">
        <v>159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156</v>
      </c>
      <c r="S1" t="s">
        <v>157</v>
      </c>
      <c r="T1" t="s">
        <v>158</v>
      </c>
      <c r="U1" t="s">
        <v>159</v>
      </c>
    </row>
    <row r="2" spans="1:21" x14ac:dyDescent="0.2">
      <c r="A2" t="s">
        <v>114</v>
      </c>
      <c r="B2">
        <v>1.6953402999999999E-2</v>
      </c>
      <c r="C2">
        <v>0.71710586899999995</v>
      </c>
      <c r="D2">
        <v>0.11244756</v>
      </c>
      <c r="E2">
        <v>0.118721988</v>
      </c>
      <c r="F2">
        <v>0.113772972</v>
      </c>
      <c r="G2">
        <v>0.35600429214537099</v>
      </c>
      <c r="H2">
        <v>0.35538480523973698</v>
      </c>
      <c r="I2">
        <v>0.37196501065045501</v>
      </c>
      <c r="J2">
        <v>0.34335568360984298</v>
      </c>
      <c r="L2" t="s">
        <v>114</v>
      </c>
      <c r="M2">
        <v>2.0152320000000001</v>
      </c>
      <c r="N2">
        <v>4.0960000000000001</v>
      </c>
      <c r="O2">
        <v>6.3324160000000003</v>
      </c>
      <c r="P2">
        <v>6.2177280000000001</v>
      </c>
      <c r="Q2">
        <v>6.2709760000000001</v>
      </c>
      <c r="R2">
        <v>30.924800000000001</v>
      </c>
      <c r="S2">
        <v>30.539776</v>
      </c>
      <c r="T2">
        <v>31.236096</v>
      </c>
      <c r="U2">
        <v>30.932991999999999</v>
      </c>
    </row>
    <row r="3" spans="1:21" x14ac:dyDescent="0.2">
      <c r="A3" t="s">
        <v>115</v>
      </c>
      <c r="B3">
        <v>4.5382770000000003E-2</v>
      </c>
      <c r="C3">
        <v>0.77282153899999995</v>
      </c>
      <c r="D3">
        <v>0.21960044500000001</v>
      </c>
      <c r="E3">
        <v>0.226832702</v>
      </c>
      <c r="F3">
        <v>0.221840754</v>
      </c>
      <c r="G3">
        <v>0.36084339395165399</v>
      </c>
      <c r="H3">
        <v>0.36112267989665198</v>
      </c>
      <c r="I3">
        <v>0.367956816218793</v>
      </c>
      <c r="J3">
        <v>0.37181920930743201</v>
      </c>
      <c r="L3" t="s">
        <v>115</v>
      </c>
      <c r="M3">
        <v>2.1503999999999999</v>
      </c>
      <c r="N3">
        <v>4.4851200000000002</v>
      </c>
      <c r="O3">
        <v>6.303744</v>
      </c>
      <c r="P3">
        <v>6.2136319999999996</v>
      </c>
      <c r="Q3">
        <v>6.1521920000000003</v>
      </c>
      <c r="R3">
        <v>31.436800000000002</v>
      </c>
      <c r="S3">
        <v>32.083967999999999</v>
      </c>
      <c r="T3">
        <v>31.035392000000002</v>
      </c>
      <c r="U3">
        <v>31.440895999999999</v>
      </c>
    </row>
    <row r="4" spans="1:21" x14ac:dyDescent="0.2">
      <c r="A4" t="s">
        <v>116</v>
      </c>
      <c r="B4">
        <v>1.2560768E-2</v>
      </c>
      <c r="C4">
        <v>0.69587020300000002</v>
      </c>
      <c r="D4">
        <v>9.7503664000000004E-2</v>
      </c>
      <c r="E4">
        <v>0.102652994</v>
      </c>
      <c r="F4">
        <v>0.100072827</v>
      </c>
      <c r="G4">
        <v>0.340483750216662</v>
      </c>
      <c r="H4">
        <v>0.38132703490555198</v>
      </c>
      <c r="I4">
        <v>0.33536261599510903</v>
      </c>
      <c r="J4">
        <v>0.35022240690886902</v>
      </c>
      <c r="L4" t="s">
        <v>116</v>
      </c>
      <c r="M4">
        <v>2.011136</v>
      </c>
      <c r="N4">
        <v>4.0222720000000001</v>
      </c>
      <c r="O4">
        <v>6.2054400000000003</v>
      </c>
      <c r="P4">
        <v>6.1235200000000001</v>
      </c>
      <c r="Q4">
        <v>6.0784640000000003</v>
      </c>
      <c r="R4">
        <v>31.100928</v>
      </c>
      <c r="S4">
        <v>30.474240000000002</v>
      </c>
      <c r="T4">
        <v>30.96576</v>
      </c>
      <c r="U4">
        <v>30.277632000000001</v>
      </c>
    </row>
    <row r="5" spans="1:21" x14ac:dyDescent="0.2">
      <c r="A5" t="s">
        <v>117</v>
      </c>
      <c r="B5">
        <v>1.3638323000000001E-2</v>
      </c>
      <c r="C5">
        <v>0.72679737099999997</v>
      </c>
      <c r="D5">
        <v>0.10509741</v>
      </c>
      <c r="E5">
        <v>0.110802336</v>
      </c>
      <c r="F5">
        <v>0.105313641</v>
      </c>
      <c r="G5">
        <v>0.350411488674581</v>
      </c>
      <c r="H5">
        <v>0.35771398339420502</v>
      </c>
      <c r="I5">
        <v>0.33076451998203898</v>
      </c>
      <c r="J5">
        <v>0.35328260529786298</v>
      </c>
      <c r="L5" t="s">
        <v>117</v>
      </c>
      <c r="M5">
        <v>2.0152320000000001</v>
      </c>
      <c r="N5">
        <v>4.1451520000000004</v>
      </c>
      <c r="O5">
        <v>6.283264</v>
      </c>
      <c r="P5">
        <v>6.2095359999999999</v>
      </c>
      <c r="Q5">
        <v>6.1685759999999998</v>
      </c>
      <c r="R5">
        <v>31.571967999999998</v>
      </c>
      <c r="S5">
        <v>30.769151999999998</v>
      </c>
      <c r="T5">
        <v>31.834112000000001</v>
      </c>
      <c r="U5">
        <v>30.793728000000002</v>
      </c>
    </row>
    <row r="6" spans="1:21" x14ac:dyDescent="0.2">
      <c r="A6" t="s">
        <v>118</v>
      </c>
      <c r="B6">
        <v>9.4328199999999997E-3</v>
      </c>
      <c r="C6">
        <v>0.69602752400000001</v>
      </c>
      <c r="D6">
        <v>9.4771300000000003E-2</v>
      </c>
      <c r="E6">
        <v>0.100050083</v>
      </c>
      <c r="F6">
        <v>9.5055674000000007E-2</v>
      </c>
      <c r="G6">
        <v>0.35218038875609597</v>
      </c>
      <c r="H6">
        <v>0.34629368409514399</v>
      </c>
      <c r="I6">
        <v>0.34376908931881101</v>
      </c>
      <c r="J6">
        <v>0.31898893974721398</v>
      </c>
      <c r="L6" t="s">
        <v>118</v>
      </c>
      <c r="M6">
        <v>2.2773759999999998</v>
      </c>
      <c r="N6">
        <v>4.0427520000000001</v>
      </c>
      <c r="O6">
        <v>6.0784640000000003</v>
      </c>
      <c r="P6">
        <v>6.0170240000000002</v>
      </c>
      <c r="Q6">
        <v>5.9637760000000002</v>
      </c>
      <c r="R6">
        <v>30.928896000000002</v>
      </c>
      <c r="S6">
        <v>30.949376000000001</v>
      </c>
      <c r="T6">
        <v>31.088640000000002</v>
      </c>
      <c r="U6">
        <v>30.375935999999999</v>
      </c>
    </row>
    <row r="7" spans="1:21" x14ac:dyDescent="0.2">
      <c r="A7" t="s">
        <v>119</v>
      </c>
      <c r="B7">
        <v>1.6098626000000001E-2</v>
      </c>
      <c r="C7">
        <v>0.72603528500000003</v>
      </c>
      <c r="D7">
        <v>0.110762124</v>
      </c>
      <c r="E7">
        <v>0.118666935</v>
      </c>
      <c r="F7">
        <v>0.110468444</v>
      </c>
      <c r="G7">
        <v>0.3466861480847</v>
      </c>
      <c r="H7">
        <v>0.35680489800870402</v>
      </c>
      <c r="I7">
        <v>0.34326816443353803</v>
      </c>
      <c r="J7">
        <v>0.34218868054449503</v>
      </c>
      <c r="L7" t="s">
        <v>119</v>
      </c>
      <c r="M7">
        <v>2.0152320000000001</v>
      </c>
      <c r="N7">
        <v>4.1041920000000003</v>
      </c>
      <c r="O7">
        <v>6.1890559999999999</v>
      </c>
      <c r="P7">
        <v>6.2095359999999999</v>
      </c>
      <c r="Q7">
        <v>6.2136319999999996</v>
      </c>
      <c r="R7">
        <v>31.285247999999999</v>
      </c>
      <c r="S7">
        <v>31.027200000000001</v>
      </c>
      <c r="T7">
        <v>30.859264</v>
      </c>
      <c r="U7">
        <v>30.834688</v>
      </c>
    </row>
    <row r="8" spans="1:21" x14ac:dyDescent="0.2">
      <c r="A8" t="s">
        <v>120</v>
      </c>
      <c r="B8">
        <v>1.3807616E-2</v>
      </c>
      <c r="C8">
        <v>0.79731789200000003</v>
      </c>
      <c r="D8">
        <v>0.103812877</v>
      </c>
      <c r="E8">
        <v>0.10818058799999999</v>
      </c>
      <c r="F8">
        <v>0.10284903500000001</v>
      </c>
      <c r="G8">
        <v>0.34957290627062299</v>
      </c>
      <c r="H8">
        <v>0.35848832037299799</v>
      </c>
      <c r="I8">
        <v>0.35834520775824702</v>
      </c>
      <c r="J8">
        <v>0.35426632221788101</v>
      </c>
      <c r="L8" t="s">
        <v>120</v>
      </c>
      <c r="M8">
        <v>2.2773759999999998</v>
      </c>
      <c r="N8">
        <v>6.1276159999999997</v>
      </c>
      <c r="O8">
        <v>6.230016</v>
      </c>
      <c r="P8">
        <v>6.0743679999999998</v>
      </c>
      <c r="Q8">
        <v>6.1685759999999998</v>
      </c>
      <c r="R8">
        <v>32.448512000000001</v>
      </c>
      <c r="S8">
        <v>30.887936</v>
      </c>
      <c r="T8">
        <v>34.447360000000003</v>
      </c>
      <c r="U8">
        <v>31.236096</v>
      </c>
    </row>
    <row r="9" spans="1:21" x14ac:dyDescent="0.2">
      <c r="A9" t="s">
        <v>121</v>
      </c>
      <c r="B9">
        <v>6.6142083000000004E-2</v>
      </c>
      <c r="C9">
        <v>2.0490610810000001</v>
      </c>
      <c r="D9">
        <v>0.221237831</v>
      </c>
      <c r="E9">
        <v>0.22956998200000001</v>
      </c>
      <c r="F9">
        <v>0.223540244</v>
      </c>
      <c r="G9">
        <v>0.367333277128636</v>
      </c>
      <c r="H9">
        <v>0.40125190466642302</v>
      </c>
      <c r="I9">
        <v>0.37165673542767702</v>
      </c>
      <c r="J9">
        <v>0.36105142906308102</v>
      </c>
      <c r="L9" t="s">
        <v>121</v>
      </c>
      <c r="M9">
        <v>2.1872639999999999</v>
      </c>
      <c r="N9">
        <v>9.1422720000000002</v>
      </c>
      <c r="O9">
        <v>6.1849600000000002</v>
      </c>
      <c r="P9">
        <v>6.1235200000000001</v>
      </c>
      <c r="Q9">
        <v>6.1890559999999999</v>
      </c>
      <c r="R9">
        <v>34.553856000000003</v>
      </c>
      <c r="S9">
        <v>32.632832000000001</v>
      </c>
      <c r="T9">
        <v>34.398207999999997</v>
      </c>
      <c r="U9">
        <v>31.813631999999998</v>
      </c>
    </row>
    <row r="10" spans="1:21" x14ac:dyDescent="0.2">
      <c r="A10" t="s">
        <v>122</v>
      </c>
      <c r="B10">
        <v>8.8852788000000002E-2</v>
      </c>
      <c r="C10">
        <v>1.100666763</v>
      </c>
      <c r="D10">
        <v>0.23065189999999999</v>
      </c>
      <c r="E10">
        <v>0.238241487</v>
      </c>
      <c r="F10">
        <v>0.233140597</v>
      </c>
      <c r="G10">
        <v>0.35535245481878502</v>
      </c>
      <c r="H10">
        <v>0.40653518214821799</v>
      </c>
      <c r="I10">
        <v>0.34757602680474498</v>
      </c>
      <c r="J10">
        <v>0.38561906013637698</v>
      </c>
      <c r="L10" t="s">
        <v>122</v>
      </c>
      <c r="M10">
        <v>2.2405119999999998</v>
      </c>
      <c r="N10">
        <v>5.2142080000000002</v>
      </c>
      <c r="O10">
        <v>6.3406079999999996</v>
      </c>
      <c r="P10">
        <v>6.3406079999999996</v>
      </c>
      <c r="Q10">
        <v>6.2423039999999999</v>
      </c>
      <c r="R10">
        <v>32.043008</v>
      </c>
      <c r="S10">
        <v>32.808959999999999</v>
      </c>
      <c r="T10">
        <v>31.973375999999998</v>
      </c>
      <c r="U10">
        <v>32.456704000000002</v>
      </c>
    </row>
    <row r="11" spans="1:21" x14ac:dyDescent="0.2">
      <c r="A11" t="s">
        <v>123</v>
      </c>
      <c r="B11">
        <v>2.2081136000000001E-2</v>
      </c>
      <c r="C11">
        <v>43.019294616000003</v>
      </c>
      <c r="D11">
        <v>0.133368608</v>
      </c>
      <c r="E11">
        <v>0.13105389100000001</v>
      </c>
      <c r="F11">
        <v>0.13125976</v>
      </c>
      <c r="G11">
        <v>0.35219176765531301</v>
      </c>
      <c r="H11">
        <v>0.35600841231644098</v>
      </c>
      <c r="I11">
        <v>0.347906960174441</v>
      </c>
      <c r="J11">
        <v>0.353153070434927</v>
      </c>
      <c r="L11" t="s">
        <v>123</v>
      </c>
      <c r="M11">
        <v>2.4248319999999999</v>
      </c>
      <c r="N11">
        <v>10.944512</v>
      </c>
      <c r="O11">
        <v>6.557696</v>
      </c>
      <c r="P11">
        <v>6.5863680000000002</v>
      </c>
      <c r="Q11">
        <v>6.4757759999999998</v>
      </c>
      <c r="R11">
        <v>32.575488</v>
      </c>
      <c r="S11">
        <v>30.519296000000001</v>
      </c>
      <c r="T11">
        <v>31.268864000000001</v>
      </c>
      <c r="U11">
        <v>31.506432</v>
      </c>
    </row>
    <row r="12" spans="1:21" x14ac:dyDescent="0.2">
      <c r="A12" t="s">
        <v>139</v>
      </c>
      <c r="B12">
        <v>15.944227986</v>
      </c>
      <c r="C12">
        <v>0</v>
      </c>
      <c r="D12">
        <v>12.783220291999999</v>
      </c>
      <c r="E12">
        <v>13.076920831000001</v>
      </c>
      <c r="F12">
        <v>12.405646308</v>
      </c>
      <c r="G12">
        <v>0.431900846771895</v>
      </c>
      <c r="H12">
        <v>27.732541572302502</v>
      </c>
      <c r="I12">
        <v>0.42703207861632098</v>
      </c>
      <c r="J12">
        <v>26.967019034549502</v>
      </c>
      <c r="L12" t="s">
        <v>139</v>
      </c>
      <c r="M12">
        <v>263.03283199999998</v>
      </c>
      <c r="O12">
        <v>12.767232</v>
      </c>
      <c r="P12">
        <v>7.9216639999999998</v>
      </c>
      <c r="Q12">
        <v>8.1428480000000008</v>
      </c>
      <c r="R12">
        <v>41.705472</v>
      </c>
      <c r="S12">
        <v>894.30016000000001</v>
      </c>
      <c r="T12">
        <v>41.848832000000002</v>
      </c>
      <c r="U12">
        <v>764.16614400000003</v>
      </c>
    </row>
    <row r="13" spans="1:21" x14ac:dyDescent="0.2">
      <c r="A13" t="s">
        <v>124</v>
      </c>
      <c r="B13">
        <v>0.74863363699999996</v>
      </c>
      <c r="C13">
        <v>1.090108571</v>
      </c>
      <c r="D13">
        <v>1.103876946</v>
      </c>
      <c r="E13">
        <v>1.1165375120000001</v>
      </c>
      <c r="F13">
        <v>1.110123379</v>
      </c>
      <c r="G13">
        <v>0.42094170581549401</v>
      </c>
      <c r="H13">
        <v>1.4852784844115301</v>
      </c>
      <c r="I13">
        <v>0.35992793645709698</v>
      </c>
      <c r="J13">
        <v>1.36274131760001</v>
      </c>
      <c r="L13" t="s">
        <v>124</v>
      </c>
      <c r="M13">
        <v>10.530816</v>
      </c>
      <c r="N13">
        <v>7.528448</v>
      </c>
      <c r="O13">
        <v>6.8198400000000001</v>
      </c>
      <c r="P13">
        <v>6.7706879999999998</v>
      </c>
      <c r="Q13">
        <v>6.7338240000000003</v>
      </c>
      <c r="R13">
        <v>41.422848000000002</v>
      </c>
      <c r="S13">
        <v>82.153471999999994</v>
      </c>
      <c r="T13">
        <v>35.229695999999997</v>
      </c>
      <c r="U13">
        <v>73.986047999999997</v>
      </c>
    </row>
    <row r="14" spans="1:21" x14ac:dyDescent="0.2">
      <c r="A14" t="s">
        <v>125</v>
      </c>
      <c r="B14">
        <v>1.3838523E-2</v>
      </c>
      <c r="C14">
        <v>5.9707260900000003</v>
      </c>
      <c r="D14">
        <v>0.103748514</v>
      </c>
      <c r="E14">
        <v>0.107384961</v>
      </c>
      <c r="F14">
        <v>0.10867394900000001</v>
      </c>
      <c r="G14">
        <v>0.4473332837224</v>
      </c>
      <c r="H14">
        <v>0.35742154810577598</v>
      </c>
      <c r="I14">
        <v>0.79404207039624397</v>
      </c>
      <c r="J14">
        <v>0.34443063102662502</v>
      </c>
      <c r="L14" t="s">
        <v>125</v>
      </c>
      <c r="M14">
        <v>2.4043519999999998</v>
      </c>
      <c r="N14">
        <v>16.273408</v>
      </c>
      <c r="O14">
        <v>6.2545919999999997</v>
      </c>
      <c r="P14">
        <v>6.2668799999999996</v>
      </c>
      <c r="Q14">
        <v>6.2054400000000003</v>
      </c>
      <c r="R14">
        <v>41.910271999999999</v>
      </c>
      <c r="S14">
        <v>30.900224000000001</v>
      </c>
      <c r="T14">
        <v>49.049599999999998</v>
      </c>
      <c r="U14">
        <v>31.031296000000001</v>
      </c>
    </row>
    <row r="15" spans="1:21" x14ac:dyDescent="0.2">
      <c r="A15" t="s">
        <v>126</v>
      </c>
      <c r="B15">
        <v>5.4173114000000001E-2</v>
      </c>
      <c r="C15">
        <v>1.5522600259999999</v>
      </c>
      <c r="D15">
        <v>0.221674606</v>
      </c>
      <c r="E15">
        <v>0.22412981400000001</v>
      </c>
      <c r="F15">
        <v>0.22820383899999999</v>
      </c>
      <c r="G15">
        <v>1.1525586657225999</v>
      </c>
      <c r="H15">
        <v>0.399933689273893</v>
      </c>
      <c r="I15">
        <v>0.97855625953525305</v>
      </c>
      <c r="J15">
        <v>0.38683519791811699</v>
      </c>
      <c r="L15" t="s">
        <v>126</v>
      </c>
      <c r="M15">
        <v>2.53952</v>
      </c>
      <c r="N15">
        <v>9.1709440000000004</v>
      </c>
      <c r="O15">
        <v>6.4675840000000004</v>
      </c>
      <c r="P15">
        <v>6.4716800000000001</v>
      </c>
      <c r="Q15">
        <v>6.4716800000000001</v>
      </c>
      <c r="R15">
        <v>71.548928000000004</v>
      </c>
      <c r="S15">
        <v>31.674368000000001</v>
      </c>
      <c r="T15">
        <v>108.95359999999999</v>
      </c>
      <c r="U15">
        <v>31.289344</v>
      </c>
    </row>
    <row r="16" spans="1:21" x14ac:dyDescent="0.2">
      <c r="A16" t="s">
        <v>127</v>
      </c>
      <c r="B16">
        <v>0.23247991500000001</v>
      </c>
      <c r="C16">
        <v>3.8128432609999998</v>
      </c>
      <c r="D16">
        <v>2.024685963</v>
      </c>
      <c r="E16">
        <v>0.38593401300000002</v>
      </c>
      <c r="F16">
        <v>0.39378183500000002</v>
      </c>
      <c r="G16">
        <v>2.0445491718128301</v>
      </c>
      <c r="H16">
        <v>0.60312035121023599</v>
      </c>
      <c r="I16">
        <v>1.81189968250691</v>
      </c>
      <c r="J16">
        <v>0.58394140563905195</v>
      </c>
      <c r="L16" t="s">
        <v>127</v>
      </c>
      <c r="M16">
        <v>4.9397760000000002</v>
      </c>
      <c r="N16">
        <v>10.911744000000001</v>
      </c>
      <c r="O16">
        <v>108.04428799999999</v>
      </c>
      <c r="P16">
        <v>8.3066879999999994</v>
      </c>
      <c r="Q16">
        <v>9.8672640000000005</v>
      </c>
      <c r="R16">
        <v>106.078208</v>
      </c>
      <c r="S16">
        <v>39.194623999999997</v>
      </c>
      <c r="T16">
        <v>106.90560000000001</v>
      </c>
      <c r="U16">
        <v>37.838847999999999</v>
      </c>
    </row>
    <row r="17" spans="1:21" x14ac:dyDescent="0.2">
      <c r="A17" t="s">
        <v>140</v>
      </c>
      <c r="B17">
        <v>12.300958882</v>
      </c>
      <c r="D17">
        <v>12.893044789999999</v>
      </c>
      <c r="E17">
        <v>13.077579808999999</v>
      </c>
      <c r="F17">
        <v>12.958363910999999</v>
      </c>
      <c r="G17">
        <v>1.4935459699481699</v>
      </c>
      <c r="H17">
        <v>23.318893126212</v>
      </c>
      <c r="I17">
        <v>3.06855461932718</v>
      </c>
      <c r="J17">
        <v>21.687002820894101</v>
      </c>
      <c r="L17" t="s">
        <v>140</v>
      </c>
      <c r="M17">
        <v>122.66291200000001</v>
      </c>
      <c r="O17">
        <v>8.8186879999999999</v>
      </c>
      <c r="P17">
        <v>6.9959680000000004</v>
      </c>
      <c r="Q17">
        <v>8.6958079999999995</v>
      </c>
      <c r="R17">
        <v>108.76927999999999</v>
      </c>
      <c r="S17">
        <v>773.44358399999999</v>
      </c>
      <c r="T17">
        <v>109.28128</v>
      </c>
      <c r="U17">
        <v>663.46188800000004</v>
      </c>
    </row>
    <row r="18" spans="1:21" x14ac:dyDescent="0.2">
      <c r="A18" t="s">
        <v>141</v>
      </c>
      <c r="B18">
        <v>0.63706424900000003</v>
      </c>
      <c r="D18">
        <v>2.676052678</v>
      </c>
      <c r="E18">
        <v>0.74678053899999997</v>
      </c>
      <c r="F18">
        <v>0.74224239000000003</v>
      </c>
      <c r="G18">
        <v>2.4599639819934902</v>
      </c>
      <c r="H18">
        <v>1.26049202401191</v>
      </c>
      <c r="I18">
        <v>3.40998989436775</v>
      </c>
      <c r="J18">
        <v>1.2020680680871001</v>
      </c>
      <c r="L18" t="s">
        <v>141</v>
      </c>
      <c r="M18">
        <v>9.7648639999999993</v>
      </c>
      <c r="O18">
        <v>116.744192</v>
      </c>
      <c r="P18">
        <v>6.9959680000000004</v>
      </c>
      <c r="Q18">
        <v>9.7443840000000002</v>
      </c>
      <c r="R18">
        <v>184.71321599999999</v>
      </c>
      <c r="S18">
        <v>60.018687999999997</v>
      </c>
      <c r="T18">
        <v>192.21299200000001</v>
      </c>
      <c r="U18">
        <v>55.635967999999998</v>
      </c>
    </row>
    <row r="19" spans="1:21" x14ac:dyDescent="0.2">
      <c r="A19" t="s">
        <v>142</v>
      </c>
      <c r="B19">
        <v>36.293728373999997</v>
      </c>
      <c r="D19">
        <v>34.973116781999998</v>
      </c>
      <c r="E19">
        <v>35.598312591999999</v>
      </c>
      <c r="F19">
        <v>35.772169886</v>
      </c>
      <c r="G19">
        <v>1.0382380690425601</v>
      </c>
      <c r="H19">
        <v>99.254423462785695</v>
      </c>
      <c r="I19">
        <v>0.96051662694662798</v>
      </c>
      <c r="J19">
        <v>96.917122863233004</v>
      </c>
      <c r="L19" t="s">
        <v>142</v>
      </c>
      <c r="M19">
        <v>362.70899200000002</v>
      </c>
      <c r="O19">
        <v>7.3564160000000003</v>
      </c>
      <c r="P19">
        <v>6.6437119999999998</v>
      </c>
      <c r="Q19">
        <v>6.5986560000000001</v>
      </c>
      <c r="R19">
        <v>74.137600000000006</v>
      </c>
      <c r="S19">
        <v>2061.2464639999998</v>
      </c>
      <c r="T19">
        <v>102.580224</v>
      </c>
      <c r="U19">
        <v>1761.1735040000001</v>
      </c>
    </row>
    <row r="20" spans="1:21" x14ac:dyDescent="0.2">
      <c r="A20" t="s">
        <v>99</v>
      </c>
      <c r="B20">
        <v>900.78059242799998</v>
      </c>
      <c r="D20">
        <v>900.70740531299998</v>
      </c>
      <c r="E20">
        <v>900.62601442699997</v>
      </c>
      <c r="F20">
        <v>900.71484535299999</v>
      </c>
      <c r="G20">
        <v>71.512142442166805</v>
      </c>
      <c r="H20">
        <v>901.00169255956996</v>
      </c>
      <c r="I20">
        <v>65.843059114180505</v>
      </c>
      <c r="J20">
        <v>901.00190800242103</v>
      </c>
      <c r="L20" t="s">
        <v>99</v>
      </c>
      <c r="M20">
        <v>3.4611200000000002</v>
      </c>
      <c r="O20">
        <v>114.73715199999999</v>
      </c>
      <c r="P20">
        <v>34.082816000000001</v>
      </c>
      <c r="Q20">
        <v>118.14502400000001</v>
      </c>
      <c r="R20">
        <v>3319.5048959999999</v>
      </c>
      <c r="S20">
        <v>75.108351999999996</v>
      </c>
      <c r="T20">
        <v>3319.5581440000001</v>
      </c>
      <c r="U20">
        <v>74.870784</v>
      </c>
    </row>
    <row r="21" spans="1:21" x14ac:dyDescent="0.2">
      <c r="A21" t="s">
        <v>100</v>
      </c>
      <c r="B21">
        <v>901.37485943399997</v>
      </c>
      <c r="D21">
        <v>284.23696863700002</v>
      </c>
      <c r="E21">
        <v>900.58179121700005</v>
      </c>
      <c r="F21">
        <v>900.75066494500004</v>
      </c>
      <c r="G21">
        <v>47.373723511584103</v>
      </c>
      <c r="H21">
        <v>901.002047104761</v>
      </c>
      <c r="I21">
        <v>29.301196513697501</v>
      </c>
      <c r="J21">
        <v>901.00201038829903</v>
      </c>
      <c r="L21" t="s">
        <v>100</v>
      </c>
      <c r="M21">
        <v>15065.059327999999</v>
      </c>
      <c r="O21">
        <v>16000</v>
      </c>
      <c r="P21">
        <v>66.756608</v>
      </c>
      <c r="Q21">
        <v>129.417216</v>
      </c>
      <c r="R21">
        <v>3081.1217919999999</v>
      </c>
      <c r="S21">
        <v>276.238336</v>
      </c>
      <c r="T21">
        <v>3423.0681599999998</v>
      </c>
      <c r="U21">
        <v>187.51897600000001</v>
      </c>
    </row>
    <row r="22" spans="1:21" x14ac:dyDescent="0.2">
      <c r="A22" t="s">
        <v>101</v>
      </c>
      <c r="B22">
        <v>900.93878734400005</v>
      </c>
      <c r="D22">
        <v>512.98595976499996</v>
      </c>
      <c r="E22">
        <v>900.87519253300002</v>
      </c>
      <c r="F22">
        <v>300.68815876000002</v>
      </c>
      <c r="G22">
        <v>225.83621097635401</v>
      </c>
      <c r="H22">
        <v>901.00231695268303</v>
      </c>
      <c r="I22">
        <v>20.888749296776901</v>
      </c>
      <c r="J22">
        <v>901.00185070093698</v>
      </c>
      <c r="L22" t="s">
        <v>101</v>
      </c>
      <c r="M22">
        <v>6558.1015040000002</v>
      </c>
      <c r="O22">
        <v>16000</v>
      </c>
      <c r="P22">
        <v>3886.1824000000001</v>
      </c>
      <c r="Q22">
        <v>16000</v>
      </c>
      <c r="R22">
        <v>16000</v>
      </c>
      <c r="S22">
        <v>183.68512000000001</v>
      </c>
      <c r="T22">
        <v>1458.8149759999999</v>
      </c>
      <c r="U22">
        <v>184.25036800000001</v>
      </c>
    </row>
    <row r="23" spans="1:21" ht="15.5" customHeight="1" x14ac:dyDescent="0.2">
      <c r="A23" t="s">
        <v>102</v>
      </c>
      <c r="B23">
        <v>900.810939072</v>
      </c>
      <c r="D23">
        <v>900.39855015000001</v>
      </c>
      <c r="E23">
        <v>900.66302862299995</v>
      </c>
      <c r="F23">
        <v>900.70903568200004</v>
      </c>
      <c r="G23">
        <v>38.564331354573298</v>
      </c>
      <c r="H23">
        <v>901.00180470477699</v>
      </c>
      <c r="I23">
        <v>37.013537867925997</v>
      </c>
      <c r="J23">
        <v>901.00188754871397</v>
      </c>
      <c r="L23" t="s">
        <v>102</v>
      </c>
      <c r="M23">
        <v>774.89356799999996</v>
      </c>
      <c r="O23">
        <v>8.3025920000000006</v>
      </c>
      <c r="P23">
        <v>7.909376</v>
      </c>
      <c r="Q23">
        <v>8.3025920000000006</v>
      </c>
      <c r="R23">
        <v>644.71449600000005</v>
      </c>
      <c r="S23">
        <v>37.425151999999997</v>
      </c>
      <c r="T23">
        <v>442.44992000000002</v>
      </c>
      <c r="U23">
        <v>36.220928000000001</v>
      </c>
    </row>
    <row r="24" spans="1:21" x14ac:dyDescent="0.2">
      <c r="A24" t="s">
        <v>103</v>
      </c>
      <c r="B24">
        <v>900.87189405100003</v>
      </c>
      <c r="D24">
        <v>900.73680904599996</v>
      </c>
      <c r="E24">
        <v>900.69834227499996</v>
      </c>
      <c r="F24">
        <v>900.74183300899995</v>
      </c>
      <c r="G24">
        <v>300.77606152929297</v>
      </c>
      <c r="H24">
        <v>901.00200629886206</v>
      </c>
      <c r="I24">
        <v>298.51902849413398</v>
      </c>
      <c r="J24">
        <v>901.00195747520695</v>
      </c>
      <c r="L24" t="s">
        <v>103</v>
      </c>
      <c r="M24">
        <v>2893.3857280000002</v>
      </c>
      <c r="O24">
        <v>2067.1733760000002</v>
      </c>
      <c r="P24">
        <v>83.668992000000003</v>
      </c>
      <c r="Q24">
        <v>141.34067200000001</v>
      </c>
      <c r="R24">
        <v>16000</v>
      </c>
      <c r="S24">
        <v>219.11552</v>
      </c>
      <c r="T24">
        <v>16000</v>
      </c>
      <c r="U24">
        <v>218.95987199999999</v>
      </c>
    </row>
    <row r="25" spans="1:21" x14ac:dyDescent="0.2">
      <c r="A25" t="s">
        <v>104</v>
      </c>
      <c r="B25">
        <v>901.07793587599997</v>
      </c>
      <c r="D25">
        <v>900.94614853099995</v>
      </c>
      <c r="E25">
        <v>900.67368546700004</v>
      </c>
      <c r="F25">
        <v>900.73926895600005</v>
      </c>
      <c r="G25">
        <v>901.00237277895201</v>
      </c>
      <c r="H25">
        <v>901.00194662809304</v>
      </c>
      <c r="I25">
        <v>901.00209863204498</v>
      </c>
      <c r="J25">
        <v>901.00181066337905</v>
      </c>
      <c r="L25" t="s">
        <v>104</v>
      </c>
      <c r="M25">
        <v>7062.7573759999996</v>
      </c>
      <c r="O25">
        <v>4929.6670720000002</v>
      </c>
      <c r="P25">
        <v>117.850112</v>
      </c>
      <c r="Q25">
        <v>158.25305599999999</v>
      </c>
      <c r="R25">
        <v>3204.7841279999998</v>
      </c>
      <c r="S25">
        <v>1328.35328</v>
      </c>
      <c r="T25">
        <v>3475.0013439999998</v>
      </c>
      <c r="U25">
        <v>1328.9185279999999</v>
      </c>
    </row>
    <row r="26" spans="1:21" x14ac:dyDescent="0.2">
      <c r="A26" t="s">
        <v>105</v>
      </c>
      <c r="B26">
        <v>900.95889763100001</v>
      </c>
      <c r="D26">
        <v>441.01398707800001</v>
      </c>
      <c r="E26">
        <v>900.76833597899997</v>
      </c>
      <c r="F26">
        <v>900.81984434000003</v>
      </c>
      <c r="G26">
        <v>901.00217395368895</v>
      </c>
      <c r="H26">
        <v>901.00232474878396</v>
      </c>
      <c r="I26">
        <v>172.831302924081</v>
      </c>
      <c r="J26">
        <v>901.00172675028398</v>
      </c>
      <c r="L26" t="s">
        <v>105</v>
      </c>
      <c r="M26">
        <v>5348.0325119999998</v>
      </c>
      <c r="O26">
        <v>16000</v>
      </c>
      <c r="P26">
        <v>912.69939199999999</v>
      </c>
      <c r="Q26">
        <v>2162.60608</v>
      </c>
      <c r="R26">
        <v>14050.902016</v>
      </c>
      <c r="S26">
        <v>346.00140800000003</v>
      </c>
      <c r="T26">
        <v>16000</v>
      </c>
      <c r="U26">
        <v>345.94406400000003</v>
      </c>
    </row>
    <row r="27" spans="1:21" x14ac:dyDescent="0.2">
      <c r="A27" t="s">
        <v>106</v>
      </c>
      <c r="B27">
        <v>901.00248387600004</v>
      </c>
      <c r="D27">
        <v>900.702252284</v>
      </c>
      <c r="E27">
        <v>900.62503227900004</v>
      </c>
      <c r="F27">
        <v>900.59683742200002</v>
      </c>
      <c r="G27">
        <v>177.979430323466</v>
      </c>
      <c r="H27">
        <v>901.00197509396799</v>
      </c>
      <c r="I27">
        <v>179.56331700924699</v>
      </c>
      <c r="J27">
        <v>901.00191876757799</v>
      </c>
      <c r="L27" t="s">
        <v>106</v>
      </c>
      <c r="M27">
        <v>6054.2320639999998</v>
      </c>
      <c r="O27">
        <v>533.90540799999997</v>
      </c>
      <c r="P27">
        <v>8.5729279999999992</v>
      </c>
      <c r="Q27">
        <v>9.7443840000000002</v>
      </c>
      <c r="R27">
        <v>16000</v>
      </c>
      <c r="S27">
        <v>223.72761600000001</v>
      </c>
      <c r="T27">
        <v>16000</v>
      </c>
      <c r="U27">
        <v>223.75628800000001</v>
      </c>
    </row>
    <row r="28" spans="1:21" x14ac:dyDescent="0.2">
      <c r="A28" t="s">
        <v>107</v>
      </c>
      <c r="B28">
        <v>900.87773544000004</v>
      </c>
      <c r="D28">
        <v>900.66008242700002</v>
      </c>
      <c r="E28">
        <v>900.71990403799998</v>
      </c>
      <c r="F28">
        <v>900.61001479799995</v>
      </c>
      <c r="G28">
        <v>901.00219125766296</v>
      </c>
      <c r="H28">
        <v>901.00197007879603</v>
      </c>
      <c r="I28">
        <v>901.00218167435298</v>
      </c>
      <c r="J28">
        <v>901.00191904511303</v>
      </c>
      <c r="L28" t="s">
        <v>107</v>
      </c>
      <c r="M28">
        <v>3297.6117760000002</v>
      </c>
      <c r="O28">
        <v>20.774912</v>
      </c>
      <c r="P28">
        <v>10.006527999999999</v>
      </c>
      <c r="Q28">
        <v>14.336</v>
      </c>
      <c r="R28">
        <v>1806.897152</v>
      </c>
      <c r="S28">
        <v>153.690112</v>
      </c>
      <c r="T28">
        <v>1781.497856</v>
      </c>
      <c r="U28">
        <v>152.78899200000001</v>
      </c>
    </row>
    <row r="30" spans="1:21" x14ac:dyDescent="0.2">
      <c r="H30" t="s">
        <v>177</v>
      </c>
    </row>
    <row r="40" spans="46:60" ht="16" x14ac:dyDescent="0.2">
      <c r="AT40" s="9"/>
      <c r="AU40" s="4"/>
      <c r="AV40" s="4"/>
      <c r="AW40" s="4"/>
      <c r="AX40" s="4"/>
      <c r="BG40" s="4"/>
      <c r="BH40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BC5C-CBCD-4069-AAEB-6E8F91C9312B}">
  <dimension ref="A1:AQ65"/>
  <sheetViews>
    <sheetView workbookViewId="0">
      <selection activeCell="C15" sqref="C15"/>
    </sheetView>
  </sheetViews>
  <sheetFormatPr baseColWidth="10" defaultColWidth="8.83203125" defaultRowHeight="15" x14ac:dyDescent="0.2"/>
  <cols>
    <col min="12" max="12" width="9.33203125" customWidth="1"/>
    <col min="16" max="16" width="12.83203125" bestFit="1" customWidth="1"/>
    <col min="18" max="18" width="29.83203125" bestFit="1" customWidth="1"/>
    <col min="19" max="19" width="31.33203125" bestFit="1" customWidth="1"/>
    <col min="20" max="20" width="29.6640625" bestFit="1" customWidth="1"/>
    <col min="21" max="21" width="7.6640625" bestFit="1" customWidth="1"/>
    <col min="22" max="22" width="9.6640625" bestFit="1" customWidth="1"/>
  </cols>
  <sheetData>
    <row r="1" spans="1:43" x14ac:dyDescent="0.2">
      <c r="B1" s="12" t="s">
        <v>109</v>
      </c>
      <c r="C1" s="12"/>
      <c r="D1" s="12"/>
      <c r="F1" s="12" t="s">
        <v>128</v>
      </c>
      <c r="G1" s="12"/>
      <c r="H1" s="12"/>
      <c r="J1" s="12" t="s">
        <v>111</v>
      </c>
      <c r="K1" s="12"/>
      <c r="L1" s="12"/>
      <c r="M1" s="12" t="s">
        <v>129</v>
      </c>
      <c r="N1" s="12"/>
      <c r="O1" s="12"/>
      <c r="P1" s="10"/>
      <c r="Q1" s="10"/>
      <c r="R1" s="10"/>
      <c r="T1" s="12" t="s">
        <v>130</v>
      </c>
      <c r="U1" s="12"/>
      <c r="V1" s="12"/>
      <c r="Y1" s="12" t="s">
        <v>180</v>
      </c>
      <c r="Z1" s="12"/>
      <c r="AA1" s="12"/>
      <c r="AD1" s="12" t="s">
        <v>179</v>
      </c>
      <c r="AE1" s="12"/>
      <c r="AF1" s="12"/>
      <c r="AI1" s="12"/>
      <c r="AJ1" s="12"/>
      <c r="AK1" s="12"/>
      <c r="AN1" s="12"/>
      <c r="AO1" s="12"/>
      <c r="AP1" s="12"/>
    </row>
    <row r="2" spans="1:43" x14ac:dyDescent="0.2">
      <c r="A2" t="s">
        <v>108</v>
      </c>
      <c r="B2" s="2" t="s">
        <v>131</v>
      </c>
      <c r="C2" t="s">
        <v>132</v>
      </c>
      <c r="D2" t="s">
        <v>133</v>
      </c>
      <c r="F2" s="2" t="s">
        <v>131</v>
      </c>
      <c r="G2" t="s">
        <v>132</v>
      </c>
      <c r="H2" t="s">
        <v>133</v>
      </c>
      <c r="I2" t="s">
        <v>134</v>
      </c>
      <c r="J2" s="2" t="s">
        <v>131</v>
      </c>
      <c r="K2" t="s">
        <v>135</v>
      </c>
      <c r="L2" t="s">
        <v>133</v>
      </c>
      <c r="M2" s="2" t="s">
        <v>131</v>
      </c>
      <c r="N2" t="s">
        <v>135</v>
      </c>
      <c r="O2" t="s">
        <v>133</v>
      </c>
      <c r="T2" s="2" t="s">
        <v>131</v>
      </c>
      <c r="U2" t="s">
        <v>135</v>
      </c>
      <c r="V2" t="s">
        <v>136</v>
      </c>
      <c r="Y2" s="2"/>
      <c r="AA2" t="s">
        <v>136</v>
      </c>
      <c r="AD2" s="2"/>
      <c r="AE2" t="s">
        <v>135</v>
      </c>
      <c r="AI2" s="2"/>
      <c r="AN2" s="2"/>
    </row>
    <row r="3" spans="1:43" ht="16" x14ac:dyDescent="0.2">
      <c r="A3" t="s">
        <v>114</v>
      </c>
      <c r="B3" s="2" t="s">
        <v>137</v>
      </c>
      <c r="C3">
        <v>490</v>
      </c>
      <c r="D3">
        <v>1.2970499999999999E-2</v>
      </c>
      <c r="E3" s="4"/>
      <c r="F3" s="2" t="s">
        <v>12</v>
      </c>
      <c r="G3" s="3">
        <v>490</v>
      </c>
      <c r="H3" s="4">
        <v>1.2908299999999999E-2</v>
      </c>
      <c r="I3" s="4"/>
      <c r="J3" s="2" t="s">
        <v>138</v>
      </c>
      <c r="K3" s="3">
        <v>490</v>
      </c>
      <c r="L3" s="9">
        <v>1.15222E-2</v>
      </c>
      <c r="M3" s="2" t="s">
        <v>138</v>
      </c>
      <c r="N3" s="6">
        <v>490</v>
      </c>
      <c r="O3">
        <v>1.2970499999999999E-2</v>
      </c>
      <c r="P3">
        <f>((O3-D3)/O3)*100</f>
        <v>0</v>
      </c>
      <c r="T3" s="2" t="s">
        <v>138</v>
      </c>
      <c r="U3">
        <v>490</v>
      </c>
      <c r="V3">
        <v>1.2970499999999999E-2</v>
      </c>
      <c r="Y3">
        <v>490</v>
      </c>
      <c r="AA3">
        <v>1.152217E-2</v>
      </c>
      <c r="AE3">
        <v>490</v>
      </c>
      <c r="AF3">
        <v>1.2970000000000001E-2</v>
      </c>
      <c r="AG3">
        <v>1.2907999999999999E-2</v>
      </c>
    </row>
    <row r="4" spans="1:43" ht="16" x14ac:dyDescent="0.2">
      <c r="A4" t="s">
        <v>115</v>
      </c>
      <c r="B4" s="2" t="s">
        <v>137</v>
      </c>
      <c r="C4">
        <v>1846</v>
      </c>
      <c r="D4" s="4">
        <v>4.4793399999999998E-13</v>
      </c>
      <c r="E4" s="4"/>
      <c r="F4" s="2" t="s">
        <v>12</v>
      </c>
      <c r="G4">
        <v>1846</v>
      </c>
      <c r="H4" s="4">
        <v>4.4686499999999998E-13</v>
      </c>
      <c r="I4" s="4"/>
      <c r="J4" s="2" t="s">
        <v>138</v>
      </c>
      <c r="K4" s="5">
        <v>1846</v>
      </c>
      <c r="L4" s="11">
        <v>4.1836199999999999E-13</v>
      </c>
      <c r="M4" s="2" t="s">
        <v>138</v>
      </c>
      <c r="N4" s="6">
        <v>1846</v>
      </c>
      <c r="O4" s="4">
        <v>4.4793399999999998E-13</v>
      </c>
      <c r="P4">
        <f t="shared" ref="P4:P17" si="0">((O4-D4)/O4)*100</f>
        <v>0</v>
      </c>
      <c r="T4" s="2" t="s">
        <v>138</v>
      </c>
      <c r="U4">
        <v>1846</v>
      </c>
      <c r="V4" s="4">
        <v>4.4793399999999998E-13</v>
      </c>
      <c r="Y4">
        <v>1846</v>
      </c>
      <c r="AA4" s="4">
        <v>4.1836170000000002E-13</v>
      </c>
      <c r="AB4" s="4"/>
      <c r="AE4">
        <v>1846</v>
      </c>
      <c r="AF4" s="4">
        <v>4.4800000000000001E-13</v>
      </c>
      <c r="AG4" s="4">
        <v>4.4800000000000001E-13</v>
      </c>
      <c r="AK4" s="4"/>
      <c r="AM4" s="4"/>
      <c r="AP4" s="4"/>
      <c r="AQ4" s="4"/>
    </row>
    <row r="5" spans="1:43" ht="16" x14ac:dyDescent="0.2">
      <c r="A5" t="s">
        <v>116</v>
      </c>
      <c r="B5" s="2" t="s">
        <v>137</v>
      </c>
      <c r="C5">
        <v>83</v>
      </c>
      <c r="D5" s="4">
        <v>8.4678200000000006E-9</v>
      </c>
      <c r="E5" s="4"/>
      <c r="F5" s="2" t="s">
        <v>12</v>
      </c>
      <c r="G5">
        <v>83</v>
      </c>
      <c r="H5" s="7">
        <v>8.4678200000000006E-9</v>
      </c>
      <c r="I5" s="7"/>
      <c r="J5" s="2" t="s">
        <v>138</v>
      </c>
      <c r="K5" s="5">
        <v>83</v>
      </c>
      <c r="L5" s="11">
        <v>7.8260800000000008E-9</v>
      </c>
      <c r="M5" s="2" t="s">
        <v>138</v>
      </c>
      <c r="N5" s="5">
        <v>83</v>
      </c>
      <c r="O5" s="4">
        <v>8.4678200000000006E-9</v>
      </c>
      <c r="P5">
        <f t="shared" si="0"/>
        <v>0</v>
      </c>
      <c r="T5" s="2" t="s">
        <v>138</v>
      </c>
      <c r="U5">
        <v>83</v>
      </c>
      <c r="V5" s="4">
        <v>8.4678200000000006E-9</v>
      </c>
      <c r="Y5">
        <v>83</v>
      </c>
      <c r="AA5" s="4">
        <v>7.8260850000000007E-9</v>
      </c>
      <c r="AB5" s="4"/>
      <c r="AE5">
        <v>83</v>
      </c>
      <c r="AF5" s="4">
        <v>8.4700000000000007E-9</v>
      </c>
      <c r="AG5" s="4">
        <v>8.4700000000000007E-9</v>
      </c>
      <c r="AK5" s="4"/>
      <c r="AM5" s="4"/>
      <c r="AP5" s="4"/>
      <c r="AQ5" s="4"/>
    </row>
    <row r="6" spans="1:43" ht="16" x14ac:dyDescent="0.2">
      <c r="A6" t="s">
        <v>117</v>
      </c>
      <c r="B6" s="2" t="s">
        <v>137</v>
      </c>
      <c r="C6">
        <v>276</v>
      </c>
      <c r="D6" s="4">
        <v>2.6775600000000001E-7</v>
      </c>
      <c r="E6" s="4"/>
      <c r="F6" s="2" t="s">
        <v>12</v>
      </c>
      <c r="G6">
        <v>276</v>
      </c>
      <c r="H6" s="4">
        <v>2.6775600000000001E-7</v>
      </c>
      <c r="I6" s="4"/>
      <c r="J6" s="2" t="s">
        <v>138</v>
      </c>
      <c r="K6" s="5">
        <v>276</v>
      </c>
      <c r="L6" s="11">
        <v>2.3393E-7</v>
      </c>
      <c r="M6" s="2" t="s">
        <v>138</v>
      </c>
      <c r="N6" s="6">
        <v>276</v>
      </c>
      <c r="O6" s="4">
        <v>2.6775600000000001E-7</v>
      </c>
      <c r="P6">
        <f t="shared" si="0"/>
        <v>0</v>
      </c>
      <c r="T6" s="2" t="s">
        <v>138</v>
      </c>
      <c r="U6">
        <v>276</v>
      </c>
      <c r="V6" s="4">
        <v>2.6775600000000001E-7</v>
      </c>
      <c r="Y6">
        <v>276</v>
      </c>
      <c r="AA6" s="4">
        <v>2.3393019999999999E-7</v>
      </c>
      <c r="AB6" s="4"/>
      <c r="AE6">
        <v>276</v>
      </c>
      <c r="AF6" s="4">
        <v>2.6800000000000002E-7</v>
      </c>
      <c r="AG6" s="4">
        <v>2.6800000000000002E-7</v>
      </c>
      <c r="AK6" s="4"/>
      <c r="AM6" s="4"/>
      <c r="AP6" s="4"/>
      <c r="AQ6" s="4"/>
    </row>
    <row r="7" spans="1:43" ht="16" x14ac:dyDescent="0.2">
      <c r="A7" t="s">
        <v>118</v>
      </c>
      <c r="B7" s="2" t="s">
        <v>137</v>
      </c>
      <c r="C7">
        <v>22</v>
      </c>
      <c r="D7" s="4">
        <v>1.6006200000000001E-6</v>
      </c>
      <c r="E7" s="4"/>
      <c r="F7" s="2" t="s">
        <v>12</v>
      </c>
      <c r="G7">
        <v>22</v>
      </c>
      <c r="H7" s="4">
        <v>1.6006200000000001E-6</v>
      </c>
      <c r="I7" s="4"/>
      <c r="J7" s="2" t="s">
        <v>138</v>
      </c>
      <c r="K7" s="5">
        <v>22</v>
      </c>
      <c r="L7" s="11">
        <v>1.19348E-6</v>
      </c>
      <c r="M7" s="2" t="s">
        <v>138</v>
      </c>
      <c r="N7" s="5">
        <v>22</v>
      </c>
      <c r="O7" s="4">
        <v>1.6006200000000001E-6</v>
      </c>
      <c r="P7">
        <f t="shared" si="0"/>
        <v>0</v>
      </c>
      <c r="T7" s="2" t="s">
        <v>138</v>
      </c>
      <c r="U7">
        <v>22</v>
      </c>
      <c r="V7" s="4">
        <v>1.6006200000000001E-6</v>
      </c>
      <c r="Y7">
        <v>22</v>
      </c>
      <c r="AA7" s="4">
        <v>1.193481E-6</v>
      </c>
      <c r="AB7" s="4"/>
      <c r="AE7">
        <v>22</v>
      </c>
      <c r="AF7" s="4">
        <v>1.5999999999999999E-6</v>
      </c>
      <c r="AG7" s="4">
        <v>1.5999999999999999E-6</v>
      </c>
      <c r="AK7" s="4"/>
      <c r="AM7" s="4"/>
      <c r="AP7" s="4"/>
      <c r="AQ7" s="4"/>
    </row>
    <row r="8" spans="1:43" ht="16" x14ac:dyDescent="0.2">
      <c r="A8" t="s">
        <v>119</v>
      </c>
      <c r="B8" s="2" t="s">
        <v>137</v>
      </c>
      <c r="C8">
        <v>255</v>
      </c>
      <c r="D8" s="4">
        <v>9.1679500000000004E-10</v>
      </c>
      <c r="E8" s="4"/>
      <c r="F8" s="2" t="s">
        <v>12</v>
      </c>
      <c r="G8">
        <v>255</v>
      </c>
      <c r="H8" s="4">
        <v>9.1679500000000004E-10</v>
      </c>
      <c r="I8" s="4"/>
      <c r="J8" s="2" t="s">
        <v>138</v>
      </c>
      <c r="K8" s="5">
        <v>255</v>
      </c>
      <c r="L8" s="11">
        <v>8.7807199999999996E-10</v>
      </c>
      <c r="M8" s="2" t="s">
        <v>138</v>
      </c>
      <c r="N8" s="6">
        <v>255</v>
      </c>
      <c r="O8" s="4">
        <v>9.1679500000000004E-10</v>
      </c>
      <c r="P8">
        <f t="shared" si="0"/>
        <v>0</v>
      </c>
      <c r="T8" s="2" t="s">
        <v>138</v>
      </c>
      <c r="U8">
        <v>255</v>
      </c>
      <c r="V8" s="4">
        <v>9.1679500000000004E-10</v>
      </c>
      <c r="Y8">
        <v>255</v>
      </c>
      <c r="AA8" s="4">
        <v>8.7807239999999999E-10</v>
      </c>
      <c r="AB8" s="4"/>
      <c r="AE8">
        <v>255</v>
      </c>
      <c r="AF8" s="4">
        <v>9.1700000000000004E-10</v>
      </c>
      <c r="AG8" s="4">
        <v>9.1700000000000004E-10</v>
      </c>
      <c r="AK8" s="4"/>
      <c r="AM8" s="4"/>
      <c r="AP8" s="4"/>
      <c r="AQ8" s="4"/>
    </row>
    <row r="9" spans="1:43" ht="16" x14ac:dyDescent="0.2">
      <c r="A9" t="s">
        <v>120</v>
      </c>
      <c r="B9" s="2" t="s">
        <v>137</v>
      </c>
      <c r="C9">
        <v>198</v>
      </c>
      <c r="D9" s="4">
        <v>4.61056E-4</v>
      </c>
      <c r="E9" s="4"/>
      <c r="F9" s="2" t="s">
        <v>12</v>
      </c>
      <c r="G9" s="3">
        <v>198</v>
      </c>
      <c r="H9" s="4">
        <v>4.6097999999999999E-4</v>
      </c>
      <c r="I9" s="4"/>
      <c r="J9" s="2" t="s">
        <v>138</v>
      </c>
      <c r="K9" s="8">
        <v>198</v>
      </c>
      <c r="L9" s="9">
        <v>4.17923E-4</v>
      </c>
      <c r="M9" s="2" t="s">
        <v>138</v>
      </c>
      <c r="N9" s="5">
        <v>198</v>
      </c>
      <c r="O9" s="4">
        <v>4.61056E-4</v>
      </c>
      <c r="P9">
        <f t="shared" si="0"/>
        <v>0</v>
      </c>
      <c r="T9" s="2" t="s">
        <v>138</v>
      </c>
      <c r="U9">
        <v>198</v>
      </c>
      <c r="V9" s="4">
        <v>4.61056E-4</v>
      </c>
      <c r="Y9">
        <v>198</v>
      </c>
      <c r="AA9">
        <v>4.1792259999999998E-4</v>
      </c>
      <c r="AE9">
        <v>198</v>
      </c>
      <c r="AF9">
        <v>4.6106000000000001E-4</v>
      </c>
      <c r="AG9">
        <v>4.6097999999999999E-4</v>
      </c>
    </row>
    <row r="10" spans="1:43" ht="16" x14ac:dyDescent="0.2">
      <c r="A10" t="s">
        <v>121</v>
      </c>
      <c r="B10" s="2" t="s">
        <v>137</v>
      </c>
      <c r="C10">
        <v>2064</v>
      </c>
      <c r="D10" s="4">
        <v>6.6049599999999998E-13</v>
      </c>
      <c r="E10" s="4"/>
      <c r="F10" s="2" t="s">
        <v>12</v>
      </c>
      <c r="G10">
        <v>2064</v>
      </c>
      <c r="H10" s="4">
        <v>6.5969500000000005E-13</v>
      </c>
      <c r="I10" s="4"/>
      <c r="J10" s="2" t="s">
        <v>138</v>
      </c>
      <c r="K10" s="5">
        <v>2064</v>
      </c>
      <c r="L10" s="11">
        <v>5.2586899999999999E-13</v>
      </c>
      <c r="M10" s="2" t="s">
        <v>138</v>
      </c>
      <c r="N10" s="6">
        <v>2064</v>
      </c>
      <c r="O10" s="4">
        <v>6.6049599999999998E-13</v>
      </c>
      <c r="P10">
        <f t="shared" si="0"/>
        <v>0</v>
      </c>
      <c r="T10" s="2" t="s">
        <v>138</v>
      </c>
      <c r="U10">
        <v>2064</v>
      </c>
      <c r="V10" s="4">
        <v>6.6049599999999998E-13</v>
      </c>
      <c r="Y10">
        <v>2064</v>
      </c>
      <c r="AA10" s="4">
        <v>5.2586929999999996E-13</v>
      </c>
      <c r="AB10" s="4"/>
      <c r="AE10">
        <v>2064</v>
      </c>
      <c r="AF10" s="4">
        <v>6.6100000000000001E-13</v>
      </c>
      <c r="AG10" s="4">
        <v>6.6100000000000001E-13</v>
      </c>
      <c r="AK10" s="4"/>
      <c r="AM10" s="4"/>
      <c r="AP10" s="4"/>
      <c r="AQ10" s="4"/>
    </row>
    <row r="11" spans="1:43" ht="16" x14ac:dyDescent="0.2">
      <c r="A11" t="s">
        <v>122</v>
      </c>
      <c r="B11" s="2" t="s">
        <v>137</v>
      </c>
      <c r="C11">
        <v>3217</v>
      </c>
      <c r="D11" s="4">
        <v>9.3676599999999999E-3</v>
      </c>
      <c r="E11" s="4"/>
      <c r="F11" s="2" t="s">
        <v>12</v>
      </c>
      <c r="G11">
        <v>3217</v>
      </c>
      <c r="H11" s="4">
        <v>9.3311999999999996E-3</v>
      </c>
      <c r="I11" s="4"/>
      <c r="J11" s="2" t="s">
        <v>138</v>
      </c>
      <c r="K11" s="8">
        <v>3217</v>
      </c>
      <c r="L11" s="9">
        <v>8.0002800000000002E-3</v>
      </c>
      <c r="M11" s="2" t="s">
        <v>138</v>
      </c>
      <c r="N11" s="5">
        <v>3217</v>
      </c>
      <c r="O11" s="4">
        <v>9.3676599999999999E-3</v>
      </c>
      <c r="P11">
        <f t="shared" si="0"/>
        <v>0</v>
      </c>
      <c r="T11" s="2" t="s">
        <v>138</v>
      </c>
      <c r="U11">
        <v>3217</v>
      </c>
      <c r="V11" s="4">
        <v>9.3676599999999999E-3</v>
      </c>
      <c r="Y11">
        <v>3217</v>
      </c>
      <c r="AA11">
        <v>8.0002819999999992E-3</v>
      </c>
      <c r="AE11">
        <v>3217</v>
      </c>
      <c r="AF11">
        <v>9.3676999999999996E-3</v>
      </c>
      <c r="AG11">
        <v>9.3311999999999996E-3</v>
      </c>
    </row>
    <row r="12" spans="1:43" ht="16" x14ac:dyDescent="0.2">
      <c r="A12" t="s">
        <v>123</v>
      </c>
      <c r="B12" s="2" t="s">
        <v>137</v>
      </c>
      <c r="C12">
        <v>663</v>
      </c>
      <c r="D12" s="4">
        <v>7.5665999999999997E-8</v>
      </c>
      <c r="E12" s="4"/>
      <c r="F12" s="2" t="s">
        <v>12</v>
      </c>
      <c r="G12">
        <v>663</v>
      </c>
      <c r="H12" s="4">
        <v>7.5665999999999997E-8</v>
      </c>
      <c r="I12" s="4"/>
      <c r="J12" s="2" t="s">
        <v>138</v>
      </c>
      <c r="K12" s="5">
        <v>663</v>
      </c>
      <c r="L12" s="11">
        <v>6.2737899999999997E-8</v>
      </c>
      <c r="M12" s="2" t="s">
        <v>138</v>
      </c>
      <c r="N12" s="5">
        <v>663</v>
      </c>
      <c r="O12" s="4">
        <v>7.5665999999999997E-8</v>
      </c>
      <c r="P12">
        <f t="shared" si="0"/>
        <v>0</v>
      </c>
      <c r="T12" s="2" t="s">
        <v>138</v>
      </c>
      <c r="U12">
        <v>663</v>
      </c>
      <c r="V12" s="4">
        <v>7.5665999999999997E-8</v>
      </c>
      <c r="Y12">
        <v>663</v>
      </c>
      <c r="AA12" s="4">
        <v>6.2737939999999996E-8</v>
      </c>
      <c r="AB12" s="4"/>
      <c r="AE12">
        <v>663</v>
      </c>
      <c r="AF12" s="4">
        <v>7.5699999999999996E-8</v>
      </c>
      <c r="AG12" s="4">
        <v>7.5699999999999996E-8</v>
      </c>
      <c r="AK12" s="4"/>
      <c r="AM12" s="4"/>
      <c r="AP12" s="4"/>
      <c r="AQ12" s="4"/>
    </row>
    <row r="13" spans="1:43" ht="16" x14ac:dyDescent="0.2">
      <c r="A13" t="s">
        <v>139</v>
      </c>
      <c r="B13" s="2" t="s">
        <v>137</v>
      </c>
      <c r="C13">
        <v>570447</v>
      </c>
      <c r="D13">
        <v>1.5168E-3</v>
      </c>
      <c r="E13" s="4"/>
      <c r="F13" s="2" t="s">
        <v>12</v>
      </c>
      <c r="I13" s="4"/>
      <c r="J13" s="2" t="s">
        <v>138</v>
      </c>
      <c r="K13" s="3">
        <v>570447</v>
      </c>
      <c r="L13">
        <v>1.4265700000000001E-3</v>
      </c>
      <c r="M13" s="2" t="s">
        <v>138</v>
      </c>
      <c r="N13" s="5">
        <v>570447</v>
      </c>
      <c r="O13" s="4">
        <v>1.5168E-3</v>
      </c>
      <c r="P13">
        <f t="shared" si="0"/>
        <v>0</v>
      </c>
      <c r="T13" s="2" t="s">
        <v>138</v>
      </c>
      <c r="U13">
        <v>570447</v>
      </c>
      <c r="V13" s="4">
        <v>1.5168E-3</v>
      </c>
      <c r="Y13">
        <v>570447</v>
      </c>
      <c r="AA13">
        <v>1.4265739999999999E-3</v>
      </c>
      <c r="AE13">
        <v>570447</v>
      </c>
      <c r="AF13">
        <v>1.5168E-3</v>
      </c>
      <c r="AG13">
        <v>1.5161E-3</v>
      </c>
    </row>
    <row r="14" spans="1:43" ht="16" x14ac:dyDescent="0.2">
      <c r="A14" t="s">
        <v>124</v>
      </c>
      <c r="B14" s="2" t="s">
        <v>137</v>
      </c>
      <c r="C14">
        <v>36256</v>
      </c>
      <c r="D14" s="4">
        <v>5.4551099999999997E-11</v>
      </c>
      <c r="E14" s="4"/>
      <c r="F14" s="2" t="s">
        <v>12</v>
      </c>
      <c r="G14">
        <v>36256</v>
      </c>
      <c r="H14" s="4">
        <v>5.4551099999999997E-11</v>
      </c>
      <c r="I14" s="4"/>
      <c r="J14" s="2" t="s">
        <v>138</v>
      </c>
      <c r="K14" s="6">
        <v>36256</v>
      </c>
      <c r="L14" s="4">
        <v>5.2143E-11</v>
      </c>
      <c r="M14" s="2" t="s">
        <v>138</v>
      </c>
      <c r="N14" s="5">
        <v>36256</v>
      </c>
      <c r="O14" s="4">
        <v>5.4551099999999997E-11</v>
      </c>
      <c r="P14">
        <f t="shared" si="0"/>
        <v>0</v>
      </c>
      <c r="T14" s="2" t="s">
        <v>138</v>
      </c>
      <c r="U14">
        <v>36256</v>
      </c>
      <c r="V14" s="4">
        <v>5.4551099999999997E-11</v>
      </c>
      <c r="Y14">
        <v>36256</v>
      </c>
      <c r="AA14" s="4">
        <v>5.2142980000000002E-11</v>
      </c>
      <c r="AB14" s="4"/>
      <c r="AE14">
        <v>36256</v>
      </c>
      <c r="AF14" s="4">
        <v>5.4599999999999998E-11</v>
      </c>
      <c r="AG14" s="4">
        <v>5.4599999999999998E-11</v>
      </c>
      <c r="AK14" s="4"/>
      <c r="AM14" s="4"/>
      <c r="AP14" s="4"/>
      <c r="AQ14" s="4"/>
    </row>
    <row r="15" spans="1:43" ht="16" x14ac:dyDescent="0.2">
      <c r="A15" t="s">
        <v>125</v>
      </c>
      <c r="B15" s="2" t="s">
        <v>137</v>
      </c>
      <c r="C15">
        <v>40</v>
      </c>
      <c r="D15" s="4">
        <v>3.1908900000000001E-7</v>
      </c>
      <c r="E15" s="4"/>
      <c r="F15" s="2" t="s">
        <v>12</v>
      </c>
      <c r="G15">
        <v>40</v>
      </c>
      <c r="H15" s="7">
        <v>3.1908900000000001E-7</v>
      </c>
      <c r="I15" s="7"/>
      <c r="J15" s="2" t="s">
        <v>138</v>
      </c>
      <c r="K15" s="5">
        <v>40</v>
      </c>
      <c r="L15" s="4">
        <v>3.1088500000000002E-7</v>
      </c>
      <c r="M15" s="2" t="s">
        <v>138</v>
      </c>
      <c r="N15" s="5">
        <v>40</v>
      </c>
      <c r="O15" s="4">
        <v>3.1908900000000001E-7</v>
      </c>
      <c r="P15">
        <f t="shared" si="0"/>
        <v>0</v>
      </c>
      <c r="T15" s="2" t="s">
        <v>138</v>
      </c>
      <c r="U15">
        <v>40</v>
      </c>
      <c r="V15" s="4">
        <v>3.1908900000000001E-7</v>
      </c>
      <c r="Y15">
        <v>40</v>
      </c>
      <c r="AA15" s="4">
        <v>3.108846E-7</v>
      </c>
      <c r="AB15" s="4"/>
      <c r="AE15">
        <v>40</v>
      </c>
      <c r="AF15" s="4">
        <v>3.1899999999999998E-7</v>
      </c>
      <c r="AG15" s="4">
        <v>3.1899999999999998E-7</v>
      </c>
      <c r="AK15" s="4"/>
      <c r="AM15" s="4"/>
      <c r="AP15" s="4"/>
      <c r="AQ15" s="4"/>
    </row>
    <row r="16" spans="1:43" ht="16" x14ac:dyDescent="0.2">
      <c r="A16" t="s">
        <v>126</v>
      </c>
      <c r="B16" s="2" t="s">
        <v>137</v>
      </c>
      <c r="C16">
        <v>1267</v>
      </c>
      <c r="D16" s="4">
        <v>2.8172299999999999E-7</v>
      </c>
      <c r="E16" s="4"/>
      <c r="F16" s="2" t="s">
        <v>12</v>
      </c>
      <c r="G16">
        <v>1267</v>
      </c>
      <c r="H16" s="4">
        <v>2.8172299999999999E-7</v>
      </c>
      <c r="I16" s="4"/>
      <c r="J16" s="2" t="s">
        <v>138</v>
      </c>
      <c r="K16" s="5">
        <v>1267</v>
      </c>
      <c r="L16" s="4">
        <v>2.1120399999999999E-7</v>
      </c>
      <c r="M16" s="2" t="s">
        <v>138</v>
      </c>
      <c r="N16" s="5">
        <v>1267</v>
      </c>
      <c r="O16" s="4">
        <v>2.8172299999999999E-7</v>
      </c>
      <c r="P16">
        <f t="shared" si="0"/>
        <v>0</v>
      </c>
      <c r="T16" s="2" t="s">
        <v>138</v>
      </c>
      <c r="U16">
        <v>1267</v>
      </c>
      <c r="V16" s="4">
        <v>2.8172299999999999E-7</v>
      </c>
      <c r="Y16">
        <v>1267</v>
      </c>
      <c r="AA16" s="4">
        <v>2.1120440000000001E-7</v>
      </c>
      <c r="AB16" s="4"/>
      <c r="AE16">
        <v>1267</v>
      </c>
      <c r="AF16" s="4">
        <v>2.8200000000000001E-7</v>
      </c>
      <c r="AG16" s="4">
        <v>2.8200000000000001E-7</v>
      </c>
      <c r="AK16" s="4"/>
      <c r="AM16" s="4"/>
      <c r="AP16" s="4"/>
      <c r="AQ16" s="4"/>
    </row>
    <row r="17" spans="1:43" ht="16" x14ac:dyDescent="0.2">
      <c r="A17" t="s">
        <v>127</v>
      </c>
      <c r="B17" s="2" t="s">
        <v>137</v>
      </c>
      <c r="C17">
        <v>6608</v>
      </c>
      <c r="D17" s="4">
        <v>2.2477300000000001E-6</v>
      </c>
      <c r="E17" s="4"/>
      <c r="F17" s="2" t="s">
        <v>12</v>
      </c>
      <c r="G17">
        <v>6608</v>
      </c>
      <c r="H17" s="4">
        <v>2.2477300000000001E-6</v>
      </c>
      <c r="I17" s="4"/>
      <c r="J17" s="2" t="s">
        <v>138</v>
      </c>
      <c r="K17" s="5">
        <v>6608</v>
      </c>
      <c r="L17" s="4">
        <v>1.80657E-6</v>
      </c>
      <c r="M17" s="2" t="s">
        <v>138</v>
      </c>
      <c r="N17" s="5">
        <v>6608</v>
      </c>
      <c r="O17" s="4">
        <v>2.2477300000000001E-6</v>
      </c>
      <c r="P17">
        <f t="shared" si="0"/>
        <v>0</v>
      </c>
      <c r="T17" s="2" t="s">
        <v>138</v>
      </c>
      <c r="U17">
        <v>6608</v>
      </c>
      <c r="V17" s="4">
        <v>2.2477300000000001E-6</v>
      </c>
      <c r="Y17">
        <v>6608</v>
      </c>
      <c r="AA17" s="4">
        <v>1.806568E-6</v>
      </c>
      <c r="AB17" s="4"/>
      <c r="AE17">
        <v>6608</v>
      </c>
      <c r="AF17" s="4">
        <v>2.2500000000000001E-6</v>
      </c>
      <c r="AG17" s="4">
        <v>2.2500000000000001E-6</v>
      </c>
      <c r="AK17" s="4"/>
      <c r="AM17" s="4"/>
      <c r="AP17" s="4"/>
      <c r="AQ17" s="4"/>
    </row>
    <row r="18" spans="1:43" x14ac:dyDescent="0.2">
      <c r="A18" t="str">
        <f>A31&amp;"-0"&amp;B31</f>
        <v>-0</v>
      </c>
      <c r="K18">
        <v>443352</v>
      </c>
      <c r="L18" s="4">
        <v>2.5487299999999999E-10</v>
      </c>
      <c r="N18">
        <v>443352</v>
      </c>
      <c r="O18">
        <v>0.19000500000000001</v>
      </c>
      <c r="U18">
        <v>443352</v>
      </c>
      <c r="V18" s="4">
        <v>3.0258899999999998E-10</v>
      </c>
      <c r="Y18">
        <v>443352</v>
      </c>
      <c r="AA18" s="4">
        <v>2.5487299999999999E-10</v>
      </c>
      <c r="AB18" s="4"/>
      <c r="AE18">
        <v>443352</v>
      </c>
      <c r="AF18" s="4">
        <v>3.0299999999999999E-10</v>
      </c>
      <c r="AG18" s="4">
        <v>3.0299999999999999E-10</v>
      </c>
      <c r="AK18" s="4"/>
      <c r="AM18" s="4"/>
      <c r="AP18" s="4"/>
      <c r="AQ18" s="4"/>
    </row>
    <row r="19" spans="1:43" ht="16" x14ac:dyDescent="0.2">
      <c r="A19" t="str">
        <f>A32&amp;"-0"&amp;B32</f>
        <v>-0</v>
      </c>
      <c r="K19" s="9">
        <v>18679</v>
      </c>
      <c r="L19" s="4">
        <v>4.8842799999999999E-5</v>
      </c>
      <c r="N19" s="9">
        <v>18679</v>
      </c>
      <c r="O19" s="4">
        <v>1.07498E-2</v>
      </c>
      <c r="U19">
        <v>18679</v>
      </c>
      <c r="V19" s="4">
        <v>5.63773E-5</v>
      </c>
      <c r="Y19">
        <v>18679</v>
      </c>
      <c r="AA19" s="4">
        <v>4.8842820000000001E-5</v>
      </c>
      <c r="AB19" s="4"/>
      <c r="AE19">
        <v>18679</v>
      </c>
      <c r="AF19" s="4">
        <v>5.6400000000000002E-5</v>
      </c>
      <c r="AG19" s="4">
        <v>5.6400000000000002E-5</v>
      </c>
      <c r="AK19" s="4"/>
      <c r="AM19" s="4"/>
      <c r="AP19" s="4"/>
      <c r="AQ19" s="4"/>
    </row>
    <row r="20" spans="1:43" x14ac:dyDescent="0.2">
      <c r="A20" t="str">
        <f>A33&amp;"-0"&amp;B33</f>
        <v>-0</v>
      </c>
      <c r="K20">
        <v>1239135</v>
      </c>
      <c r="L20" s="4">
        <v>1.4250900000000001E-6</v>
      </c>
      <c r="N20">
        <v>1239135</v>
      </c>
      <c r="O20">
        <v>0.69447800000000004</v>
      </c>
      <c r="U20">
        <v>1239135</v>
      </c>
      <c r="V20" s="4">
        <v>1.58011E-6</v>
      </c>
      <c r="Y20">
        <v>1239135</v>
      </c>
      <c r="AA20" s="4">
        <v>1.425089E-6</v>
      </c>
      <c r="AB20" s="4"/>
      <c r="AE20">
        <v>1239135</v>
      </c>
      <c r="AF20" s="4">
        <v>1.5799999999999999E-6</v>
      </c>
      <c r="AG20" s="4">
        <v>1.5799999999999999E-6</v>
      </c>
      <c r="AK20" s="4"/>
      <c r="AM20" s="4"/>
      <c r="AP20" s="4"/>
      <c r="AQ20" s="4"/>
    </row>
    <row r="21" spans="1:43" x14ac:dyDescent="0.2">
      <c r="V21" s="4">
        <v>2.0068199999999999E-3</v>
      </c>
      <c r="AA21" s="4">
        <v>5.7372029999999998E-20</v>
      </c>
      <c r="AK21" s="4"/>
    </row>
    <row r="22" spans="1:43" x14ac:dyDescent="0.2">
      <c r="V22" s="4">
        <v>5.4641499999999998E-11</v>
      </c>
      <c r="AA22" s="4">
        <v>3.894901E-13</v>
      </c>
      <c r="AK22" s="4"/>
    </row>
    <row r="23" spans="1:43" x14ac:dyDescent="0.2">
      <c r="V23" s="4">
        <v>4.6527100000000003E-12</v>
      </c>
      <c r="AA23" s="4">
        <v>2.4114619999999998E-12</v>
      </c>
    </row>
    <row r="24" spans="1:43" x14ac:dyDescent="0.2">
      <c r="E24" s="4"/>
      <c r="H24" s="4"/>
      <c r="J24" s="4"/>
      <c r="V24" s="4">
        <v>1.4610900000000001E-4</v>
      </c>
      <c r="AA24" s="4">
        <v>7.7376180000000008E-34</v>
      </c>
      <c r="AK24" s="4"/>
    </row>
    <row r="25" spans="1:43" x14ac:dyDescent="0.2">
      <c r="E25" s="4"/>
      <c r="H25" s="4"/>
      <c r="J25" s="4"/>
      <c r="V25" s="4">
        <v>3.3607800000000002E-4</v>
      </c>
    </row>
    <row r="26" spans="1:43" x14ac:dyDescent="0.2">
      <c r="E26" s="4"/>
      <c r="G26">
        <f>O3-D3</f>
        <v>0</v>
      </c>
      <c r="H26" s="4">
        <f>((O3-H3)/O3)*100</f>
        <v>0.47954974750395207</v>
      </c>
      <c r="J26" s="4"/>
      <c r="V26" s="4">
        <v>6.3977800000000002E-10</v>
      </c>
    </row>
    <row r="27" spans="1:43" x14ac:dyDescent="0.2">
      <c r="E27" s="4"/>
      <c r="G27">
        <f t="shared" ref="G27:G40" si="1">O4-D4</f>
        <v>0</v>
      </c>
      <c r="H27" s="4">
        <f t="shared" ref="H27:H34" si="2">((O4-H4)/O4)*100</f>
        <v>0.23865122986868439</v>
      </c>
      <c r="J27" s="4"/>
      <c r="V27" s="4">
        <v>2.09347E-25</v>
      </c>
    </row>
    <row r="28" spans="1:43" x14ac:dyDescent="0.2">
      <c r="E28" s="4"/>
      <c r="G28">
        <f t="shared" si="1"/>
        <v>0</v>
      </c>
      <c r="H28" s="4"/>
      <c r="J28" s="4"/>
      <c r="V28" s="4">
        <v>4.49897E-21</v>
      </c>
    </row>
    <row r="29" spans="1:43" x14ac:dyDescent="0.2">
      <c r="E29" s="4"/>
      <c r="G29">
        <f t="shared" si="1"/>
        <v>0</v>
      </c>
      <c r="H29" s="4"/>
      <c r="J29" s="4"/>
    </row>
    <row r="30" spans="1:43" x14ac:dyDescent="0.2">
      <c r="E30" s="4"/>
      <c r="G30">
        <f t="shared" si="1"/>
        <v>0</v>
      </c>
      <c r="H30" s="4"/>
      <c r="J30" s="4"/>
      <c r="AA30" s="4"/>
    </row>
    <row r="31" spans="1:43" x14ac:dyDescent="0.2">
      <c r="E31" s="4"/>
      <c r="G31">
        <f t="shared" si="1"/>
        <v>0</v>
      </c>
      <c r="H31" s="4"/>
      <c r="J31" s="4"/>
      <c r="N31" s="4"/>
      <c r="O31" s="4"/>
      <c r="P31" s="4"/>
      <c r="Q31" s="4"/>
      <c r="R31" s="4"/>
      <c r="S31" s="4"/>
      <c r="AA31" s="4"/>
      <c r="AB31" s="4"/>
      <c r="AC31" s="4"/>
      <c r="AM31" s="4"/>
    </row>
    <row r="32" spans="1:43" ht="16" x14ac:dyDescent="0.2">
      <c r="E32" s="4"/>
      <c r="G32">
        <f t="shared" si="1"/>
        <v>0</v>
      </c>
      <c r="H32" s="4">
        <f t="shared" si="2"/>
        <v>1.6483897834537239E-2</v>
      </c>
      <c r="J32" s="4"/>
      <c r="L32" s="9"/>
      <c r="N32" s="4"/>
      <c r="O32" s="4"/>
      <c r="P32" s="4"/>
      <c r="Q32" s="4"/>
      <c r="R32" s="4"/>
      <c r="S32" s="4"/>
      <c r="Y32" s="9"/>
      <c r="Z32" s="4"/>
      <c r="AA32" s="4"/>
      <c r="AB32" s="4"/>
      <c r="AC32" s="4"/>
      <c r="AL32" s="4"/>
      <c r="AM32" s="4"/>
    </row>
    <row r="33" spans="5:39" x14ac:dyDescent="0.2">
      <c r="E33" s="4"/>
      <c r="G33">
        <f t="shared" si="1"/>
        <v>0</v>
      </c>
      <c r="H33" s="4">
        <f t="shared" si="2"/>
        <v>0.12127249824373315</v>
      </c>
      <c r="J33" s="4"/>
      <c r="N33" s="4"/>
      <c r="O33" s="4"/>
      <c r="P33" s="4"/>
      <c r="Q33" s="4"/>
      <c r="R33" s="4"/>
      <c r="S33" s="4"/>
      <c r="AA33" s="4"/>
      <c r="AB33" s="4"/>
      <c r="AC33" s="4"/>
      <c r="AM33" s="4"/>
    </row>
    <row r="34" spans="5:39" x14ac:dyDescent="0.2">
      <c r="E34" s="4"/>
      <c r="G34">
        <f t="shared" si="1"/>
        <v>0</v>
      </c>
      <c r="H34" s="4">
        <f t="shared" si="2"/>
        <v>0.3892113932401508</v>
      </c>
      <c r="J34" s="4"/>
    </row>
    <row r="35" spans="5:39" x14ac:dyDescent="0.2">
      <c r="E35" s="4"/>
      <c r="G35">
        <f t="shared" si="1"/>
        <v>0</v>
      </c>
      <c r="H35" s="4"/>
      <c r="J35" s="4"/>
    </row>
    <row r="36" spans="5:39" x14ac:dyDescent="0.2">
      <c r="E36" s="4"/>
      <c r="G36">
        <f t="shared" si="1"/>
        <v>0</v>
      </c>
      <c r="H36" s="4"/>
      <c r="J36" s="4"/>
    </row>
    <row r="37" spans="5:39" x14ac:dyDescent="0.2">
      <c r="E37" s="4"/>
      <c r="G37">
        <f t="shared" si="1"/>
        <v>0</v>
      </c>
      <c r="H37" s="4"/>
      <c r="J37" s="4"/>
    </row>
    <row r="38" spans="5:39" x14ac:dyDescent="0.2">
      <c r="E38" s="4"/>
      <c r="G38">
        <f t="shared" si="1"/>
        <v>0</v>
      </c>
      <c r="H38" s="4"/>
      <c r="J38" s="4"/>
    </row>
    <row r="39" spans="5:39" x14ac:dyDescent="0.2">
      <c r="E39" s="4"/>
      <c r="G39">
        <f t="shared" si="1"/>
        <v>0</v>
      </c>
      <c r="H39" s="4"/>
    </row>
    <row r="40" spans="5:39" x14ac:dyDescent="0.2">
      <c r="E40" s="4"/>
      <c r="G40">
        <f t="shared" si="1"/>
        <v>0</v>
      </c>
      <c r="H40" s="4"/>
    </row>
    <row r="41" spans="5:39" x14ac:dyDescent="0.2">
      <c r="E41" s="4"/>
      <c r="H41" s="4"/>
      <c r="P41" t="s">
        <v>108</v>
      </c>
      <c r="Q41" t="s">
        <v>176</v>
      </c>
      <c r="R41" t="s">
        <v>178</v>
      </c>
      <c r="S41" t="s">
        <v>174</v>
      </c>
      <c r="T41" t="s">
        <v>175</v>
      </c>
    </row>
    <row r="42" spans="5:39" x14ac:dyDescent="0.2">
      <c r="H42" s="4"/>
      <c r="P42" t="s">
        <v>114</v>
      </c>
      <c r="Q42">
        <v>490</v>
      </c>
      <c r="R42" s="4">
        <f>((AF3-AA3)/AF3)*100</f>
        <v>11.162914417887437</v>
      </c>
      <c r="S42" s="4">
        <f>((AA3-L3)/AA3)*100</f>
        <v>-2.603676217224866E-4</v>
      </c>
      <c r="T42" s="4">
        <f>((AF3-V3)/AF3)*100</f>
        <v>-3.8550501156419839E-3</v>
      </c>
    </row>
    <row r="43" spans="5:39" x14ac:dyDescent="0.2">
      <c r="H43" s="4"/>
      <c r="P43" t="s">
        <v>115</v>
      </c>
      <c r="Q43">
        <v>1846</v>
      </c>
      <c r="R43" s="4">
        <f t="shared" ref="R43:R59" si="3">((AF4-AA4)/AF4)*100</f>
        <v>6.6156919642857126</v>
      </c>
      <c r="S43" s="4">
        <f t="shared" ref="S43:S59" si="4">((AA4-L4)/AA4)*100</f>
        <v>-7.1708284953242899E-5</v>
      </c>
      <c r="T43" s="4">
        <f t="shared" ref="T43:T59" si="5">((AF4-V4)/AF4)*100</f>
        <v>1.4732142857150051E-2</v>
      </c>
    </row>
    <row r="44" spans="5:39" x14ac:dyDescent="0.2">
      <c r="H44" s="4"/>
      <c r="P44" t="s">
        <v>116</v>
      </c>
      <c r="Q44">
        <v>83</v>
      </c>
      <c r="R44" s="4">
        <f t="shared" si="3"/>
        <v>7.6023022432113336</v>
      </c>
      <c r="S44" s="4">
        <f t="shared" si="4"/>
        <v>6.3888904860341978E-5</v>
      </c>
      <c r="T44" s="4">
        <f t="shared" si="5"/>
        <v>2.5737898465172247E-2</v>
      </c>
    </row>
    <row r="45" spans="5:39" x14ac:dyDescent="0.2">
      <c r="H45" s="4"/>
      <c r="P45" t="s">
        <v>117</v>
      </c>
      <c r="Q45">
        <v>276</v>
      </c>
      <c r="R45" s="4">
        <f t="shared" si="3"/>
        <v>12.712611940298519</v>
      </c>
      <c r="S45" s="4">
        <f t="shared" si="4"/>
        <v>8.5495587993489043E-5</v>
      </c>
      <c r="T45" s="4">
        <f t="shared" si="5"/>
        <v>9.104477611940745E-2</v>
      </c>
    </row>
    <row r="46" spans="5:39" x14ac:dyDescent="0.2">
      <c r="P46" t="s">
        <v>118</v>
      </c>
      <c r="Q46">
        <v>22</v>
      </c>
      <c r="R46" s="4">
        <f t="shared" si="3"/>
        <v>25.407437499999997</v>
      </c>
      <c r="S46" s="4">
        <f t="shared" si="4"/>
        <v>8.3788514440330739E-5</v>
      </c>
      <c r="T46" s="4">
        <f t="shared" si="5"/>
        <v>-3.8750000000010852E-2</v>
      </c>
    </row>
    <row r="47" spans="5:39" x14ac:dyDescent="0.2">
      <c r="P47" t="s">
        <v>119</v>
      </c>
      <c r="Q47">
        <v>255</v>
      </c>
      <c r="R47" s="4">
        <f t="shared" si="3"/>
        <v>4.2451035986913901</v>
      </c>
      <c r="S47" s="4">
        <f t="shared" si="4"/>
        <v>4.5554330146820572E-5</v>
      </c>
      <c r="T47" s="4">
        <f t="shared" si="5"/>
        <v>2.2355507088331606E-2</v>
      </c>
    </row>
    <row r="48" spans="5:39" x14ac:dyDescent="0.2">
      <c r="P48" t="s">
        <v>120</v>
      </c>
      <c r="Q48">
        <v>198</v>
      </c>
      <c r="R48" s="4">
        <f t="shared" si="3"/>
        <v>9.3561358608424126</v>
      </c>
      <c r="S48" s="4">
        <f t="shared" si="4"/>
        <v>-9.5711502567217516E-5</v>
      </c>
      <c r="T48" s="4">
        <f t="shared" si="5"/>
        <v>8.67566043466961E-4</v>
      </c>
    </row>
    <row r="49" spans="16:20" x14ac:dyDescent="0.2">
      <c r="P49" t="s">
        <v>121</v>
      </c>
      <c r="Q49">
        <v>2064</v>
      </c>
      <c r="R49" s="4">
        <f t="shared" si="3"/>
        <v>20.443373676248118</v>
      </c>
      <c r="S49" s="4">
        <f t="shared" si="4"/>
        <v>5.7048395860194003E-5</v>
      </c>
      <c r="T49" s="4">
        <f t="shared" si="5"/>
        <v>7.6248108925875191E-2</v>
      </c>
    </row>
    <row r="50" spans="16:20" x14ac:dyDescent="0.2">
      <c r="P50" t="s">
        <v>122</v>
      </c>
      <c r="Q50">
        <v>3217</v>
      </c>
      <c r="R50" s="4">
        <f t="shared" si="3"/>
        <v>14.597158320612321</v>
      </c>
      <c r="S50" s="4">
        <f t="shared" si="4"/>
        <v>2.4999118767904541E-5</v>
      </c>
      <c r="T50" s="4">
        <f>((AF11-V11)/AF11)*100</f>
        <v>4.2699915667412968E-4</v>
      </c>
    </row>
    <row r="51" spans="16:20" x14ac:dyDescent="0.2">
      <c r="P51" t="s">
        <v>123</v>
      </c>
      <c r="Q51">
        <v>663</v>
      </c>
      <c r="R51" s="4">
        <f t="shared" si="3"/>
        <v>17.122932628797887</v>
      </c>
      <c r="S51" s="4">
        <f t="shared" si="4"/>
        <v>6.3757273508687019E-5</v>
      </c>
      <c r="T51" s="4">
        <f t="shared" si="5"/>
        <v>4.4914134742402703E-2</v>
      </c>
    </row>
    <row r="52" spans="16:20" x14ac:dyDescent="0.2">
      <c r="P52" t="s">
        <v>139</v>
      </c>
      <c r="Q52">
        <v>570447</v>
      </c>
      <c r="R52" s="4">
        <f t="shared" si="3"/>
        <v>5.9484440928270113</v>
      </c>
      <c r="S52" s="4">
        <f t="shared" si="4"/>
        <v>2.803920441453539E-4</v>
      </c>
      <c r="T52" s="4">
        <f t="shared" si="5"/>
        <v>0</v>
      </c>
    </row>
    <row r="53" spans="16:20" x14ac:dyDescent="0.2">
      <c r="P53" t="s">
        <v>124</v>
      </c>
      <c r="Q53">
        <v>36256</v>
      </c>
      <c r="R53" s="4">
        <f t="shared" si="3"/>
        <v>4.5000366300366226</v>
      </c>
      <c r="S53" s="4">
        <f t="shared" si="4"/>
        <v>-3.8356074007700762E-5</v>
      </c>
      <c r="T53" s="4">
        <f t="shared" si="5"/>
        <v>8.9560439560440908E-2</v>
      </c>
    </row>
    <row r="54" spans="16:20" x14ac:dyDescent="0.2">
      <c r="P54" t="s">
        <v>125</v>
      </c>
      <c r="Q54">
        <v>40</v>
      </c>
      <c r="R54" s="4">
        <f t="shared" si="3"/>
        <v>2.5440125391849486</v>
      </c>
      <c r="S54" s="4">
        <f t="shared" si="4"/>
        <v>-1.2866510596588876E-4</v>
      </c>
      <c r="T54" s="4">
        <f t="shared" si="5"/>
        <v>-2.7899686520382921E-2</v>
      </c>
    </row>
    <row r="55" spans="16:20" x14ac:dyDescent="0.2">
      <c r="P55" t="s">
        <v>126</v>
      </c>
      <c r="Q55">
        <v>1267</v>
      </c>
      <c r="R55" s="4">
        <f t="shared" si="3"/>
        <v>25.104822695035462</v>
      </c>
      <c r="S55" s="4">
        <f t="shared" si="4"/>
        <v>1.8938999377931018E-4</v>
      </c>
      <c r="T55" s="4">
        <f t="shared" si="5"/>
        <v>9.8226950354618051E-2</v>
      </c>
    </row>
    <row r="56" spans="16:20" x14ac:dyDescent="0.2">
      <c r="P56" t="s">
        <v>127</v>
      </c>
      <c r="Q56">
        <v>6608</v>
      </c>
      <c r="R56" s="4">
        <f t="shared" si="3"/>
        <v>19.708088888888891</v>
      </c>
      <c r="S56" s="4">
        <f t="shared" si="4"/>
        <v>-1.1070715301362625E-4</v>
      </c>
      <c r="T56" s="4">
        <f t="shared" si="5"/>
        <v>0.10088888888888799</v>
      </c>
    </row>
    <row r="57" spans="16:20" x14ac:dyDescent="0.2">
      <c r="P57" t="s">
        <v>140</v>
      </c>
      <c r="Q57">
        <v>443352</v>
      </c>
      <c r="R57" s="4">
        <f t="shared" si="3"/>
        <v>15.883498349834982</v>
      </c>
      <c r="S57" s="4">
        <f t="shared" si="4"/>
        <v>0</v>
      </c>
      <c r="T57" s="4">
        <f t="shared" si="5"/>
        <v>0.13564356435643904</v>
      </c>
    </row>
    <row r="58" spans="16:20" x14ac:dyDescent="0.2">
      <c r="P58" t="s">
        <v>141</v>
      </c>
      <c r="Q58">
        <v>18679</v>
      </c>
      <c r="R58" s="4">
        <f t="shared" si="3"/>
        <v>13.399255319148939</v>
      </c>
      <c r="S58" s="4">
        <f t="shared" si="4"/>
        <v>4.0947676652165268E-5</v>
      </c>
      <c r="T58" s="4">
        <f t="shared" si="5"/>
        <v>4.0248226950358762E-2</v>
      </c>
    </row>
    <row r="59" spans="16:20" x14ac:dyDescent="0.2">
      <c r="P59" t="s">
        <v>142</v>
      </c>
      <c r="Q59">
        <v>1239135</v>
      </c>
      <c r="R59" s="4">
        <f t="shared" si="3"/>
        <v>9.8044936708860675</v>
      </c>
      <c r="S59" s="4">
        <f t="shared" si="4"/>
        <v>-7.0171055985107151E-5</v>
      </c>
      <c r="T59" s="4">
        <f t="shared" si="5"/>
        <v>-6.9620253164602401E-3</v>
      </c>
    </row>
    <row r="65" spans="18:18" x14ac:dyDescent="0.2">
      <c r="R65" s="4">
        <f>MAX(R42:R59)</f>
        <v>25.407437499999997</v>
      </c>
    </row>
  </sheetData>
  <mergeCells count="9">
    <mergeCell ref="AD1:AF1"/>
    <mergeCell ref="AI1:AK1"/>
    <mergeCell ref="AN1:AP1"/>
    <mergeCell ref="B1:D1"/>
    <mergeCell ref="F1:H1"/>
    <mergeCell ref="J1:L1"/>
    <mergeCell ref="M1:O1"/>
    <mergeCell ref="T1:V1"/>
    <mergeCell ref="Y1:AA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0BFF-C079-4390-9B40-F820E1C130C5}">
  <dimension ref="A1:AF29"/>
  <sheetViews>
    <sheetView zoomScale="95" workbookViewId="0">
      <selection activeCell="X24" sqref="X24"/>
    </sheetView>
  </sheetViews>
  <sheetFormatPr baseColWidth="10" defaultColWidth="8.83203125" defaultRowHeight="15" x14ac:dyDescent="0.2"/>
  <cols>
    <col min="1" max="1" width="29.83203125" bestFit="1" customWidth="1"/>
    <col min="18" max="18" width="26.6640625" bestFit="1" customWidth="1"/>
    <col min="23" max="24" width="15.5" bestFit="1" customWidth="1"/>
  </cols>
  <sheetData>
    <row r="1" spans="1:32" x14ac:dyDescent="0.2">
      <c r="C1" t="s">
        <v>160</v>
      </c>
      <c r="V1" t="s">
        <v>161</v>
      </c>
    </row>
    <row r="2" spans="1:32" x14ac:dyDescent="0.2">
      <c r="A2" t="s">
        <v>143</v>
      </c>
      <c r="B2" t="s">
        <v>145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  <c r="R2" t="s">
        <v>143</v>
      </c>
      <c r="S2" t="s">
        <v>145</v>
      </c>
      <c r="T2" t="s">
        <v>146</v>
      </c>
      <c r="U2" t="s">
        <v>147</v>
      </c>
      <c r="V2" t="s">
        <v>148</v>
      </c>
      <c r="W2" t="s">
        <v>167</v>
      </c>
      <c r="X2" t="s">
        <v>150</v>
      </c>
      <c r="Y2" t="s">
        <v>151</v>
      </c>
      <c r="Z2" t="s">
        <v>152</v>
      </c>
      <c r="AA2" t="s">
        <v>153</v>
      </c>
      <c r="AB2" t="s">
        <v>154</v>
      </c>
      <c r="AC2" t="s">
        <v>166</v>
      </c>
      <c r="AD2" t="s">
        <v>167</v>
      </c>
      <c r="AE2" t="s">
        <v>168</v>
      </c>
      <c r="AF2" t="s">
        <v>169</v>
      </c>
    </row>
    <row r="3" spans="1:32" x14ac:dyDescent="0.2">
      <c r="A3" t="s">
        <v>81</v>
      </c>
      <c r="B3">
        <v>1.2973E-2</v>
      </c>
      <c r="C3">
        <v>1.2911000000000001E-2</v>
      </c>
      <c r="D3">
        <v>490</v>
      </c>
      <c r="E3">
        <v>0.01</v>
      </c>
      <c r="F3">
        <v>0.04</v>
      </c>
      <c r="G3">
        <v>0.04</v>
      </c>
      <c r="H3">
        <v>0.04</v>
      </c>
      <c r="I3">
        <v>0.04</v>
      </c>
      <c r="J3">
        <v>0.04</v>
      </c>
      <c r="K3">
        <v>0.04</v>
      </c>
      <c r="L3">
        <v>0.04</v>
      </c>
      <c r="R3" t="s">
        <v>81</v>
      </c>
      <c r="S3">
        <v>1.2973E-2</v>
      </c>
      <c r="T3">
        <v>1.2911000000000001E-2</v>
      </c>
      <c r="U3">
        <v>490</v>
      </c>
      <c r="V3">
        <v>0.01</v>
      </c>
      <c r="W3">
        <v>0.04</v>
      </c>
      <c r="X3">
        <v>0.04</v>
      </c>
      <c r="Y3">
        <v>0.04</v>
      </c>
      <c r="Z3">
        <v>0.04</v>
      </c>
      <c r="AA3">
        <v>0.04</v>
      </c>
      <c r="AB3">
        <v>0.04</v>
      </c>
      <c r="AC3">
        <v>0.05</v>
      </c>
      <c r="AD3">
        <v>0.04</v>
      </c>
      <c r="AE3">
        <v>0.04</v>
      </c>
      <c r="AF3">
        <v>0.04</v>
      </c>
    </row>
    <row r="4" spans="1:32" x14ac:dyDescent="0.2">
      <c r="A4" t="s">
        <v>82</v>
      </c>
      <c r="B4" s="4">
        <v>4.5562000000000003E-13</v>
      </c>
      <c r="C4" s="4">
        <v>4.5562000000000003E-13</v>
      </c>
      <c r="D4">
        <v>1846</v>
      </c>
      <c r="E4">
        <v>0.01</v>
      </c>
      <c r="F4">
        <v>0.04</v>
      </c>
      <c r="G4">
        <v>0.04</v>
      </c>
      <c r="H4">
        <v>0.04</v>
      </c>
      <c r="I4">
        <v>0.04</v>
      </c>
      <c r="J4">
        <v>0.04</v>
      </c>
      <c r="K4">
        <v>0.04</v>
      </c>
      <c r="L4">
        <v>0.05</v>
      </c>
      <c r="R4" t="s">
        <v>82</v>
      </c>
      <c r="S4" s="4">
        <v>4.5562000000000003E-13</v>
      </c>
      <c r="T4" s="4">
        <v>4.5562000000000003E-13</v>
      </c>
      <c r="U4">
        <v>1846</v>
      </c>
      <c r="V4">
        <v>0.01</v>
      </c>
      <c r="W4">
        <v>0.05</v>
      </c>
      <c r="X4">
        <v>0.05</v>
      </c>
      <c r="Y4">
        <v>0.04</v>
      </c>
      <c r="Z4">
        <v>0.04</v>
      </c>
      <c r="AA4">
        <v>0.04</v>
      </c>
      <c r="AB4">
        <v>0.04</v>
      </c>
      <c r="AC4">
        <v>0.05</v>
      </c>
      <c r="AD4">
        <v>0.05</v>
      </c>
      <c r="AE4">
        <v>0.05</v>
      </c>
      <c r="AF4">
        <v>0.04</v>
      </c>
    </row>
    <row r="5" spans="1:32" x14ac:dyDescent="0.2">
      <c r="A5" t="s">
        <v>83</v>
      </c>
      <c r="B5" s="4">
        <v>1.3119E-7</v>
      </c>
      <c r="C5" s="4">
        <v>1.3119E-7</v>
      </c>
      <c r="D5">
        <v>83</v>
      </c>
      <c r="E5">
        <v>0.01</v>
      </c>
      <c r="F5">
        <v>0.05</v>
      </c>
      <c r="G5">
        <v>0.05</v>
      </c>
      <c r="H5">
        <v>0.04</v>
      </c>
      <c r="I5">
        <v>0.04</v>
      </c>
      <c r="J5">
        <v>0.04</v>
      </c>
      <c r="K5">
        <v>0.04</v>
      </c>
      <c r="L5">
        <v>0.05</v>
      </c>
      <c r="R5" t="s">
        <v>83</v>
      </c>
      <c r="S5" s="4">
        <v>1.3119E-7</v>
      </c>
      <c r="T5" s="4">
        <v>1.3119E-7</v>
      </c>
      <c r="U5">
        <v>83</v>
      </c>
      <c r="V5">
        <v>0.01</v>
      </c>
      <c r="W5">
        <v>0.04</v>
      </c>
      <c r="X5">
        <v>0.04</v>
      </c>
      <c r="Y5">
        <v>0.04</v>
      </c>
      <c r="Z5">
        <v>0.04</v>
      </c>
      <c r="AA5">
        <v>0.04</v>
      </c>
      <c r="AB5">
        <v>0.04</v>
      </c>
      <c r="AC5">
        <v>0.04</v>
      </c>
      <c r="AD5">
        <v>0.04</v>
      </c>
      <c r="AE5">
        <v>0.05</v>
      </c>
      <c r="AF5">
        <v>0.05</v>
      </c>
    </row>
    <row r="6" spans="1:32" x14ac:dyDescent="0.2">
      <c r="A6" t="s">
        <v>84</v>
      </c>
      <c r="B6" s="4">
        <v>2.6776000000000001E-7</v>
      </c>
      <c r="C6" s="4">
        <v>2.6776000000000001E-7</v>
      </c>
      <c r="D6">
        <v>276</v>
      </c>
      <c r="E6">
        <v>0.01</v>
      </c>
      <c r="F6">
        <v>0.05</v>
      </c>
      <c r="G6">
        <v>0.05</v>
      </c>
      <c r="H6">
        <v>0.04</v>
      </c>
      <c r="I6">
        <v>0.04</v>
      </c>
      <c r="J6">
        <v>0.04</v>
      </c>
      <c r="K6">
        <v>0.04</v>
      </c>
      <c r="L6">
        <v>0.05</v>
      </c>
      <c r="R6" t="s">
        <v>84</v>
      </c>
      <c r="S6" s="4">
        <v>2.6776000000000001E-7</v>
      </c>
      <c r="T6" s="4">
        <v>2.6776000000000001E-7</v>
      </c>
      <c r="U6">
        <v>276</v>
      </c>
      <c r="V6">
        <v>0.01</v>
      </c>
      <c r="W6">
        <v>0.05</v>
      </c>
      <c r="X6">
        <v>0.05</v>
      </c>
      <c r="Y6">
        <v>0.04</v>
      </c>
      <c r="Z6">
        <v>0.04</v>
      </c>
      <c r="AA6">
        <v>0.04</v>
      </c>
      <c r="AB6">
        <v>0.05</v>
      </c>
      <c r="AC6">
        <v>0.05</v>
      </c>
      <c r="AD6">
        <v>0.05</v>
      </c>
      <c r="AE6">
        <v>0.05</v>
      </c>
      <c r="AF6">
        <v>0.05</v>
      </c>
    </row>
    <row r="7" spans="1:32" x14ac:dyDescent="0.2">
      <c r="A7" t="s">
        <v>85</v>
      </c>
      <c r="B7" s="4">
        <v>1.6006E-6</v>
      </c>
      <c r="C7" s="4">
        <v>1.6006E-6</v>
      </c>
      <c r="D7">
        <v>22</v>
      </c>
      <c r="E7">
        <v>0.01</v>
      </c>
      <c r="F7">
        <v>0.04</v>
      </c>
      <c r="G7">
        <v>0.04</v>
      </c>
      <c r="H7">
        <v>0.04</v>
      </c>
      <c r="I7">
        <v>0.04</v>
      </c>
      <c r="J7">
        <v>0.04</v>
      </c>
      <c r="K7">
        <v>0.04</v>
      </c>
      <c r="L7">
        <v>0.04</v>
      </c>
      <c r="R7" t="s">
        <v>85</v>
      </c>
      <c r="S7" s="4">
        <v>1.6006E-6</v>
      </c>
      <c r="T7" s="4">
        <v>1.6006E-6</v>
      </c>
      <c r="U7">
        <v>22</v>
      </c>
      <c r="V7">
        <v>0.01</v>
      </c>
      <c r="W7">
        <v>0.05</v>
      </c>
      <c r="X7">
        <v>0.05</v>
      </c>
      <c r="Y7">
        <v>0.04</v>
      </c>
      <c r="Z7">
        <v>0.05</v>
      </c>
      <c r="AA7">
        <v>0.05</v>
      </c>
      <c r="AB7">
        <v>0.05</v>
      </c>
      <c r="AC7">
        <v>0.05</v>
      </c>
      <c r="AD7">
        <v>0.05</v>
      </c>
      <c r="AE7">
        <v>0.04</v>
      </c>
      <c r="AF7">
        <v>0.04</v>
      </c>
    </row>
    <row r="8" spans="1:32" x14ac:dyDescent="0.2">
      <c r="A8" t="s">
        <v>86</v>
      </c>
      <c r="B8" s="4">
        <v>9.1679999999999998E-10</v>
      </c>
      <c r="C8" s="4">
        <v>9.1679999999999998E-10</v>
      </c>
      <c r="D8">
        <v>255</v>
      </c>
      <c r="E8">
        <v>0.01</v>
      </c>
      <c r="F8">
        <v>0.04</v>
      </c>
      <c r="G8">
        <v>0.04</v>
      </c>
      <c r="H8">
        <v>0.04</v>
      </c>
      <c r="I8">
        <v>0.04</v>
      </c>
      <c r="J8">
        <v>0.04</v>
      </c>
      <c r="K8">
        <v>0.04</v>
      </c>
      <c r="L8">
        <v>0.04</v>
      </c>
      <c r="R8" t="s">
        <v>86</v>
      </c>
      <c r="S8" s="4">
        <v>9.1679999999999998E-10</v>
      </c>
      <c r="T8" s="4">
        <v>9.1679999999999998E-10</v>
      </c>
      <c r="U8">
        <v>255</v>
      </c>
      <c r="V8">
        <v>0.01</v>
      </c>
      <c r="W8">
        <v>0.05</v>
      </c>
      <c r="X8">
        <v>0.05</v>
      </c>
      <c r="Y8">
        <v>0.04</v>
      </c>
      <c r="Z8">
        <v>0.04</v>
      </c>
      <c r="AA8">
        <v>0.04</v>
      </c>
      <c r="AB8">
        <v>0.04</v>
      </c>
      <c r="AC8">
        <v>0.05</v>
      </c>
      <c r="AD8">
        <v>0.05</v>
      </c>
      <c r="AE8">
        <v>0.04</v>
      </c>
      <c r="AF8">
        <v>0.04</v>
      </c>
    </row>
    <row r="9" spans="1:32" x14ac:dyDescent="0.2">
      <c r="A9" t="s">
        <v>87</v>
      </c>
      <c r="B9">
        <v>4.6108E-4</v>
      </c>
      <c r="C9">
        <v>4.6099999999999998E-4</v>
      </c>
      <c r="D9">
        <v>198</v>
      </c>
      <c r="E9">
        <v>0.01</v>
      </c>
      <c r="F9">
        <v>0.04</v>
      </c>
      <c r="G9">
        <v>0.04</v>
      </c>
      <c r="H9">
        <v>0.04</v>
      </c>
      <c r="I9">
        <v>0.04</v>
      </c>
      <c r="J9">
        <v>0.04</v>
      </c>
      <c r="K9">
        <v>0.04</v>
      </c>
      <c r="L9">
        <v>0.05</v>
      </c>
      <c r="R9" t="s">
        <v>87</v>
      </c>
      <c r="S9">
        <v>4.6108E-4</v>
      </c>
      <c r="T9">
        <v>4.6099999999999998E-4</v>
      </c>
      <c r="U9">
        <v>198</v>
      </c>
      <c r="V9">
        <v>0.01</v>
      </c>
      <c r="W9">
        <v>0.05</v>
      </c>
      <c r="X9">
        <v>0.05</v>
      </c>
      <c r="Y9">
        <v>0.04</v>
      </c>
      <c r="Z9">
        <v>0.05</v>
      </c>
      <c r="AA9">
        <v>0.05</v>
      </c>
      <c r="AB9">
        <v>0.05</v>
      </c>
      <c r="AC9">
        <v>0.05</v>
      </c>
      <c r="AD9">
        <v>0.05</v>
      </c>
      <c r="AE9">
        <v>0.05</v>
      </c>
      <c r="AF9">
        <v>0.04</v>
      </c>
    </row>
    <row r="10" spans="1:32" x14ac:dyDescent="0.2">
      <c r="A10" t="s">
        <v>88</v>
      </c>
      <c r="B10" s="4">
        <v>6.6052E-13</v>
      </c>
      <c r="C10" s="4">
        <v>6.6052E-13</v>
      </c>
      <c r="D10">
        <v>2064</v>
      </c>
      <c r="E10">
        <v>0.01</v>
      </c>
      <c r="F10">
        <v>0.05</v>
      </c>
      <c r="G10">
        <v>0.05</v>
      </c>
      <c r="H10">
        <v>0.04</v>
      </c>
      <c r="I10">
        <v>0.04</v>
      </c>
      <c r="J10">
        <v>0.04</v>
      </c>
      <c r="K10">
        <v>0.04</v>
      </c>
      <c r="L10">
        <v>0.05</v>
      </c>
      <c r="R10" t="s">
        <v>88</v>
      </c>
      <c r="S10" s="4">
        <v>6.6052E-13</v>
      </c>
      <c r="T10" s="4">
        <v>6.6052E-13</v>
      </c>
      <c r="U10">
        <v>2064</v>
      </c>
      <c r="V10">
        <v>0.01</v>
      </c>
      <c r="W10">
        <v>0.06</v>
      </c>
      <c r="X10">
        <v>0.06</v>
      </c>
      <c r="Y10">
        <v>0.04</v>
      </c>
      <c r="Z10">
        <v>0.05</v>
      </c>
      <c r="AA10">
        <v>0.05</v>
      </c>
      <c r="AB10">
        <v>0.05</v>
      </c>
      <c r="AC10">
        <v>0.06</v>
      </c>
      <c r="AD10">
        <v>0.06</v>
      </c>
      <c r="AE10">
        <v>0.05</v>
      </c>
      <c r="AF10">
        <v>0.05</v>
      </c>
    </row>
    <row r="11" spans="1:32" x14ac:dyDescent="0.2">
      <c r="A11" t="s">
        <v>89</v>
      </c>
      <c r="B11">
        <v>9.3676999999999996E-3</v>
      </c>
      <c r="C11">
        <v>9.3311999999999996E-3</v>
      </c>
      <c r="D11">
        <v>3217</v>
      </c>
      <c r="E11">
        <v>0.01</v>
      </c>
      <c r="F11">
        <v>0.04</v>
      </c>
      <c r="G11">
        <v>0.04</v>
      </c>
      <c r="H11">
        <v>0.04</v>
      </c>
      <c r="I11">
        <v>0.04</v>
      </c>
      <c r="J11">
        <v>0.04</v>
      </c>
      <c r="K11">
        <v>0.04</v>
      </c>
      <c r="L11">
        <v>0.05</v>
      </c>
      <c r="R11" t="s">
        <v>89</v>
      </c>
      <c r="S11">
        <v>9.3676999999999996E-3</v>
      </c>
      <c r="T11">
        <v>9.3311999999999996E-3</v>
      </c>
      <c r="U11">
        <v>3217</v>
      </c>
      <c r="V11">
        <v>0.01</v>
      </c>
      <c r="W11">
        <v>0.04</v>
      </c>
      <c r="X11">
        <v>0.04</v>
      </c>
      <c r="Y11">
        <v>0.04</v>
      </c>
      <c r="Z11">
        <v>0.04</v>
      </c>
      <c r="AA11">
        <v>0.04</v>
      </c>
      <c r="AB11">
        <v>0.04</v>
      </c>
      <c r="AC11">
        <v>0.05</v>
      </c>
      <c r="AD11">
        <v>0.04</v>
      </c>
      <c r="AE11">
        <v>0.05</v>
      </c>
      <c r="AF11">
        <v>0.04</v>
      </c>
    </row>
    <row r="12" spans="1:32" x14ac:dyDescent="0.2">
      <c r="A12" t="s">
        <v>90</v>
      </c>
      <c r="B12" s="4">
        <v>7.5666999999999999E-8</v>
      </c>
      <c r="C12" s="4">
        <v>7.5666999999999999E-8</v>
      </c>
      <c r="D12">
        <v>663</v>
      </c>
      <c r="E12">
        <v>0.01</v>
      </c>
      <c r="F12">
        <v>0.05</v>
      </c>
      <c r="G12">
        <v>0.05</v>
      </c>
      <c r="H12">
        <v>0.04</v>
      </c>
      <c r="I12">
        <v>0.04</v>
      </c>
      <c r="J12">
        <v>0.05</v>
      </c>
      <c r="K12">
        <v>0.05</v>
      </c>
      <c r="L12">
        <v>0.05</v>
      </c>
      <c r="R12" t="s">
        <v>90</v>
      </c>
      <c r="S12" s="4">
        <v>7.5666999999999999E-8</v>
      </c>
      <c r="T12" s="4">
        <v>7.5666999999999999E-8</v>
      </c>
      <c r="U12">
        <v>663</v>
      </c>
      <c r="V12">
        <v>0.01</v>
      </c>
      <c r="W12">
        <v>0.06</v>
      </c>
      <c r="X12">
        <v>0.06</v>
      </c>
      <c r="Y12">
        <v>0.05</v>
      </c>
      <c r="Z12">
        <v>0.05</v>
      </c>
      <c r="AA12">
        <v>0.06</v>
      </c>
      <c r="AB12">
        <v>0.06</v>
      </c>
      <c r="AC12">
        <v>0.06</v>
      </c>
      <c r="AD12">
        <v>0.06</v>
      </c>
      <c r="AE12">
        <v>0.05</v>
      </c>
      <c r="AF12">
        <v>0.05</v>
      </c>
    </row>
    <row r="13" spans="1:32" x14ac:dyDescent="0.2">
      <c r="A13" t="s">
        <v>91</v>
      </c>
      <c r="B13">
        <v>1.5168E-3</v>
      </c>
      <c r="C13">
        <v>1.5161E-3</v>
      </c>
      <c r="D13">
        <v>570447</v>
      </c>
      <c r="E13">
        <v>0.01</v>
      </c>
      <c r="F13">
        <v>0.06</v>
      </c>
      <c r="G13">
        <v>0.06</v>
      </c>
      <c r="H13">
        <v>0.04</v>
      </c>
      <c r="I13">
        <v>0.04</v>
      </c>
      <c r="J13">
        <v>0.04</v>
      </c>
      <c r="K13">
        <v>0.05</v>
      </c>
      <c r="L13">
        <v>0.51</v>
      </c>
      <c r="R13" t="s">
        <v>91</v>
      </c>
      <c r="S13">
        <v>1.5168E-3</v>
      </c>
      <c r="T13">
        <v>1.5161E-3</v>
      </c>
      <c r="U13">
        <v>570447</v>
      </c>
      <c r="V13">
        <v>0.01</v>
      </c>
      <c r="W13">
        <v>7.0000000000000007E-2</v>
      </c>
      <c r="X13">
        <v>7.0000000000000007E-2</v>
      </c>
      <c r="Y13">
        <v>0.05</v>
      </c>
      <c r="Z13">
        <v>0.05</v>
      </c>
      <c r="AA13">
        <v>0.05</v>
      </c>
      <c r="AB13">
        <v>0.05</v>
      </c>
      <c r="AC13">
        <v>0.35</v>
      </c>
      <c r="AD13">
        <v>7.0000000000000007E-2</v>
      </c>
      <c r="AE13">
        <v>0.51</v>
      </c>
      <c r="AF13">
        <v>0.06</v>
      </c>
    </row>
    <row r="14" spans="1:32" x14ac:dyDescent="0.2">
      <c r="A14" t="s">
        <v>92</v>
      </c>
      <c r="B14" s="4">
        <v>5.4550999999999997E-11</v>
      </c>
      <c r="C14" s="4">
        <v>5.4550999999999997E-11</v>
      </c>
      <c r="D14">
        <v>36256</v>
      </c>
      <c r="E14">
        <v>0.01</v>
      </c>
      <c r="F14">
        <v>0.05</v>
      </c>
      <c r="G14">
        <v>0.05</v>
      </c>
      <c r="H14">
        <v>0.05</v>
      </c>
      <c r="I14">
        <v>0.05</v>
      </c>
      <c r="J14">
        <v>0.05</v>
      </c>
      <c r="K14">
        <v>0.05</v>
      </c>
      <c r="L14">
        <v>0.13</v>
      </c>
      <c r="R14" t="s">
        <v>92</v>
      </c>
      <c r="S14" s="4">
        <v>5.4550999999999997E-11</v>
      </c>
      <c r="T14" s="4">
        <v>5.4550999999999997E-11</v>
      </c>
      <c r="U14">
        <v>36256</v>
      </c>
      <c r="V14">
        <v>0.01</v>
      </c>
      <c r="W14">
        <v>0.06</v>
      </c>
      <c r="X14">
        <v>0.06</v>
      </c>
      <c r="Y14">
        <v>0.05</v>
      </c>
      <c r="Z14">
        <v>0.06</v>
      </c>
      <c r="AA14">
        <v>0.06</v>
      </c>
      <c r="AB14">
        <v>0.06</v>
      </c>
      <c r="AC14">
        <v>0.13</v>
      </c>
      <c r="AD14">
        <v>0.06</v>
      </c>
      <c r="AE14">
        <v>0.13</v>
      </c>
      <c r="AF14">
        <v>0.05</v>
      </c>
    </row>
    <row r="15" spans="1:32" x14ac:dyDescent="0.2">
      <c r="A15" t="s">
        <v>93</v>
      </c>
      <c r="B15" s="4">
        <v>7.8646999999999994E-6</v>
      </c>
      <c r="C15" s="4">
        <v>7.8646999999999994E-6</v>
      </c>
      <c r="D15">
        <v>40</v>
      </c>
      <c r="E15">
        <v>0.01</v>
      </c>
      <c r="F15">
        <v>0.05</v>
      </c>
      <c r="G15">
        <v>0.05</v>
      </c>
      <c r="H15">
        <v>0.04</v>
      </c>
      <c r="I15">
        <v>0.04</v>
      </c>
      <c r="J15">
        <v>0.05</v>
      </c>
      <c r="K15">
        <v>0.05</v>
      </c>
      <c r="L15">
        <v>0.05</v>
      </c>
      <c r="R15" t="s">
        <v>93</v>
      </c>
      <c r="S15" s="4">
        <v>7.8646999999999994E-6</v>
      </c>
      <c r="T15" s="4">
        <v>7.8646999999999994E-6</v>
      </c>
      <c r="U15">
        <v>40</v>
      </c>
      <c r="V15">
        <v>0.01</v>
      </c>
      <c r="W15">
        <v>0.06</v>
      </c>
      <c r="X15">
        <v>0.06</v>
      </c>
      <c r="Y15">
        <v>0.05</v>
      </c>
      <c r="Z15">
        <v>0.05</v>
      </c>
      <c r="AA15">
        <v>0.06</v>
      </c>
      <c r="AB15">
        <v>0.06</v>
      </c>
      <c r="AC15">
        <v>0.06</v>
      </c>
      <c r="AD15">
        <v>0.06</v>
      </c>
      <c r="AE15">
        <v>0.05</v>
      </c>
      <c r="AF15">
        <v>0.05</v>
      </c>
    </row>
    <row r="16" spans="1:32" x14ac:dyDescent="0.2">
      <c r="A16" t="s">
        <v>94</v>
      </c>
      <c r="B16" s="4">
        <v>6.9345000000000001E-7</v>
      </c>
      <c r="C16" s="4">
        <v>6.9345000000000001E-7</v>
      </c>
      <c r="D16">
        <v>1267</v>
      </c>
      <c r="E16">
        <v>0.01</v>
      </c>
      <c r="F16">
        <v>0.06</v>
      </c>
      <c r="G16">
        <v>0.06</v>
      </c>
      <c r="H16">
        <v>0.05</v>
      </c>
      <c r="I16">
        <v>0.05</v>
      </c>
      <c r="J16">
        <v>0.05</v>
      </c>
      <c r="K16">
        <v>0.05</v>
      </c>
      <c r="L16">
        <v>7.0000000000000007E-2</v>
      </c>
      <c r="R16" t="s">
        <v>94</v>
      </c>
      <c r="S16" s="4">
        <v>6.9345000000000001E-7</v>
      </c>
      <c r="T16" s="4">
        <v>6.9345000000000001E-7</v>
      </c>
      <c r="U16">
        <v>1267</v>
      </c>
      <c r="V16">
        <v>0.01</v>
      </c>
      <c r="W16">
        <v>0.06</v>
      </c>
      <c r="X16">
        <v>0.06</v>
      </c>
      <c r="Y16">
        <v>0.05</v>
      </c>
      <c r="Z16">
        <v>0.05</v>
      </c>
      <c r="AA16">
        <v>0.05</v>
      </c>
      <c r="AB16">
        <v>0.06</v>
      </c>
      <c r="AC16">
        <v>7.0000000000000007E-2</v>
      </c>
      <c r="AD16">
        <v>0.06</v>
      </c>
      <c r="AE16">
        <v>7.0000000000000007E-2</v>
      </c>
      <c r="AF16">
        <v>0.06</v>
      </c>
    </row>
    <row r="17" spans="1:32" x14ac:dyDescent="0.2">
      <c r="A17" t="s">
        <v>95</v>
      </c>
      <c r="B17" s="4">
        <v>2.2639E-6</v>
      </c>
      <c r="C17" s="4">
        <v>2.2639E-6</v>
      </c>
      <c r="D17">
        <v>6608</v>
      </c>
      <c r="E17">
        <v>0.01</v>
      </c>
      <c r="F17">
        <v>0.12</v>
      </c>
      <c r="G17">
        <v>0.12</v>
      </c>
      <c r="H17">
        <v>0.04</v>
      </c>
      <c r="I17">
        <v>0.05</v>
      </c>
      <c r="J17">
        <v>0.05</v>
      </c>
      <c r="K17">
        <v>0.05</v>
      </c>
      <c r="L17">
        <v>0.13</v>
      </c>
      <c r="R17" t="s">
        <v>95</v>
      </c>
      <c r="S17" s="4">
        <v>2.2639E-6</v>
      </c>
      <c r="T17" s="4">
        <v>2.2639E-6</v>
      </c>
      <c r="U17">
        <v>6608</v>
      </c>
      <c r="V17">
        <v>0.01</v>
      </c>
      <c r="W17">
        <v>0.12</v>
      </c>
      <c r="X17">
        <v>0.12</v>
      </c>
      <c r="Y17">
        <v>0.05</v>
      </c>
      <c r="Z17">
        <v>0.06</v>
      </c>
      <c r="AA17">
        <v>0.06</v>
      </c>
      <c r="AB17">
        <v>0.06</v>
      </c>
      <c r="AC17">
        <v>0.14000000000000001</v>
      </c>
      <c r="AD17">
        <v>0.12</v>
      </c>
      <c r="AE17">
        <v>0.13</v>
      </c>
      <c r="AF17">
        <v>0.12</v>
      </c>
    </row>
    <row r="18" spans="1:32" x14ac:dyDescent="0.2">
      <c r="A18" t="s">
        <v>96</v>
      </c>
      <c r="B18" s="4">
        <v>1.7689E-9</v>
      </c>
      <c r="C18" s="4">
        <v>1.7689E-9</v>
      </c>
      <c r="D18">
        <v>443352</v>
      </c>
      <c r="E18">
        <v>0.01</v>
      </c>
      <c r="F18">
        <v>0.59</v>
      </c>
      <c r="G18">
        <v>0.6</v>
      </c>
      <c r="H18">
        <v>0.04</v>
      </c>
      <c r="I18">
        <v>0.05</v>
      </c>
      <c r="J18">
        <v>0.05</v>
      </c>
      <c r="K18">
        <v>0.05</v>
      </c>
      <c r="L18">
        <v>1.06</v>
      </c>
      <c r="R18" t="s">
        <v>96</v>
      </c>
      <c r="S18" s="4">
        <v>1.7689E-9</v>
      </c>
      <c r="T18" s="4">
        <v>1.7689E-9</v>
      </c>
      <c r="U18">
        <v>443352</v>
      </c>
      <c r="V18">
        <v>0.01</v>
      </c>
      <c r="W18">
        <v>0.62</v>
      </c>
      <c r="X18">
        <v>0.63</v>
      </c>
      <c r="Y18">
        <v>0.05</v>
      </c>
      <c r="Z18">
        <v>0.06</v>
      </c>
      <c r="AA18">
        <v>0.06</v>
      </c>
      <c r="AB18">
        <v>0.06</v>
      </c>
      <c r="AC18">
        <v>1.0900000000000001</v>
      </c>
      <c r="AD18">
        <v>0.62</v>
      </c>
      <c r="AE18">
        <v>1.06</v>
      </c>
      <c r="AF18">
        <v>0.59</v>
      </c>
    </row>
    <row r="19" spans="1:32" x14ac:dyDescent="0.2">
      <c r="A19" t="s">
        <v>97</v>
      </c>
      <c r="B19" s="4">
        <v>5.6376999999999999E-5</v>
      </c>
      <c r="C19" s="4">
        <v>5.6375999999999997E-5</v>
      </c>
      <c r="D19">
        <v>18679</v>
      </c>
      <c r="E19">
        <v>0.01</v>
      </c>
      <c r="F19">
        <v>0.33</v>
      </c>
      <c r="G19">
        <v>0.34</v>
      </c>
      <c r="H19">
        <v>0.05</v>
      </c>
      <c r="I19">
        <v>0.05</v>
      </c>
      <c r="J19">
        <v>0.05</v>
      </c>
      <c r="K19">
        <v>0.05</v>
      </c>
      <c r="L19">
        <v>0.37</v>
      </c>
      <c r="R19" t="s">
        <v>97</v>
      </c>
      <c r="S19" s="4">
        <v>5.6376999999999999E-5</v>
      </c>
      <c r="T19" s="4">
        <v>5.6375999999999997E-5</v>
      </c>
      <c r="U19">
        <v>18679</v>
      </c>
      <c r="V19">
        <v>0.01</v>
      </c>
      <c r="W19">
        <v>0.34</v>
      </c>
      <c r="X19">
        <v>0.34</v>
      </c>
      <c r="Y19">
        <v>0.06</v>
      </c>
      <c r="Z19">
        <v>0.06</v>
      </c>
      <c r="AA19">
        <v>0.06</v>
      </c>
      <c r="AB19">
        <v>7.0000000000000007E-2</v>
      </c>
      <c r="AC19">
        <v>0.38</v>
      </c>
      <c r="AD19">
        <v>0.34</v>
      </c>
      <c r="AE19">
        <v>0.37</v>
      </c>
      <c r="AF19">
        <v>0.33</v>
      </c>
    </row>
    <row r="20" spans="1:32" x14ac:dyDescent="0.2">
      <c r="A20" t="s">
        <v>98</v>
      </c>
      <c r="B20" s="4">
        <v>1.5800999999999999E-6</v>
      </c>
      <c r="C20" s="4">
        <v>1.5800999999999999E-6</v>
      </c>
      <c r="D20">
        <v>1239135</v>
      </c>
      <c r="E20">
        <v>0.01</v>
      </c>
      <c r="F20">
        <v>0.06</v>
      </c>
      <c r="G20">
        <v>7.0000000000000007E-2</v>
      </c>
      <c r="H20">
        <v>0.04</v>
      </c>
      <c r="I20">
        <v>0.05</v>
      </c>
      <c r="J20">
        <v>0.05</v>
      </c>
      <c r="K20">
        <v>0.05</v>
      </c>
      <c r="L20">
        <v>1.1200000000000001</v>
      </c>
      <c r="R20" t="s">
        <v>98</v>
      </c>
      <c r="S20" s="4">
        <v>1.5800999999999999E-6</v>
      </c>
      <c r="T20" s="4">
        <v>1.5800999999999999E-6</v>
      </c>
      <c r="U20">
        <v>1239135</v>
      </c>
      <c r="V20">
        <v>0.01</v>
      </c>
      <c r="W20">
        <v>7.0000000000000007E-2</v>
      </c>
      <c r="X20">
        <v>7.0000000000000007E-2</v>
      </c>
      <c r="Y20">
        <v>0.05</v>
      </c>
      <c r="Z20">
        <v>0.06</v>
      </c>
      <c r="AA20">
        <v>0.06</v>
      </c>
      <c r="AB20">
        <v>0.06</v>
      </c>
      <c r="AC20">
        <v>0.84</v>
      </c>
      <c r="AD20">
        <v>7.0000000000000007E-2</v>
      </c>
      <c r="AE20">
        <v>1.1200000000000001</v>
      </c>
      <c r="AF20">
        <v>0.06</v>
      </c>
    </row>
    <row r="21" spans="1:32" x14ac:dyDescent="0.2">
      <c r="A21" t="s">
        <v>99</v>
      </c>
      <c r="E21">
        <v>0.01</v>
      </c>
      <c r="H21">
        <v>7.0000000000000007E-2</v>
      </c>
      <c r="R21" t="s">
        <v>99</v>
      </c>
      <c r="V21">
        <v>0.01</v>
      </c>
      <c r="Y21">
        <v>7.0000000000000007E-2</v>
      </c>
    </row>
    <row r="22" spans="1:32" x14ac:dyDescent="0.2">
      <c r="A22" t="s">
        <v>100</v>
      </c>
      <c r="E22">
        <v>0.01</v>
      </c>
      <c r="H22">
        <v>0.06</v>
      </c>
      <c r="R22" t="s">
        <v>100</v>
      </c>
      <c r="V22">
        <v>0.01</v>
      </c>
      <c r="Y22">
        <v>7.0000000000000007E-2</v>
      </c>
    </row>
    <row r="23" spans="1:32" x14ac:dyDescent="0.2">
      <c r="A23" t="s">
        <v>101</v>
      </c>
      <c r="E23">
        <v>0.01</v>
      </c>
      <c r="H23">
        <v>0.06</v>
      </c>
      <c r="R23" t="s">
        <v>101</v>
      </c>
      <c r="V23">
        <v>0.01</v>
      </c>
      <c r="Y23">
        <v>7.0000000000000007E-2</v>
      </c>
    </row>
    <row r="24" spans="1:32" x14ac:dyDescent="0.2">
      <c r="A24" t="s">
        <v>102</v>
      </c>
      <c r="E24">
        <v>0.01</v>
      </c>
      <c r="H24">
        <v>0.06</v>
      </c>
      <c r="R24" t="s">
        <v>102</v>
      </c>
      <c r="V24">
        <v>0.01</v>
      </c>
      <c r="Y24">
        <v>0.08</v>
      </c>
    </row>
    <row r="25" spans="1:32" x14ac:dyDescent="0.2">
      <c r="A25" t="s">
        <v>103</v>
      </c>
      <c r="E25">
        <v>0.01</v>
      </c>
      <c r="H25">
        <v>0.06</v>
      </c>
      <c r="R25" t="s">
        <v>103</v>
      </c>
      <c r="V25">
        <v>0.01</v>
      </c>
      <c r="Y25">
        <v>0.08</v>
      </c>
    </row>
    <row r="26" spans="1:32" x14ac:dyDescent="0.2">
      <c r="A26" t="s">
        <v>104</v>
      </c>
      <c r="E26">
        <v>0.01</v>
      </c>
      <c r="H26">
        <v>0.06</v>
      </c>
      <c r="R26" t="s">
        <v>104</v>
      </c>
      <c r="V26">
        <v>0.01</v>
      </c>
      <c r="Y26">
        <v>0.09</v>
      </c>
    </row>
    <row r="27" spans="1:32" x14ac:dyDescent="0.2">
      <c r="A27" t="s">
        <v>105</v>
      </c>
      <c r="E27">
        <v>0.01</v>
      </c>
      <c r="H27">
        <v>7.0000000000000007E-2</v>
      </c>
      <c r="R27" t="s">
        <v>105</v>
      </c>
      <c r="V27">
        <v>0.01</v>
      </c>
      <c r="Y27">
        <v>0.09</v>
      </c>
    </row>
    <row r="28" spans="1:32" x14ac:dyDescent="0.2">
      <c r="A28" t="s">
        <v>106</v>
      </c>
      <c r="E28">
        <v>0.01</v>
      </c>
      <c r="H28">
        <v>7.0000000000000007E-2</v>
      </c>
      <c r="R28" t="s">
        <v>106</v>
      </c>
      <c r="V28">
        <v>0.01</v>
      </c>
      <c r="Y28">
        <v>0.09</v>
      </c>
    </row>
    <row r="29" spans="1:32" x14ac:dyDescent="0.2">
      <c r="A29" t="s">
        <v>107</v>
      </c>
      <c r="E29">
        <v>0.01</v>
      </c>
      <c r="H29">
        <v>0.08</v>
      </c>
      <c r="R29" t="s">
        <v>107</v>
      </c>
      <c r="V29">
        <v>0.01</v>
      </c>
      <c r="Y29">
        <v>0.1</v>
      </c>
    </row>
  </sheetData>
  <phoneticPr fontId="8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BC6C-AD0D-447E-9391-249BDE3AE2D1}">
  <dimension ref="A1:Y29"/>
  <sheetViews>
    <sheetView topLeftCell="E1" zoomScale="70" zoomScaleNormal="70" workbookViewId="0">
      <selection activeCell="M5" sqref="M5"/>
    </sheetView>
  </sheetViews>
  <sheetFormatPr baseColWidth="10" defaultColWidth="8.83203125" defaultRowHeight="15" x14ac:dyDescent="0.2"/>
  <cols>
    <col min="1" max="1" width="30.1640625" bestFit="1" customWidth="1"/>
    <col min="2" max="2" width="10.1640625" customWidth="1"/>
    <col min="3" max="3" width="14.33203125" bestFit="1" customWidth="1"/>
    <col min="4" max="4" width="12.33203125" customWidth="1"/>
    <col min="5" max="5" width="11.5" bestFit="1" customWidth="1"/>
    <col min="6" max="6" width="12.6640625" bestFit="1" customWidth="1"/>
    <col min="7" max="7" width="11.33203125" customWidth="1"/>
    <col min="8" max="8" width="15" bestFit="1" customWidth="1"/>
    <col min="15" max="15" width="26.83203125" bestFit="1" customWidth="1"/>
    <col min="16" max="16" width="12" customWidth="1"/>
    <col min="22" max="22" width="17.33203125" bestFit="1" customWidth="1"/>
    <col min="23" max="23" width="14.83203125" bestFit="1" customWidth="1"/>
    <col min="24" max="24" width="20.5" bestFit="1" customWidth="1"/>
    <col min="25" max="25" width="18" bestFit="1" customWidth="1"/>
  </cols>
  <sheetData>
    <row r="1" spans="1:25" x14ac:dyDescent="0.2">
      <c r="A1" s="2"/>
      <c r="B1" s="2"/>
      <c r="C1" s="2" t="s">
        <v>160</v>
      </c>
      <c r="D1" s="2"/>
      <c r="E1" s="2"/>
      <c r="F1" s="2"/>
      <c r="G1" s="2"/>
      <c r="H1" s="2"/>
      <c r="I1" s="2"/>
      <c r="O1" s="2"/>
      <c r="P1" s="2"/>
      <c r="Q1" s="2" t="s">
        <v>161</v>
      </c>
      <c r="R1" s="2"/>
      <c r="S1" s="2"/>
      <c r="T1" s="2"/>
      <c r="U1" s="2"/>
      <c r="V1" s="2"/>
      <c r="W1" s="2"/>
    </row>
    <row r="2" spans="1:25" x14ac:dyDescent="0.2">
      <c r="A2" t="s">
        <v>143</v>
      </c>
      <c r="B2" t="s">
        <v>144</v>
      </c>
      <c r="C2" t="s">
        <v>148</v>
      </c>
      <c r="D2" t="s">
        <v>151</v>
      </c>
      <c r="E2" t="s">
        <v>152</v>
      </c>
      <c r="F2" t="s">
        <v>153</v>
      </c>
      <c r="G2" t="s">
        <v>154</v>
      </c>
      <c r="H2" t="s">
        <v>162</v>
      </c>
      <c r="I2" t="s">
        <v>163</v>
      </c>
      <c r="O2" t="s">
        <v>143</v>
      </c>
      <c r="P2" t="s">
        <v>144</v>
      </c>
      <c r="Q2" t="s">
        <v>148</v>
      </c>
      <c r="R2" t="s">
        <v>151</v>
      </c>
      <c r="S2" t="s">
        <v>152</v>
      </c>
      <c r="T2" t="s">
        <v>153</v>
      </c>
      <c r="U2" t="s">
        <v>154</v>
      </c>
      <c r="V2" t="s">
        <v>164</v>
      </c>
      <c r="W2" t="s">
        <v>165</v>
      </c>
      <c r="X2" t="s">
        <v>162</v>
      </c>
      <c r="Y2" t="s">
        <v>163</v>
      </c>
    </row>
    <row r="3" spans="1:25" x14ac:dyDescent="0.2">
      <c r="A3" t="s">
        <v>81</v>
      </c>
      <c r="B3">
        <v>1.152384E-2</v>
      </c>
      <c r="C3">
        <v>0.01</v>
      </c>
      <c r="D3">
        <v>0.04</v>
      </c>
      <c r="E3">
        <v>0.04</v>
      </c>
      <c r="F3">
        <v>0.04</v>
      </c>
      <c r="G3">
        <v>0.04</v>
      </c>
      <c r="H3">
        <v>0.04</v>
      </c>
      <c r="I3">
        <v>0.04</v>
      </c>
      <c r="O3" t="s">
        <v>81</v>
      </c>
      <c r="P3">
        <v>1.152384E-2</v>
      </c>
      <c r="Q3">
        <v>0.01</v>
      </c>
      <c r="R3">
        <v>0.04</v>
      </c>
      <c r="S3">
        <v>0.04</v>
      </c>
      <c r="T3">
        <v>0.04</v>
      </c>
      <c r="U3">
        <v>0.04</v>
      </c>
      <c r="V3">
        <v>0.04</v>
      </c>
      <c r="W3">
        <v>0.04</v>
      </c>
      <c r="X3">
        <v>0.04</v>
      </c>
      <c r="Y3">
        <v>0.04</v>
      </c>
    </row>
    <row r="4" spans="1:25" x14ac:dyDescent="0.2">
      <c r="A4" t="s">
        <v>82</v>
      </c>
      <c r="B4" s="4">
        <v>4.21824E-13</v>
      </c>
      <c r="C4">
        <v>0.01</v>
      </c>
      <c r="D4">
        <v>0.04</v>
      </c>
      <c r="E4">
        <v>0.04</v>
      </c>
      <c r="F4">
        <v>0.04</v>
      </c>
      <c r="G4">
        <v>0.04</v>
      </c>
      <c r="H4">
        <v>0.04</v>
      </c>
      <c r="I4">
        <v>0.04</v>
      </c>
      <c r="O4" t="s">
        <v>82</v>
      </c>
      <c r="P4" s="4">
        <v>4.21824E-13</v>
      </c>
      <c r="Q4">
        <v>0.01</v>
      </c>
      <c r="R4">
        <v>0.04</v>
      </c>
      <c r="S4">
        <v>0.04</v>
      </c>
      <c r="T4">
        <v>0.04</v>
      </c>
      <c r="U4">
        <v>0.04</v>
      </c>
      <c r="V4">
        <v>0.05</v>
      </c>
      <c r="W4">
        <v>0.05</v>
      </c>
      <c r="X4">
        <v>0.04</v>
      </c>
      <c r="Y4">
        <v>0.04</v>
      </c>
    </row>
    <row r="5" spans="1:25" x14ac:dyDescent="0.2">
      <c r="A5" t="s">
        <v>83</v>
      </c>
      <c r="B5" s="4">
        <v>1.2124909999999999E-7</v>
      </c>
      <c r="C5">
        <v>0.01</v>
      </c>
      <c r="D5">
        <v>0.04</v>
      </c>
      <c r="E5">
        <v>0.04</v>
      </c>
      <c r="F5">
        <v>0.04</v>
      </c>
      <c r="G5">
        <v>0.04</v>
      </c>
      <c r="H5">
        <v>0.04</v>
      </c>
      <c r="I5">
        <v>0.04</v>
      </c>
      <c r="O5" t="s">
        <v>83</v>
      </c>
      <c r="P5" s="4">
        <v>1.2124909999999999E-7</v>
      </c>
      <c r="Q5">
        <v>0.01</v>
      </c>
      <c r="R5">
        <v>0.04</v>
      </c>
      <c r="S5">
        <v>0.04</v>
      </c>
      <c r="T5">
        <v>0.04</v>
      </c>
      <c r="U5">
        <v>0.05</v>
      </c>
      <c r="V5">
        <v>0.05</v>
      </c>
      <c r="W5">
        <v>0.05</v>
      </c>
      <c r="X5">
        <v>0.04</v>
      </c>
      <c r="Y5">
        <v>0.04</v>
      </c>
    </row>
    <row r="6" spans="1:25" x14ac:dyDescent="0.2">
      <c r="A6" t="s">
        <v>84</v>
      </c>
      <c r="B6" s="4">
        <v>2.3393019999999999E-7</v>
      </c>
      <c r="C6">
        <v>0.01</v>
      </c>
      <c r="D6">
        <v>0.04</v>
      </c>
      <c r="E6">
        <v>0.04</v>
      </c>
      <c r="F6">
        <v>0.04</v>
      </c>
      <c r="G6">
        <v>0.04</v>
      </c>
      <c r="H6">
        <v>0.04</v>
      </c>
      <c r="I6">
        <v>0.04</v>
      </c>
      <c r="O6" t="s">
        <v>84</v>
      </c>
      <c r="P6" s="4">
        <v>2.3393019999999999E-7</v>
      </c>
      <c r="Q6">
        <v>0.01</v>
      </c>
      <c r="R6">
        <v>0.04</v>
      </c>
      <c r="S6">
        <v>0.04</v>
      </c>
      <c r="T6">
        <v>0.04</v>
      </c>
      <c r="U6">
        <v>0.05</v>
      </c>
      <c r="V6">
        <v>0.05</v>
      </c>
      <c r="W6">
        <v>0.05</v>
      </c>
      <c r="X6">
        <v>0.04</v>
      </c>
      <c r="Y6">
        <v>0.04</v>
      </c>
    </row>
    <row r="7" spans="1:25" x14ac:dyDescent="0.2">
      <c r="A7" t="s">
        <v>85</v>
      </c>
      <c r="B7" s="4">
        <v>1.193481E-6</v>
      </c>
      <c r="C7">
        <v>0.01</v>
      </c>
      <c r="D7">
        <v>0.04</v>
      </c>
      <c r="E7">
        <v>0.04</v>
      </c>
      <c r="F7">
        <v>0.04</v>
      </c>
      <c r="G7">
        <v>0.04</v>
      </c>
      <c r="H7">
        <v>0.04</v>
      </c>
      <c r="I7">
        <v>0.04</v>
      </c>
      <c r="O7" t="s">
        <v>85</v>
      </c>
      <c r="P7" s="4">
        <v>1.193481E-6</v>
      </c>
      <c r="Q7">
        <v>0.01</v>
      </c>
      <c r="R7">
        <v>0.04</v>
      </c>
      <c r="S7">
        <v>0.04</v>
      </c>
      <c r="T7">
        <v>0.04</v>
      </c>
      <c r="U7">
        <v>0.04</v>
      </c>
      <c r="V7">
        <v>0.05</v>
      </c>
      <c r="W7">
        <v>0.05</v>
      </c>
      <c r="X7">
        <v>0.04</v>
      </c>
      <c r="Y7">
        <v>0.04</v>
      </c>
    </row>
    <row r="8" spans="1:25" x14ac:dyDescent="0.2">
      <c r="A8" t="s">
        <v>86</v>
      </c>
      <c r="B8" s="4">
        <v>8.7807239999999999E-10</v>
      </c>
      <c r="C8">
        <v>0.01</v>
      </c>
      <c r="D8">
        <v>0.04</v>
      </c>
      <c r="E8">
        <v>0.04</v>
      </c>
      <c r="F8">
        <v>0.04</v>
      </c>
      <c r="G8">
        <v>0.04</v>
      </c>
      <c r="H8">
        <v>0.05</v>
      </c>
      <c r="I8">
        <v>0.05</v>
      </c>
      <c r="O8" t="s">
        <v>86</v>
      </c>
      <c r="P8" s="4">
        <v>8.7807239999999999E-10</v>
      </c>
      <c r="Q8">
        <v>0.01</v>
      </c>
      <c r="R8">
        <v>0.04</v>
      </c>
      <c r="S8">
        <v>0.04</v>
      </c>
      <c r="T8">
        <v>0.04</v>
      </c>
      <c r="U8">
        <v>0.04</v>
      </c>
      <c r="V8">
        <v>0.04</v>
      </c>
      <c r="W8">
        <v>0.04</v>
      </c>
      <c r="X8">
        <v>0.05</v>
      </c>
      <c r="Y8">
        <v>0.05</v>
      </c>
    </row>
    <row r="9" spans="1:25" x14ac:dyDescent="0.2">
      <c r="A9" t="s">
        <v>87</v>
      </c>
      <c r="B9">
        <v>4.1793039999999998E-4</v>
      </c>
      <c r="C9">
        <v>0.01</v>
      </c>
      <c r="D9">
        <v>0.04</v>
      </c>
      <c r="E9">
        <v>0.04</v>
      </c>
      <c r="F9">
        <v>0.04</v>
      </c>
      <c r="G9">
        <v>0.04</v>
      </c>
      <c r="H9">
        <v>0.06</v>
      </c>
      <c r="I9">
        <v>0.06</v>
      </c>
      <c r="O9" t="s">
        <v>87</v>
      </c>
      <c r="P9">
        <v>4.1793039999999998E-4</v>
      </c>
      <c r="Q9">
        <v>0.01</v>
      </c>
      <c r="R9">
        <v>0.04</v>
      </c>
      <c r="S9">
        <v>0.05</v>
      </c>
      <c r="T9">
        <v>0.05</v>
      </c>
      <c r="U9">
        <v>0.05</v>
      </c>
      <c r="V9">
        <v>0.06</v>
      </c>
      <c r="W9">
        <v>0.06</v>
      </c>
      <c r="X9">
        <v>0.06</v>
      </c>
      <c r="Y9">
        <v>0.06</v>
      </c>
    </row>
    <row r="10" spans="1:25" x14ac:dyDescent="0.2">
      <c r="A10" t="s">
        <v>88</v>
      </c>
      <c r="B10" s="4">
        <v>5.2587800000000003E-13</v>
      </c>
      <c r="C10">
        <v>0.01</v>
      </c>
      <c r="D10">
        <v>0.04</v>
      </c>
      <c r="E10">
        <v>0.04</v>
      </c>
      <c r="F10">
        <v>0.04</v>
      </c>
      <c r="G10">
        <v>0.04</v>
      </c>
      <c r="H10">
        <v>0.06</v>
      </c>
      <c r="I10">
        <v>0.06</v>
      </c>
      <c r="O10" t="s">
        <v>88</v>
      </c>
      <c r="P10" s="4">
        <v>5.2587800000000003E-13</v>
      </c>
      <c r="Q10">
        <v>0.01</v>
      </c>
      <c r="R10">
        <v>0.04</v>
      </c>
      <c r="S10">
        <v>0.04</v>
      </c>
      <c r="T10">
        <v>0.04</v>
      </c>
      <c r="U10">
        <v>0.04</v>
      </c>
      <c r="V10">
        <v>7.0000000000000007E-2</v>
      </c>
      <c r="W10">
        <v>7.0000000000000007E-2</v>
      </c>
      <c r="X10">
        <v>0.06</v>
      </c>
      <c r="Y10">
        <v>0.06</v>
      </c>
    </row>
    <row r="11" spans="1:25" x14ac:dyDescent="0.2">
      <c r="A11" t="s">
        <v>89</v>
      </c>
      <c r="B11">
        <v>8.0002809999999997E-3</v>
      </c>
      <c r="C11">
        <v>0.01</v>
      </c>
      <c r="D11">
        <v>0.04</v>
      </c>
      <c r="E11">
        <v>0.04</v>
      </c>
      <c r="F11">
        <v>0.04</v>
      </c>
      <c r="G11">
        <v>0.04</v>
      </c>
      <c r="H11">
        <v>0.05</v>
      </c>
      <c r="I11">
        <v>0.05</v>
      </c>
      <c r="O11" t="s">
        <v>89</v>
      </c>
      <c r="P11">
        <v>8.0002809999999997E-3</v>
      </c>
      <c r="Q11">
        <v>0.01</v>
      </c>
      <c r="R11">
        <v>0.04</v>
      </c>
      <c r="S11">
        <v>0.04</v>
      </c>
      <c r="T11">
        <v>0.04</v>
      </c>
      <c r="U11">
        <v>0.04</v>
      </c>
      <c r="V11">
        <v>0.05</v>
      </c>
      <c r="W11">
        <v>0.05</v>
      </c>
      <c r="X11">
        <v>0.05</v>
      </c>
      <c r="Y11">
        <v>0.05</v>
      </c>
    </row>
    <row r="12" spans="1:25" x14ac:dyDescent="0.2">
      <c r="A12" t="s">
        <v>90</v>
      </c>
      <c r="B12" s="4">
        <v>6.2738089999999998E-8</v>
      </c>
      <c r="C12">
        <v>0.01</v>
      </c>
      <c r="D12">
        <v>0.04</v>
      </c>
      <c r="E12">
        <v>0.04</v>
      </c>
      <c r="F12">
        <v>0.04</v>
      </c>
      <c r="G12">
        <v>0.05</v>
      </c>
      <c r="H12">
        <v>0.05</v>
      </c>
      <c r="I12">
        <v>0.05</v>
      </c>
      <c r="O12" t="s">
        <v>90</v>
      </c>
      <c r="P12" s="4">
        <v>6.2738089999999998E-8</v>
      </c>
      <c r="Q12">
        <v>0.01</v>
      </c>
      <c r="R12">
        <v>0.05</v>
      </c>
      <c r="S12">
        <v>0.05</v>
      </c>
      <c r="T12">
        <v>0.05</v>
      </c>
      <c r="U12">
        <v>0.05</v>
      </c>
      <c r="V12">
        <v>0.06</v>
      </c>
      <c r="W12">
        <v>0.06</v>
      </c>
      <c r="X12">
        <v>0.05</v>
      </c>
      <c r="Y12">
        <v>0.05</v>
      </c>
    </row>
    <row r="13" spans="1:25" x14ac:dyDescent="0.2">
      <c r="A13" t="s">
        <v>91</v>
      </c>
      <c r="B13">
        <v>1.4265739999999999E-3</v>
      </c>
      <c r="C13">
        <v>0.01</v>
      </c>
      <c r="D13">
        <v>0.04</v>
      </c>
      <c r="E13">
        <v>0.04</v>
      </c>
      <c r="F13">
        <v>0.04</v>
      </c>
      <c r="G13">
        <v>0.04</v>
      </c>
      <c r="H13">
        <v>0.11</v>
      </c>
      <c r="I13">
        <v>0.12</v>
      </c>
      <c r="O13" t="s">
        <v>91</v>
      </c>
      <c r="P13">
        <v>1.4265739999999999E-3</v>
      </c>
      <c r="Q13">
        <v>0.01</v>
      </c>
      <c r="R13">
        <v>0.05</v>
      </c>
      <c r="S13">
        <v>0.05</v>
      </c>
      <c r="T13">
        <v>0.05</v>
      </c>
      <c r="U13">
        <v>0.06</v>
      </c>
      <c r="V13">
        <v>0.13</v>
      </c>
      <c r="W13">
        <v>0.13</v>
      </c>
      <c r="X13">
        <v>0.11</v>
      </c>
      <c r="Y13">
        <v>0.12</v>
      </c>
    </row>
    <row r="14" spans="1:25" x14ac:dyDescent="0.2">
      <c r="A14" t="s">
        <v>92</v>
      </c>
      <c r="B14" s="4">
        <v>5.2142980000000002E-11</v>
      </c>
      <c r="C14">
        <v>0.01</v>
      </c>
      <c r="D14">
        <v>0.04</v>
      </c>
      <c r="E14">
        <v>0.04</v>
      </c>
      <c r="F14">
        <v>0.04</v>
      </c>
      <c r="G14">
        <v>0.05</v>
      </c>
      <c r="H14">
        <v>0.06</v>
      </c>
      <c r="I14">
        <v>0.06</v>
      </c>
      <c r="O14" t="s">
        <v>92</v>
      </c>
      <c r="P14" s="4">
        <v>5.2142980000000002E-11</v>
      </c>
      <c r="Q14">
        <v>0.01</v>
      </c>
      <c r="R14">
        <v>0.05</v>
      </c>
      <c r="S14">
        <v>0.06</v>
      </c>
      <c r="T14">
        <v>0.06</v>
      </c>
      <c r="U14">
        <v>0.06</v>
      </c>
      <c r="V14">
        <v>0.12</v>
      </c>
      <c r="W14">
        <v>0.12</v>
      </c>
      <c r="X14">
        <v>0.06</v>
      </c>
      <c r="Y14">
        <v>0.06</v>
      </c>
    </row>
    <row r="15" spans="1:25" x14ac:dyDescent="0.2">
      <c r="A15" t="s">
        <v>93</v>
      </c>
      <c r="B15" s="4">
        <v>7.6624499999999998E-6</v>
      </c>
      <c r="C15">
        <v>0.01</v>
      </c>
      <c r="D15">
        <v>0.04</v>
      </c>
      <c r="E15">
        <v>0.05</v>
      </c>
      <c r="F15">
        <v>0.05</v>
      </c>
      <c r="G15">
        <v>0.05</v>
      </c>
      <c r="H15">
        <v>0.44</v>
      </c>
      <c r="I15">
        <v>0.44</v>
      </c>
      <c r="O15" t="s">
        <v>93</v>
      </c>
      <c r="P15" s="4">
        <v>7.6624499999999998E-6</v>
      </c>
      <c r="Q15">
        <v>0.01</v>
      </c>
      <c r="R15">
        <v>0.05</v>
      </c>
      <c r="S15">
        <v>0.05</v>
      </c>
      <c r="T15">
        <v>0.05</v>
      </c>
      <c r="U15">
        <v>0.05</v>
      </c>
      <c r="V15">
        <v>0.14000000000000001</v>
      </c>
      <c r="W15">
        <v>0.14000000000000001</v>
      </c>
      <c r="X15">
        <v>0.44</v>
      </c>
      <c r="Y15">
        <v>0.44</v>
      </c>
    </row>
    <row r="16" spans="1:25" x14ac:dyDescent="0.2">
      <c r="A16" t="s">
        <v>94</v>
      </c>
      <c r="B16" s="4">
        <v>4.2481159999999998E-7</v>
      </c>
      <c r="C16">
        <v>0.01</v>
      </c>
      <c r="D16">
        <v>0.04</v>
      </c>
      <c r="E16">
        <v>0.05</v>
      </c>
      <c r="F16">
        <v>0.05</v>
      </c>
      <c r="G16">
        <v>0.05</v>
      </c>
      <c r="H16">
        <v>0.53</v>
      </c>
      <c r="I16">
        <v>0.53</v>
      </c>
      <c r="O16" t="s">
        <v>94</v>
      </c>
      <c r="P16" s="4">
        <v>4.2481159999999998E-7</v>
      </c>
      <c r="Q16">
        <v>0.01</v>
      </c>
      <c r="R16">
        <v>0.05</v>
      </c>
      <c r="S16">
        <v>0.06</v>
      </c>
      <c r="T16">
        <v>0.06</v>
      </c>
      <c r="U16">
        <v>0.06</v>
      </c>
      <c r="V16">
        <v>0.59</v>
      </c>
      <c r="W16">
        <v>0.6</v>
      </c>
      <c r="X16">
        <v>0.53</v>
      </c>
      <c r="Y16">
        <v>0.53</v>
      </c>
    </row>
    <row r="17" spans="1:25" x14ac:dyDescent="0.2">
      <c r="A17" t="s">
        <v>95</v>
      </c>
      <c r="B17" s="4">
        <v>1.812483E-6</v>
      </c>
      <c r="C17">
        <v>0.01</v>
      </c>
      <c r="D17">
        <v>0.04</v>
      </c>
      <c r="E17">
        <v>0.05</v>
      </c>
      <c r="F17">
        <v>0.05</v>
      </c>
      <c r="G17">
        <v>0.05</v>
      </c>
      <c r="H17">
        <v>1.35</v>
      </c>
      <c r="I17">
        <v>1.36</v>
      </c>
      <c r="O17" t="s">
        <v>95</v>
      </c>
      <c r="P17" s="4">
        <v>1.812483E-6</v>
      </c>
      <c r="Q17">
        <v>0.01</v>
      </c>
      <c r="R17">
        <v>0.05</v>
      </c>
      <c r="S17">
        <v>0.06</v>
      </c>
      <c r="T17">
        <v>0.06</v>
      </c>
      <c r="U17">
        <v>0.06</v>
      </c>
      <c r="V17">
        <v>1.63</v>
      </c>
      <c r="W17">
        <v>1.63</v>
      </c>
      <c r="X17">
        <v>1.35</v>
      </c>
      <c r="Y17">
        <v>1.36</v>
      </c>
    </row>
    <row r="18" spans="1:25" x14ac:dyDescent="0.2">
      <c r="A18" t="s">
        <v>96</v>
      </c>
      <c r="B18" s="4">
        <v>7.7627979999999997E-10</v>
      </c>
      <c r="C18">
        <v>0.01</v>
      </c>
      <c r="D18">
        <v>0.04</v>
      </c>
      <c r="E18">
        <v>0.04</v>
      </c>
      <c r="F18">
        <v>0.05</v>
      </c>
      <c r="G18">
        <v>0.05</v>
      </c>
      <c r="H18">
        <v>2.36</v>
      </c>
      <c r="I18">
        <v>2.36</v>
      </c>
      <c r="O18" t="s">
        <v>96</v>
      </c>
      <c r="P18" s="4">
        <v>7.7627979999999997E-10</v>
      </c>
      <c r="Q18">
        <v>0.01</v>
      </c>
      <c r="R18">
        <v>0.05</v>
      </c>
      <c r="S18">
        <v>0.05</v>
      </c>
      <c r="T18">
        <v>0.06</v>
      </c>
      <c r="U18">
        <v>0.06</v>
      </c>
      <c r="V18">
        <v>1.0900000000000001</v>
      </c>
      <c r="W18">
        <v>1.0900000000000001</v>
      </c>
      <c r="X18">
        <v>2.36</v>
      </c>
      <c r="Y18">
        <v>2.36</v>
      </c>
    </row>
    <row r="19" spans="1:25" x14ac:dyDescent="0.2">
      <c r="A19" t="s">
        <v>97</v>
      </c>
      <c r="B19" s="4">
        <v>4.8842820000000001E-5</v>
      </c>
      <c r="C19">
        <v>0.01</v>
      </c>
      <c r="D19">
        <v>0.04</v>
      </c>
      <c r="E19">
        <v>0.05</v>
      </c>
      <c r="F19">
        <v>0.05</v>
      </c>
      <c r="G19">
        <v>0.05</v>
      </c>
      <c r="H19">
        <v>2.69</v>
      </c>
      <c r="I19">
        <v>2.7</v>
      </c>
      <c r="O19" t="s">
        <v>97</v>
      </c>
      <c r="P19" s="4">
        <v>4.8842820000000001E-5</v>
      </c>
      <c r="Q19">
        <v>0.01</v>
      </c>
      <c r="R19">
        <v>0.05</v>
      </c>
      <c r="S19">
        <v>0.06</v>
      </c>
      <c r="T19">
        <v>0.06</v>
      </c>
      <c r="U19">
        <v>0.06</v>
      </c>
      <c r="V19">
        <v>1.87</v>
      </c>
      <c r="W19">
        <v>1.88</v>
      </c>
      <c r="X19">
        <v>2.69</v>
      </c>
      <c r="Y19">
        <v>2.7</v>
      </c>
    </row>
    <row r="20" spans="1:25" x14ac:dyDescent="0.2">
      <c r="A20" t="s">
        <v>98</v>
      </c>
      <c r="B20" s="4">
        <v>1.425089E-6</v>
      </c>
      <c r="C20">
        <v>0.01</v>
      </c>
      <c r="D20">
        <v>0.04</v>
      </c>
      <c r="E20">
        <v>0.05</v>
      </c>
      <c r="F20">
        <v>0.05</v>
      </c>
      <c r="G20">
        <v>0.05</v>
      </c>
      <c r="H20">
        <v>0.56999999999999995</v>
      </c>
      <c r="I20">
        <v>0.57999999999999996</v>
      </c>
      <c r="O20" t="s">
        <v>98</v>
      </c>
      <c r="P20" s="4">
        <v>1.425089E-6</v>
      </c>
      <c r="Q20">
        <v>0.01</v>
      </c>
      <c r="R20">
        <v>0.05</v>
      </c>
      <c r="S20">
        <v>0.06</v>
      </c>
      <c r="T20">
        <v>0.06</v>
      </c>
      <c r="U20">
        <v>0.06</v>
      </c>
      <c r="V20">
        <v>0.74</v>
      </c>
      <c r="W20">
        <v>0.74</v>
      </c>
      <c r="X20">
        <v>0.56999999999999995</v>
      </c>
      <c r="Y20">
        <v>0.57999999999999996</v>
      </c>
    </row>
    <row r="21" spans="1:25" x14ac:dyDescent="0.2">
      <c r="A21" t="s">
        <v>99</v>
      </c>
      <c r="B21" s="4">
        <v>5.7372029999999998E-20</v>
      </c>
      <c r="C21">
        <v>0.01</v>
      </c>
      <c r="D21">
        <v>0.06</v>
      </c>
      <c r="E21">
        <v>0.06</v>
      </c>
      <c r="F21">
        <v>0.06</v>
      </c>
      <c r="G21">
        <v>0.06</v>
      </c>
      <c r="H21">
        <v>49.6</v>
      </c>
      <c r="I21">
        <v>49.87</v>
      </c>
      <c r="O21" t="s">
        <v>99</v>
      </c>
      <c r="P21" s="4">
        <v>5.7372029999999998E-20</v>
      </c>
      <c r="Q21">
        <v>0.01</v>
      </c>
      <c r="R21">
        <v>7.0000000000000007E-2</v>
      </c>
      <c r="S21">
        <v>7.0000000000000007E-2</v>
      </c>
      <c r="T21">
        <v>0.08</v>
      </c>
      <c r="U21">
        <v>0.08</v>
      </c>
      <c r="V21">
        <v>52.14</v>
      </c>
      <c r="W21">
        <v>52.41</v>
      </c>
      <c r="X21">
        <v>49.6</v>
      </c>
      <c r="Y21">
        <v>49.87</v>
      </c>
    </row>
    <row r="22" spans="1:25" x14ac:dyDescent="0.2">
      <c r="A22" t="s">
        <v>100</v>
      </c>
      <c r="B22" s="4">
        <v>3.894901E-13</v>
      </c>
      <c r="C22">
        <v>0.01</v>
      </c>
      <c r="D22">
        <v>0.06</v>
      </c>
      <c r="E22">
        <v>0.06</v>
      </c>
      <c r="F22">
        <v>0.06</v>
      </c>
      <c r="G22">
        <v>7.0000000000000007E-2</v>
      </c>
      <c r="H22">
        <v>25.65</v>
      </c>
      <c r="I22">
        <v>26.08</v>
      </c>
      <c r="O22" t="s">
        <v>100</v>
      </c>
      <c r="P22" s="4">
        <v>3.894901E-13</v>
      </c>
      <c r="Q22">
        <v>0.01</v>
      </c>
      <c r="R22">
        <v>7.0000000000000007E-2</v>
      </c>
      <c r="S22">
        <v>0.08</v>
      </c>
      <c r="T22">
        <v>0.08</v>
      </c>
      <c r="U22">
        <v>0.08</v>
      </c>
      <c r="V22">
        <v>38.39</v>
      </c>
      <c r="W22">
        <v>38.799999999999997</v>
      </c>
      <c r="X22">
        <v>25.65</v>
      </c>
      <c r="Y22">
        <v>26.08</v>
      </c>
    </row>
    <row r="23" spans="1:25" x14ac:dyDescent="0.2">
      <c r="A23" t="s">
        <v>101</v>
      </c>
      <c r="B23" s="4">
        <v>2.4114619999999998E-12</v>
      </c>
      <c r="C23">
        <v>0.01</v>
      </c>
      <c r="D23">
        <v>0.06</v>
      </c>
      <c r="E23">
        <v>7.0000000000000007E-2</v>
      </c>
      <c r="F23">
        <v>7.0000000000000007E-2</v>
      </c>
      <c r="G23">
        <v>7.0000000000000007E-2</v>
      </c>
      <c r="H23">
        <v>16.93</v>
      </c>
      <c r="I23">
        <v>17.07</v>
      </c>
      <c r="O23" t="s">
        <v>101</v>
      </c>
      <c r="Q23">
        <v>0.01</v>
      </c>
      <c r="R23">
        <v>0.08</v>
      </c>
      <c r="X23">
        <v>16.93</v>
      </c>
      <c r="Y23">
        <v>17.07</v>
      </c>
    </row>
    <row r="24" spans="1:25" x14ac:dyDescent="0.2">
      <c r="A24" t="s">
        <v>102</v>
      </c>
      <c r="B24" s="4">
        <v>7.7376180000000008E-34</v>
      </c>
      <c r="C24">
        <v>0.01</v>
      </c>
      <c r="D24">
        <v>7.0000000000000007E-2</v>
      </c>
      <c r="E24">
        <v>7.0000000000000007E-2</v>
      </c>
      <c r="F24">
        <v>7.0000000000000007E-2</v>
      </c>
      <c r="G24">
        <v>7.0000000000000007E-2</v>
      </c>
      <c r="H24">
        <v>30.05</v>
      </c>
      <c r="I24">
        <v>30.08</v>
      </c>
      <c r="O24" t="s">
        <v>102</v>
      </c>
      <c r="P24" s="4">
        <v>7.7376180000000008E-34</v>
      </c>
      <c r="Q24">
        <v>0.01</v>
      </c>
      <c r="R24">
        <v>0.08</v>
      </c>
      <c r="S24">
        <v>0.08</v>
      </c>
      <c r="T24">
        <v>0.08</v>
      </c>
      <c r="U24">
        <v>0.08</v>
      </c>
      <c r="V24">
        <v>31.52</v>
      </c>
      <c r="W24">
        <v>31.62</v>
      </c>
      <c r="X24">
        <v>30.05</v>
      </c>
      <c r="Y24">
        <v>30.08</v>
      </c>
    </row>
    <row r="25" spans="1:25" x14ac:dyDescent="0.2">
      <c r="A25" t="s">
        <v>103</v>
      </c>
      <c r="C25">
        <v>0.01</v>
      </c>
      <c r="D25">
        <v>0.06</v>
      </c>
      <c r="O25" t="s">
        <v>103</v>
      </c>
      <c r="Q25">
        <v>0.01</v>
      </c>
      <c r="R25">
        <v>0.08</v>
      </c>
    </row>
    <row r="26" spans="1:25" x14ac:dyDescent="0.2">
      <c r="A26" t="s">
        <v>104</v>
      </c>
      <c r="C26">
        <v>0.01</v>
      </c>
      <c r="D26">
        <v>7.0000000000000007E-2</v>
      </c>
      <c r="O26" t="s">
        <v>104</v>
      </c>
      <c r="Q26">
        <v>0.01</v>
      </c>
      <c r="R26">
        <v>0.09</v>
      </c>
    </row>
    <row r="27" spans="1:25" x14ac:dyDescent="0.2">
      <c r="A27" t="s">
        <v>105</v>
      </c>
      <c r="C27">
        <v>0.01</v>
      </c>
      <c r="D27">
        <v>7.0000000000000007E-2</v>
      </c>
      <c r="O27" t="s">
        <v>105</v>
      </c>
      <c r="Q27">
        <v>0.01</v>
      </c>
      <c r="R27">
        <v>0.09</v>
      </c>
    </row>
    <row r="28" spans="1:25" x14ac:dyDescent="0.2">
      <c r="A28" t="s">
        <v>106</v>
      </c>
      <c r="C28">
        <v>0.01</v>
      </c>
      <c r="D28">
        <v>7.0000000000000007E-2</v>
      </c>
      <c r="O28" t="s">
        <v>106</v>
      </c>
      <c r="Q28">
        <v>0.01</v>
      </c>
      <c r="R28">
        <v>0.09</v>
      </c>
    </row>
    <row r="29" spans="1:25" x14ac:dyDescent="0.2">
      <c r="A29" t="s">
        <v>107</v>
      </c>
      <c r="C29">
        <v>0.01</v>
      </c>
      <c r="D29">
        <v>0.08</v>
      </c>
      <c r="O29" t="s">
        <v>107</v>
      </c>
      <c r="Q29">
        <v>0.01</v>
      </c>
      <c r="R29">
        <v>0.1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D4CADFC0FEA6499D9F6981718ED478" ma:contentTypeVersion="19" ma:contentTypeDescription="Create a new document." ma:contentTypeScope="" ma:versionID="4bd36176e8aee7670d895ea5fa6a9f52">
  <xsd:schema xmlns:xsd="http://www.w3.org/2001/XMLSchema" xmlns:xs="http://www.w3.org/2001/XMLSchema" xmlns:p="http://schemas.microsoft.com/office/2006/metadata/properties" xmlns:ns1="http://schemas.microsoft.com/sharepoint/v3" xmlns:ns2="fdfd9ad7-10cb-46cf-ba90-e72a3540ec59" xmlns:ns3="c6eb9b64-1931-47cb-8c18-beaa2b56ae02" targetNamespace="http://schemas.microsoft.com/office/2006/metadata/properties" ma:root="true" ma:fieldsID="8fe37c538058e0946878a9a017ed8480" ns1:_="" ns2:_="" ns3:_="">
    <xsd:import namespace="http://schemas.microsoft.com/sharepoint/v3"/>
    <xsd:import namespace="fdfd9ad7-10cb-46cf-ba90-e72a3540ec59"/>
    <xsd:import namespace="c6eb9b64-1931-47cb-8c18-beaa2b56ae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fd9ad7-10cb-46cf-ba90-e72a3540e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4b6758f-1101-41c6-bce0-972164c0a4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b9b64-1931-47cb-8c18-beaa2b56ae0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dd52bcf0-ec41-4f97-a977-e42bedda19eb}" ma:internalName="TaxCatchAll" ma:showField="CatchAllData" ma:web="c6eb9b64-1931-47cb-8c18-beaa2b56ae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c6eb9b64-1931-47cb-8c18-beaa2b56ae02" xsi:nil="true"/>
    <lcf76f155ced4ddcb4097134ff3c332f xmlns="fdfd9ad7-10cb-46cf-ba90-e72a3540ec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766492-606B-402F-8685-3EF0733C1A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F58C00-465A-4D4C-BAE7-FC4A26A89615}"/>
</file>

<file path=customXml/itemProps3.xml><?xml version="1.0" encoding="utf-8"?>
<ds:datastoreItem xmlns:ds="http://schemas.openxmlformats.org/officeDocument/2006/customXml" ds:itemID="{8452ED4B-36F0-4620-B289-33BB06771CE3}">
  <ds:schemaRefs>
    <ds:schemaRef ds:uri="http://www.w3.org/XML/1998/namespace"/>
    <ds:schemaRef ds:uri="http://schemas.microsoft.com/office/infopath/2007/PartnerControls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c6eb9b64-1931-47cb-8c18-beaa2b56ae02"/>
    <ds:schemaRef ds:uri="fdfd9ad7-10cb-46cf-ba90-e72a3540ec5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eros</vt:lpstr>
      <vt:lpstr>node057</vt:lpstr>
      <vt:lpstr>gaia</vt:lpstr>
      <vt:lpstr>FTREX-SCRAM</vt:lpstr>
      <vt:lpstr>time-memory</vt:lpstr>
      <vt:lpstr>All tools</vt:lpstr>
      <vt:lpstr>MCSs &amp; Prob</vt:lpstr>
      <vt:lpstr>FTREX-ZDD</vt:lpstr>
      <vt:lpstr>FTREX-BDD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Asmaa Farag</dc:creator>
  <cp:lastModifiedBy>Arjun Earthperson</cp:lastModifiedBy>
  <dcterms:created xsi:type="dcterms:W3CDTF">2024-01-19T05:51:36Z</dcterms:created>
  <dcterms:modified xsi:type="dcterms:W3CDTF">2025-04-30T01:20:16Z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0x01010074D4CADFC0FEA6499D9F6981718ED478</vt:lpwstr>
  </property>
  <property fmtid="{D5CDD505-2E9C-101B-9397-08002B2CF9AE}" pid="3" name="MediaServiceImageTags">
    <vt:lpwstr/>
  </property>
</Properties>
</file>