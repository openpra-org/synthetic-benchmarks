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1.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2.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3.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4.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5.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6.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166925"/>
  <mc:AlternateContent xmlns:mc="http://schemas.openxmlformats.org/markup-compatibility/2006">
    <mc:Choice Requires="x15">
      <x15ac:absPath xmlns:x15ac="http://schemas.microsoft.com/office/spreadsheetml/2010/11/ac" url="https://oitncsu.sharepoint.com/sites/NEPRAGroup-2021-NEUP-RC-7/Shared Documents/2021-NEUP-RC-7/Outputs/ftrex-benchmarks/"/>
    </mc:Choice>
  </mc:AlternateContent>
  <xr:revisionPtr revIDLastSave="1962" documentId="13_ncr:40009_{71D3A4A0-8AD9-49BD-86B7-8DB56431FB47}" xr6:coauthVersionLast="47" xr6:coauthVersionMax="47" xr10:uidLastSave="{FF6F5734-51D1-DB47-B046-97815F1AE7EF}"/>
  <bookViews>
    <workbookView xWindow="0" yWindow="0" windowWidth="40960" windowHeight="25600" tabRatio="946" firstSheet="9" activeTab="15" xr2:uid="{00000000-000D-0000-FFFF-FFFF00000000}"/>
  </bookViews>
  <sheets>
    <sheet name="first_run" sheetId="1" r:id="rId1"/>
    <sheet name="XFTA" sheetId="2" r:id="rId2"/>
    <sheet name="XFTA-CCF" sheetId="5" r:id="rId3"/>
    <sheet name="SAPHIRE" sheetId="3" r:id="rId4"/>
    <sheet name="SAPHIRE-CCF" sheetId="7" r:id="rId5"/>
    <sheet name="SCRAM" sheetId="4" r:id="rId6"/>
    <sheet name="SCRAM-Prob-NON-CCF" sheetId="18" r:id="rId7"/>
    <sheet name="SCRAM-ccf" sheetId="8" r:id="rId8"/>
    <sheet name="SCRAM-Prob-CCF" sheetId="19" r:id="rId9"/>
    <sheet name="results XFTA" sheetId="11" r:id="rId10"/>
    <sheet name="results-xfta-ccf" sheetId="16" r:id="rId11"/>
    <sheet name="Results SAPHIRE" sheetId="12" r:id="rId12"/>
    <sheet name="results-saphire-ccf" sheetId="17" r:id="rId13"/>
    <sheet name="Results SCRAM-non-ccf" sheetId="13" r:id="rId14"/>
    <sheet name="Results-SCRAM-CCF" sheetId="20" r:id="rId15"/>
    <sheet name="result-all-time-memory-non-ccf" sheetId="15" r:id="rId16"/>
    <sheet name="results-all-time-memory-ccf" sheetId="22" r:id="rId17"/>
    <sheet name="Results--mcs-prob-non-ccf" sheetId="14" r:id="rId18"/>
    <sheet name="Results-mcs-prob-ccf" sheetId="21" r:id="rId19"/>
    <sheet name="Sheet2" sheetId="26" r:id="rId20"/>
    <sheet name="Sheet4" sheetId="28" r:id="rId21"/>
    <sheet name="Sheet3" sheetId="27"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12" i="14" l="1"/>
  <c r="U111" i="14"/>
  <c r="U110" i="14"/>
  <c r="U109" i="14"/>
  <c r="U107" i="14"/>
  <c r="U106" i="14"/>
  <c r="U105" i="14"/>
  <c r="U104" i="14"/>
  <c r="U103" i="14"/>
  <c r="U102" i="14"/>
  <c r="U101" i="14"/>
  <c r="U100" i="14"/>
  <c r="U99" i="14"/>
  <c r="U98" i="14"/>
  <c r="N125" i="14"/>
  <c r="N126" i="14"/>
  <c r="N127" i="14"/>
  <c r="N128" i="14"/>
  <c r="N129" i="14"/>
  <c r="N130" i="14"/>
  <c r="N131" i="14"/>
  <c r="D113" i="14"/>
  <c r="D114" i="14"/>
  <c r="D115" i="14"/>
  <c r="D116" i="14"/>
  <c r="D117" i="14"/>
  <c r="D118" i="14"/>
  <c r="D119" i="14"/>
  <c r="D120" i="14"/>
  <c r="D121" i="14"/>
  <c r="D122" i="14"/>
  <c r="D123" i="14"/>
  <c r="D124" i="14"/>
  <c r="D125" i="14"/>
  <c r="D126" i="14"/>
  <c r="D127" i="14"/>
  <c r="D128" i="14"/>
  <c r="D129" i="14"/>
  <c r="D130" i="14"/>
  <c r="N113" i="14"/>
  <c r="N114" i="14"/>
  <c r="N115" i="14"/>
  <c r="N116" i="14"/>
  <c r="N117" i="14"/>
  <c r="N118" i="14"/>
  <c r="N119" i="14"/>
  <c r="N120" i="14"/>
  <c r="N121" i="14"/>
  <c r="N122" i="14"/>
  <c r="N123" i="14"/>
  <c r="N99" i="14"/>
  <c r="N100" i="14"/>
  <c r="N101" i="14"/>
  <c r="N102" i="14"/>
  <c r="N103" i="14"/>
  <c r="N104" i="14"/>
  <c r="N105" i="14"/>
  <c r="N106" i="14"/>
  <c r="N107" i="14"/>
  <c r="N108" i="14"/>
  <c r="N109" i="14"/>
  <c r="N110" i="14"/>
  <c r="N111" i="14"/>
  <c r="N112" i="14"/>
  <c r="N98" i="14"/>
  <c r="G99" i="14"/>
  <c r="G100" i="14"/>
  <c r="G101" i="14"/>
  <c r="G102" i="14"/>
  <c r="G103" i="14"/>
  <c r="G104" i="14"/>
  <c r="G105" i="14"/>
  <c r="G106" i="14"/>
  <c r="G107" i="14"/>
  <c r="G109" i="14"/>
  <c r="G110" i="14"/>
  <c r="G111" i="14"/>
  <c r="G112" i="14"/>
  <c r="G98" i="14"/>
  <c r="D99" i="14"/>
  <c r="D100" i="14"/>
  <c r="D101" i="14"/>
  <c r="D102" i="14"/>
  <c r="D103" i="14"/>
  <c r="D104" i="14"/>
  <c r="D105" i="14"/>
  <c r="D106" i="14"/>
  <c r="D107" i="14"/>
  <c r="D108" i="14"/>
  <c r="D109" i="14"/>
  <c r="D110" i="14"/>
  <c r="D111" i="14"/>
  <c r="D112" i="14"/>
  <c r="D98" i="14"/>
  <c r="K47" i="21"/>
  <c r="K39" i="21"/>
  <c r="K40" i="21"/>
  <c r="K41" i="21"/>
  <c r="K42" i="21"/>
  <c r="K43" i="21"/>
  <c r="K44" i="21"/>
  <c r="K45" i="21"/>
  <c r="K38" i="21"/>
  <c r="D39" i="21"/>
  <c r="D40" i="21"/>
  <c r="D43" i="21"/>
  <c r="D44" i="21"/>
  <c r="D45" i="21"/>
  <c r="D38" i="21"/>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C3" i="13"/>
  <c r="C2" i="13"/>
  <c r="E13" i="17"/>
  <c r="E12" i="17"/>
  <c r="E11" i="17"/>
  <c r="E10" i="17"/>
  <c r="E9" i="17"/>
  <c r="E8" i="17"/>
  <c r="E7" i="17"/>
  <c r="E6" i="17"/>
  <c r="E5" i="17"/>
  <c r="E4" i="17"/>
  <c r="E3" i="17"/>
  <c r="E2" i="17"/>
  <c r="D16" i="12"/>
  <c r="D15" i="12"/>
  <c r="D14" i="12"/>
  <c r="D13" i="12"/>
  <c r="D12" i="12"/>
  <c r="D11" i="12"/>
  <c r="D10" i="12"/>
  <c r="D9" i="12"/>
  <c r="D8" i="12"/>
  <c r="D7" i="12"/>
  <c r="D6" i="12"/>
  <c r="D5" i="12"/>
  <c r="D4" i="12"/>
  <c r="D3" i="12"/>
  <c r="D2" i="12"/>
  <c r="D7" i="16"/>
  <c r="D6" i="16"/>
  <c r="D5" i="16"/>
  <c r="D4" i="16"/>
  <c r="D3" i="16"/>
  <c r="D2" i="16"/>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3" i="8"/>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3" i="4"/>
  <c r="D2" i="5"/>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2" i="7"/>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2" i="3"/>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2" i="2"/>
</calcChain>
</file>

<file path=xl/sharedStrings.xml><?xml version="1.0" encoding="utf-8"?>
<sst xmlns="http://schemas.openxmlformats.org/spreadsheetml/2006/main" count="7566" uniqueCount="1146">
  <si>
    <t>tool	SaphSolve 	SaphSolve 	SaphSolve 	SaphSolve 	SaphSolve 	SaphSolve 	SaphSolve 	SaphSolve 	SaphSolve 	SaphSolve 	SaphSolve 	SaphSolve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SCRAM SCRAM 0.16.2 ()  Dependencies:    Boost       1_65_1    libxml2     2.9.4	xfta XFTA: an Open-PSA Fault Tree engine version 1.0 Copyrights (c) Antoine B. Rauzy 2011 bye	xfta XFTA: an Open-PSA Fault Tree engine version 1.0 Copyrights (c) Antoine B. Rauzy 2011 bye	xfta XFTA: an Open-PSA Fault Tree engine version 1.0 Copyrights (c) Antoine B. Rauzy 2011 bye	xfta XFTA: an Open-PSA Fault Tree engine version 1.0 Copyrights (c) Antoine B. Rauzy 2011 bye	xfta XFTA: an Open-PSA Fault Tree engine version 1.0 Copyrights (c) Antoine B. Rauzy 2011 bye	xfta XFTA: an Open-PSA Fault Tree engine version 1.0 Copyrights (c) Antoine B. Rauzy 2011 bye	xfta XFTA: an Open-PSA Fault Tree engine version 1.0 Copyrights (c) Antoine B. Rauzy 2011 bye	xfta XFTA: an Open-PSA Fault Tree engine version 1.0 Copyrights (c) Antoine B. Rauzy 2011 bye	xfta XFTA: an Open-PSA Fault Tree engine version 1.0 Copyrights (c) Antoine B. Rauzy 2011 bye	xfta XFTA: an Open-PSA Fault Tree engine version 1.0 Copyrights (c) Antoine B. Rauzy 2011 bye	xfta XFTA: an Open-PSA Fault Tree engine version 1.0 Copyrights (c) Antoine B. Rauzy 2011 bye	xfta XFTA: an Open-PSA Fault Tree engine version 1.0 Copyrights (c) Antoine B. Rauzy 2011 bye</t>
  </si>
  <si>
    <t>run set	saphsolve.default.ccf	saphsolve.default.ccf	saphsolve.default.ccf	saphsolve.default.ccf	saphsolve.default.non-ccf	saphsolve.default.non-ccf	saphsolve.default.non-ccf	saphsolve.default.non-ccf	saphsolve.default	saphsolve.default	saphsolve.default	saphsolve.default	scram.mcs.bdd.ccf	scram.mcs.bdd.ccf	scram.mcs.bdd.ccf	scram.mcs.bdd.ccf	scram.mcs.bdd.non-ccf	scram.mcs.bdd.non-ccf	scram.mcs.bdd.non-ccf	scram.mcs.bdd.non-ccf	scram.mcs.bdd	scram.mcs.bdd	scram.mcs.bdd	scram.mcs.bdd	scram.mcs.mocus.ccf	scram.mcs.mocus.ccf	scram.mcs.mocus.ccf	scram.mcs.mocus.ccf	scram.mcs.mocus.non-ccf	scram.mcs.mocus.non-ccf	scram.mcs.mocus.non-ccf	scram.mcs.mocus.non-ccf	scram.mcs.mocus	scram.mcs.mocus	scram.mcs.mocus	scram.mcs.mocus	scram.mcs.zbdd.ccf	scram.mcs.zbdd.ccf	scram.mcs.zbdd.ccf	scram.mcs.zbdd.ccf	scram.mcs.zbdd.non-ccf	scram.mcs.zbdd.non-ccf	scram.mcs.zbdd.non-ccf	scram.mcs.zbdd.non-ccf	scram.mcs.zbdd	scram.mcs.zbdd	scram.mcs.zbdd	scram.mcs.zbdd	scram.prob.bdd.ccf	scram.prob.bdd.ccf	scram.prob.bdd.ccf	scram.prob.bdd.ccf	scram.prob.bdd.non-ccf	scram.prob.bdd.non-ccf	scram.prob.bdd.non-ccf	scram.prob.bdd.non-ccf	scram.prob.bdd	scram.prob.bdd	scram.prob.bdd	scram.prob.bdd	scram.prob.mocus.ccf	scram.prob.mocus.ccf	scram.prob.mocus.ccf	scram.prob.mocus.ccf	scram.prob.mocus.non-ccf	scram.prob.mocus.non-ccf	scram.prob.mocus.non-ccf	scram.prob.mocus.non-ccf	scram.prob.mocus	scram.prob.mocus	scram.prob.mocus	scram.prob.mocus	scram.prob.zbdd.ccf	scram.prob.zbdd.ccf	scram.prob.zbdd.ccf	scram.prob.zbdd.ccf	scram.prob.zbdd.non-ccf	scram.prob.zbdd.non-ccf	scram.prob.zbdd.non-ccf	scram.prob.zbdd.non-ccf	scram.prob.zbdd	scram.prob.zbdd	scram.prob.zbdd	scram.prob.zbdd	xfta.default.ccf	xfta.default.ccf	xfta.default.ccf	xfta.default.ccf	xfta.default.non-ccf	xfta.default.non-ccf	xfta.default.non-ccf	xfta.default.non-ccf	xfta.default	xfta.default	xfta.default	xfta.default</t>
  </si>
  <si>
    <t>models/	status	cputime (s)	walltime (s)	memory (MB)	status	cputime (s)	walltime (s)	memory (MB)	status	cputime (s)	walltime (s)	memory (MB)	status	cputime (s)	walltime (s)	memory (MB)	status	cputime (s)	walltime (s)	memory (MB)	status	cputime (s)	walltime (s)	memory (MB)	status	cputime (s)	walltime (s)	memory (MB)	status	cputime (s)	walltime (s)	memory (MB)	status	cputime (s)	walltime (s)	memory (MB)	status	cputime (s)	walltime (s)	memory (MB)	status	cputime (s)	walltime (s)	memory (MB)	status	cputime (s)	walltime (s)	memory (MB)	status	cputime (s)	walltime (s)	memory (MB)	status	cputime (s)	walltime (s)	memory (MB)	status	cputime (s)	walltime (s)	memory (MB)	status	cputime (s)	walltime (s)	memory (MB)	status	cputime (s)	walltime (s)	memory (MB)	status	cputime (s)	walltime (s)	memory (MB)	status	cputime (s)	walltime (s)	memory (MB)	status	cputime (s)	walltime (s)	memory (MB)	status	cputime (s)	walltime (s)	memory (MB)	status	cputime (s)	walltime (s)	memory (MB)	status	cputime (s)	walltime (s)	memory (MB)	status	cputime (s)	walltime (s)	memory (MB)</t>
  </si>
  <si>
    <t>xfta-config/xfta-config-ft-openpsa-100-01.xml																																																																																									ERROR	0.016953403	0.022305947000859305	2.015232	ERROR	0.016953403	0.022305947000859305	2.015232</t>
  </si>
  <si>
    <t>xfta-config/xfta-config-ft-openpsa-100-02.xml																																																																																									ERROR	0.04538277	0.04782979897572659	2.150400	ERROR	0.04538277	0.04782979897572659	2.150400</t>
  </si>
  <si>
    <t>xfta-config/xfta-config-ft-openpsa-100-03.xml																																																																																									ERROR	0.012560768	0.015136961010284722	2.011136	ERROR	0.012560768	0.015136961010284722	2.011136</t>
  </si>
  <si>
    <t>xfta-config/xfta-config-ft-openpsa-100-04.xml																																																																																									ERROR	0.013638323	0.017500170011771843	2.015232	ERROR	0.013638323	0.017500170011771843	2.015232</t>
  </si>
  <si>
    <t>xfta-config/xfta-config-ft-openpsa-100-05.xml																																																																																									ERROR	0.00943282	0.013967314996989444	2.277376	ERROR	0.00943282	0.013967314996989444	2.277376</t>
  </si>
  <si>
    <t>xfta-config/xfta-config-ft-openpsa-100-06.xml																																																																																									ERROR	0.016098626	0.0201889339950867	2.015232	ERROR	0.016098626	0.0201889339950867	2.015232</t>
  </si>
  <si>
    <t>xfta-config/xfta-config-ft-openpsa-100-07.xml																																																																																									ERROR	0.013807616	0.01810689500416629	2.277376	ERROR	0.013807616	0.01810689500416629	2.277376</t>
  </si>
  <si>
    <t>xfta-config/xfta-config-ft-openpsa-100-08.xml																																																																																									ERROR	0.066142083	0.068992360989796	2.187264	ERROR	0.066142083	0.068992360989796	2.187264</t>
  </si>
  <si>
    <t>xfta-config/xfta-config-ft-openpsa-100-09.xml																																																																																									ERROR	0.088852788	0.0916518599842675	2.240512	ERROR	0.088852788	0.0916518599842675	2.240512</t>
  </si>
  <si>
    <t>xfta-config/xfta-config-ft-openpsa-1000-01.xml																																																																																									TIMEOUT	901.000471155	901.3376654160093	6458.990592	TIMEOUT	901.000471155	901.3376654160093	6458.990592</t>
  </si>
  <si>
    <t>xfta-config/xfta-config-ft-openpsa-1000-02.xml																																																																																									TIMEOUT	900.83241028	901.0773436029849	1045.483520	TIMEOUT	900.83241028	901.0773436029849	1045.483520</t>
  </si>
  <si>
    <t>xfta-config/xfta-config-ft-openpsa-1000-03.xml																																																																																									TIMEOUT	900.770844538	901.0078969669994	11.927552	TIMEOUT	900.770844538	901.0078969669994	11.927552</t>
  </si>
  <si>
    <t>xfta-config/xfta-config-ft-openpsa-1000-04.xml																																																																																									TIMEOUT	900.765513941	901.0382847910223	440.446976	TIMEOUT	900.765513941	901.0382847910223	440.446976</t>
  </si>
  <si>
    <t>xfta-config/xfta-config-ft-openpsa-1000-05.xml																																																																																									TIMEOUT	900.778517071	901.0096480170032	5.554176	TIMEOUT	900.778517071	901.0096480170032	5.554176</t>
  </si>
  <si>
    <t>xfta-config/xfta-config-ft-openpsa-1000-06.xml																																																																																									TIMEOUT	900.740126755	901.031978915009	407.027712	TIMEOUT	900.740126755	901.031978915009	407.027712</t>
  </si>
  <si>
    <t>xfta-config/xfta-config-ft-openpsa-1000-07.xml																																																																																									TIMEOUT	900.759139201	901.0098044629849	20.783104	TIMEOUT	900.759139201	901.0098044629849	20.783104</t>
  </si>
  <si>
    <t>xfta-config/xfta-config-ft-openpsa-1000-08.xml																																																																																									TIMEOUT	900.827823793	901.1448297530005	2458.697728	TIMEOUT	900.827823793	901.1448297530005	2458.697728</t>
  </si>
  <si>
    <t>xfta-config/xfta-config-ft-openpsa-1000-09.xml																																																																																									TIMEOUT	900.918102223	901.2564781059918	3703.504896	TIMEOUT	900.918102223	901.2564781059918	3703.504896</t>
  </si>
  <si>
    <t>xfta-config/xfta-config-ft-openpsa-10000-01.xml																																																																																									SEGMENTATION FAULT	0.397145501	0.75363208600902	36.626432	SEGMENTATION FAULT	0.397145501	0.75363208600902	36.626432</t>
  </si>
  <si>
    <t>xfta-config/xfta-config-ft-openpsa-10000-02.xml																																																																																									SEGMENTATION FAULT	0.425634473	0.6021152440225706	38.297600	SEGMENTATION FAULT	0.425634473	0.6021152440225706	38.297600</t>
  </si>
  <si>
    <t>xfta-config/xfta-config-ft-openpsa-10000-03.xml																																																																																									SEGMENTATION FAULT	0.433496899	0.6102837540092878	38.957056	SEGMENTATION FAULT	0.433496899	0.6102837540092878	38.957056</t>
  </si>
  <si>
    <t>xfta-config/xfta-config-ft-openpsa-10000-04.xml																																																																																									SEGMENTATION FAULT	0.456116524	0.6329335399786942	39.510016	SEGMENTATION FAULT	0.456116524	0.6329335399786942	39.510016</t>
  </si>
  <si>
    <t>xfta-config/xfta-config-ft-openpsa-10000-05.xml																																																																																									SEGMENTATION FAULT	0.513186128	0.6878553110000212	42.975232	SEGMENTATION FAULT	0.513186128	0.6878553110000212	42.975232</t>
  </si>
  <si>
    <t>xfta-config/xfta-config-ft-openpsa-10000-06.xml																																																																																									SEGMENTATION FAULT	0.512683099	0.6867956980131567	42.209280	SEGMENTATION FAULT	0.512683099	0.6867956980131567	42.209280</t>
  </si>
  <si>
    <t>xfta-config/xfta-config-ft-openpsa-10000-07.xml																																																																																									SEGMENTATION FAULT	0.557710333	0.7356722120021004	45.264896	SEGMENTATION FAULT	0.557710333	0.7356722120021004	45.264896</t>
  </si>
  <si>
    <t>xfta-config/xfta-config-ft-openpsa-10000-08.xml																																																																																									SEGMENTATION FAULT	0.614863861	0.7918145779985934	48.459776	SEGMENTATION FAULT	0.614863861	0.7918145779985934	48.459776</t>
  </si>
  <si>
    <t>xfta-config/xfta-config-ft-openpsa-10000-09.xml																																																																																									SEGMENTATION FAULT	0.649150466	0.8230008959944826	50.778112	SEGMENTATION FAULT	0.649150466	0.8230008959944826	50.778112</t>
  </si>
  <si>
    <t>xfta-config/xfta-config-ft-openpsa-200-01.xml																																																																																									ERROR	0.022081136	0.02739223398384638	2.424832	ERROR	0.022081136	0.02739223398384638	2.424832</t>
  </si>
  <si>
    <t>xfta-config/xfta-config-ft-openpsa-200-02.xml																																																																																									ERROR	15.944227986	15.955405745015014	263.032832	ERROR	15.944227986	15.955405745015014	263.032832</t>
  </si>
  <si>
    <t>xfta-config/xfta-config-ft-openpsa-200-03.xml																																																																																									ERROR	0.748633637	0.7767597470083274	10.530816	ERROR	0.748633637	0.7767597470083274	10.530816</t>
  </si>
  <si>
    <t>xfta-config/xfta-config-ft-openpsa-200-04.xml																																																																																									ERROR	0.013838523	0.019710238004336134	2.404352	ERROR	0.013838523	0.019710238004336134	2.404352</t>
  </si>
  <si>
    <t>xfta-config/xfta-config-ft-openpsa-200-05.xml																																																																																									ERROR	0.054173114	0.05782551801530644	2.539520	ERROR	0.054173114	0.05782551801530644	2.539520</t>
  </si>
  <si>
    <t>xfta-config/xfta-config-ft-openpsa-200-06.xml																																																																																									ERROR	0.232479915	0.2379546359879896	4.939776	ERROR	0.232479915	0.2379546359879896	4.939776</t>
  </si>
  <si>
    <t>xfta-config/xfta-config-ft-openpsa-200-07.xml																																																																																									ERROR	12.300958882	12.318845548987156	122.662912	ERROR	12.300958882	12.318845548987156	122.662912</t>
  </si>
  <si>
    <t>xfta-config/xfta-config-ft-openpsa-200-08.xml																																																																																									ERROR	0.637064249	0.642772219987819	9.764864	ERROR	0.637064249	0.642772219987819	9.764864</t>
  </si>
  <si>
    <t>xfta-config/xfta-config-ft-openpsa-200-09.xml																																																																																									ERROR	36.293728374	36.31590504400083	362.708992	ERROR	36.293728374	36.31590504400083	362.708992</t>
  </si>
  <si>
    <t>xfta-config/xfta-config-ft-openpsa-2000-01.xml																																																																																									TIMEOUT	900.762206968	901.0114035269944	40.337408	TIMEOUT	900.762206968	901.0114035269944	40.337408</t>
  </si>
  <si>
    <t>xfta-config/xfta-config-ft-openpsa-2000-02.xml																																																																																									TIMEOUT	901.098202536	901.4240878690034	7874.674688	TIMEOUT	901.098202536	901.4240878690034	7874.674688</t>
  </si>
  <si>
    <t>xfta-config/xfta-config-ft-openpsa-2000-03.xml																																																																																									TIMEOUT	900.764314754	901.0139621820126	74.366976	TIMEOUT	900.764314754	901.0139621820126	74.366976</t>
  </si>
  <si>
    <t>xfta-config/xfta-config-ft-openpsa-2000-04.xml																																																																																									TIMEOUT	900.845723869	901.1628590000037	2966.048768	TIMEOUT	900.845723869	901.1628590000037	2966.048768</t>
  </si>
  <si>
    <t>xfta-config/xfta-config-ft-openpsa-2000-05.xml																																																																																									TIMEOUT	900.732649758	901.118317504006	2092.351488	TIMEOUT	900.732649758	901.118317504006	2092.351488</t>
  </si>
  <si>
    <t>xfta-config/xfta-config-ft-openpsa-2000-06.xml																																																																																									TIMEOUT	900.816374031	901.1109031740052	1856.897024	TIMEOUT	900.816374031	901.1109031740052	1856.897024</t>
  </si>
  <si>
    <t>xfta-config/xfta-config-ft-openpsa-2000-07.xml																																																																																									TIMEOUT	900.932880901	901.2656962239998	4984.455168	TIMEOUT	900.932880901	901.2656962239998	4984.455168</t>
  </si>
  <si>
    <t>xfta-config/xfta-config-ft-openpsa-2000-08.xml																																																																																									TIMEOUT	900.9102901	901.22895018899	3976.654848	TIMEOUT	900.9102901	901.22895018899	3976.654848</t>
  </si>
  <si>
    <t>xfta-config/xfta-config-ft-openpsa-2000-09.xml																																																																																									TIMEOUT	900.905330582	901.226631589001	3944.046592	TIMEOUT	900.905330582	901.226631589001	3944.046592</t>
  </si>
  <si>
    <t>xfta-config/xfta-config-ft-openpsa-300-01.xml																																																																																									ERROR	117.95127765	118.02305824300856	1480.687616	ERROR	117.95127765	118.02305824300856	1480.687616</t>
  </si>
  <si>
    <t>xfta-config/xfta-config-ft-openpsa-300-02.xml																																																																																									ERROR	0.471411828	0.478686935006408	5.668864	ERROR	0.471411828	0.478686935006408	5.668864</t>
  </si>
  <si>
    <t>xfta-config/xfta-config-ft-openpsa-300-03.xml																																																																																									ERROR	47.073838033	47.139364581002155	386.301952	ERROR	47.073838033	47.139364581002155	386.301952</t>
  </si>
  <si>
    <t>xfta-config/xfta-config-ft-openpsa-300-04.xml																																																																																									ERROR	8.126799638	8.137043848022586	86.020096	ERROR	8.126799638	8.137043848022586	86.020096</t>
  </si>
  <si>
    <t>xfta-config/xfta-config-ft-openpsa-300-05.xml																																																																																									ERROR	291.821637164	291.98530351702357	1367.928832	ERROR	291.821637164	291.98530351702357	1367.928832</t>
  </si>
  <si>
    <t>xfta-config/xfta-config-ft-openpsa-300-06.xml																																																																																									ERROR	35.408349343	35.452919406001456	325.439488	ERROR	35.408349343	35.452919406001456	325.439488</t>
  </si>
  <si>
    <t>xfta-config/xfta-config-ft-openpsa-300-07.xml																																																																																									TIMEOUT	901.007773815	901.3339265270042	6557.712384	TIMEOUT	901.007773815	901.3339265270042	6557.712384</t>
  </si>
  <si>
    <t>xfta-config/xfta-config-ft-openpsa-300-08.xml																																																																																									ERROR	25.597309141	25.61742964599398	209.428480	ERROR	25.597309141	25.61742964599398	209.428480</t>
  </si>
  <si>
    <t>xfta-config/xfta-config-ft-openpsa-300-09.xml																																																																																									TIMEOUT	900.928620495	901.2476342479931	4540.239872	TIMEOUT	900.928620495	901.2476342479931	4540.239872</t>
  </si>
  <si>
    <t>xfta-config/xfta-config-ft-openpsa-3000-01.xml																																																																																									TIMEOUT	900.871089742	901.1870976340142	3305.361408	TIMEOUT	900.871089742	901.1870976340142	3305.361408</t>
  </si>
  <si>
    <t>xfta-config/xfta-config-ft-openpsa-3000-02.xml																																																																																									TIMEOUT	900.878635865	901.1788480099931	3271.999488	TIMEOUT	900.878635865	901.1788480099931	3271.999488</t>
  </si>
  <si>
    <t>xfta-config/xfta-config-ft-openpsa-3000-03.xml																																																																																									TIMEOUT	900.735041198	901.0904654750193	1557.446656	TIMEOUT	900.735041198	901.0904654750193	1557.446656</t>
  </si>
  <si>
    <t>xfta-config/xfta-config-ft-openpsa-3000-04.xml																																																																																									TIMEOUT	900.852509022	901.1654745090054	2902.851584	TIMEOUT	900.852509022	901.1654745090054	2902.851584</t>
  </si>
  <si>
    <t>xfta-config/xfta-config-ft-openpsa-3000-05.xml																																																																																									TIMEOUT	900.813985031	901.1321731790085	2231.062528	TIMEOUT	900.813985031	901.1321731790085	2231.062528</t>
  </si>
  <si>
    <t>xfta-config/xfta-config-ft-openpsa-3000-06.xml																																																																																									TIMEOUT	900.940250277	901.2663158460055	4853.846016	TIMEOUT	900.940250277	901.2663158460055	4853.846016</t>
  </si>
  <si>
    <t>xfta-config/xfta-config-ft-openpsa-3000-07.xml																																																																																									TIMEOUT	900.854968874	901.1720815950248	3038.523392	TIMEOUT	900.854968874	901.1720815950248	3038.523392</t>
  </si>
  <si>
    <t>xfta-config/xfta-config-ft-openpsa-3000-08.xml																																																																																									TIMEOUT	900.891557326	901.2143538939999	3947.487232	TIMEOUT	900.891557326	901.2143538939999	3947.487232</t>
  </si>
  <si>
    <t>xfta-config/xfta-config-ft-openpsa-3000-09.xml																																																																																									TIMEOUT	900.905602739	901.2300789050059	3712.917504	TIMEOUT	900.905602739	901.2300789050059	3712.917504</t>
  </si>
  <si>
    <t>xfta-config/xfta-config-ft-openpsa-400-01.xml																																																																																									TIMEOUT	900.748342067	901.0374365019961	539.009024	TIMEOUT	900.748342067	901.0374365019961	539.009024</t>
  </si>
  <si>
    <t>xfta-config/xfta-config-ft-openpsa-400-02.xml																																																																																									ERROR	13.864054831	13.874182153987931	158.347264	ERROR	13.864054831	13.874182153987931	158.347264</t>
  </si>
  <si>
    <t>xfta-config/xfta-config-ft-openpsa-400-03.xml																																																																																									OUT OF MEMORY	407.011928311	407.1834171609953	16000.000000	OUT OF MEMORY	407.011928311	407.1834171609953	16000.000000</t>
  </si>
  <si>
    <t>xfta-config/xfta-config-ft-openpsa-400-04.xml																																																																																									ERROR	10.800777144	10.811426683998434	77.750272	ERROR	10.800777144	10.811426683998434	77.750272</t>
  </si>
  <si>
    <t>xfta-config/xfta-config-ft-openpsa-400-05.xml																																																																																									TIMEOUT	901.132182841	901.4654076769948	9012.625408	TIMEOUT	901.132182841	901.4654076769948	9012.625408</t>
  </si>
  <si>
    <t>xfta-config/xfta-config-ft-openpsa-400-06.xml																																																																																									TIMEOUT	900.852029311	901.1724615849962	3262.758912	TIMEOUT	900.852029311	901.1724615849962	3262.758912</t>
  </si>
  <si>
    <t>xfta-config/xfta-config-ft-openpsa-400-07.xml																																																																																									TIMEOUT	900.886873605	901.1589559279964	3027.529728	TIMEOUT	900.886873605	901.1589559279964	3027.529728</t>
  </si>
  <si>
    <t>xfta-config/xfta-config-ft-openpsa-400-08.xml																																																																																									ERROR	93.173343154	93.21990528001334	595.865600	ERROR	93.173343154	93.21990528001334	595.865600</t>
  </si>
  <si>
    <t>xfta-config/xfta-config-ft-openpsa-400-09.xml																																																																																									TIMEOUT	900.826790998	901.0955271169951	1548.308480	TIMEOUT	900.826790998	901.0955271169951	1548.308480</t>
  </si>
  <si>
    <t>xfta-config/xfta-config-ft-openpsa-4000-01.xml																																																																																									TIMEOUT	900.747201296	901.0104485960037	15.486976	TIMEOUT	900.747201296	901.0104485960037	15.486976</t>
  </si>
  <si>
    <t>xfta-config/xfta-config-ft-openpsa-4000-02.xml																																																																																									TIMEOUT	900.911629463	901.207573216001	3746.672640	TIMEOUT	900.911629463	901.207573216001	3746.672640</t>
  </si>
  <si>
    <t>xfta-config/xfta-config-ft-openpsa-4000-03.xml																																																																																									TIMEOUT	900.932042164	901.2259178179957	4217.696256	TIMEOUT	900.932042164	901.2259178179957	4217.696256</t>
  </si>
  <si>
    <t>xfta-config/xfta-config-ft-openpsa-4000-04.xml																																																																																									TIMEOUT	900.917710759	901.2979583279812	5327.728640	TIMEOUT	900.917710759	901.2979583279812	5327.728640</t>
  </si>
  <si>
    <t>xfta-config/xfta-config-ft-openpsa-4000-05.xml																																																																																									TIMEOUT	900.956832896	901.251352560008	4252.368896	TIMEOUT	900.956832896	901.251352560008	4252.368896</t>
  </si>
  <si>
    <t>xfta-config/xfta-config-ft-openpsa-4000-06.xml																																																																																									TIMEOUT	900.878798633	901.1923216189898	3076.231168	TIMEOUT	900.878798633	901.1923216189898	3076.231168</t>
  </si>
  <si>
    <t>xfta-config/xfta-config-ft-openpsa-4000-07.xml																																																																																									TIMEOUT	900.778252639	901.0169582050003	84.107264	TIMEOUT	900.778252639	901.0169582050003	84.107264</t>
  </si>
  <si>
    <t>xfta-config/xfta-config-ft-openpsa-4000-08.xml																																																																																									TIMEOUT	900.99829754	901.3177774619835	6641.975296	TIMEOUT	900.99829754	901.3177774619835	6641.975296</t>
  </si>
  <si>
    <t>xfta-config/xfta-config-ft-openpsa-4000-09.xml																																																																																									TIMEOUT	900.741218872	901.0603448240145	1129.852928	TIMEOUT	900.741218872	901.0603448240145	1129.852928</t>
  </si>
  <si>
    <t>xfta-config/xfta-config-ft-openpsa-500-01.xml																																																																																									TIMEOUT	900.780592428	901.0099426310044	3.461120	TIMEOUT	900.780592428	901.0099426310044	3.461120</t>
  </si>
  <si>
    <t>xfta-config/xfta-config-ft-openpsa-500-02.xml																																																																																									TIMEOUT	901.374859434	901.7160581019998	15065.059328	TIMEOUT	901.374859434	901.7160581019998	15065.059328</t>
  </si>
  <si>
    <t>xfta-config/xfta-config-ft-openpsa-500-03.xml																																																																																									TIMEOUT	900.938787344	901.3146226129902	6558.101504	TIMEOUT	900.938787344	901.3146226129902	6558.101504</t>
  </si>
  <si>
    <t>xfta-config/xfta-config-ft-openpsa-500-04.xml																																																																																									TIMEOUT	900.810939072	901.0504952289921	774.893568	TIMEOUT	900.810939072	901.0504952289921	774.893568</t>
  </si>
  <si>
    <t>xfta-config/xfta-config-ft-openpsa-500-05.xml																																																																																									TIMEOUT	900.871894051	901.1625080329832	2893.385728	TIMEOUT	900.871894051	901.1625080329832	2893.385728</t>
  </si>
  <si>
    <t>xfta-config/xfta-config-ft-openpsa-500-06.xml																																																																																									TIMEOUT	901.077935876	901.3904772039969	7062.757376	TIMEOUT	901.077935876	901.3904772039969	7062.757376</t>
  </si>
  <si>
    <t>xfta-config/xfta-config-ft-openpsa-500-07.xml																																																																																									TIMEOUT	900.958897631	901.2698992640071	5348.032512	TIMEOUT	900.958897631	901.2698992640071	5348.032512</t>
  </si>
  <si>
    <t>xfta-config/xfta-config-ft-openpsa-500-08.xml																																																																																									TIMEOUT	901.002483876	901.3078922060085	6054.232064	TIMEOUT	901.002483876	901.3078922060085	6054.232064</t>
  </si>
  <si>
    <t>xfta-config/xfta-config-ft-openpsa-500-09.xml																																																																																									TIMEOUT	900.87773544	901.1675168830261	3297.611776	TIMEOUT	900.87773544	901.1675168830261	3297.611776</t>
  </si>
  <si>
    <t>xfta-config/xfta-config-ft-openpsa-5000-01.xml																																																																																									TIMEOUT	900.775187869	901.141599436989	2404.499456	TIMEOUT	900.775187869	901.141599436989	2404.499456</t>
  </si>
  <si>
    <t>xfta-config/xfta-config-ft-openpsa-5000-02.xml																																																																																									TIMEOUT	900.802980861	901.0920872979914	1564.565504	TIMEOUT	900.802980861	901.0920872979914	1564.565504</t>
  </si>
  <si>
    <t>xfta-config/xfta-config-ft-openpsa-5000-03.xml																																																																																									TIMEOUT	900.940907688	901.2536185650097	4692.627456	TIMEOUT	900.940907688	901.2536185650097	4692.627456</t>
  </si>
  <si>
    <t>xfta-config/xfta-config-ft-openpsa-5000-04.xml																																																																																									TIMEOUT	900.862031602	901.1855072769977	3582.615552	TIMEOUT	900.862031602	901.1855072769977	3582.615552</t>
  </si>
  <si>
    <t>xfta-config/xfta-config-ft-openpsa-5000-05.xml																																																																																									TIMEOUT	901.051853244	901.3733478600043	7315.853312	TIMEOUT	901.051853244	901.3733478600043	7315.853312</t>
  </si>
  <si>
    <t>xfta-config/xfta-config-ft-openpsa-5000-06.xml																																																																																									TIMEOUT	901.001024867	901.335661613004	6307.991552	TIMEOUT	901.001024867	901.335661613004	6307.991552</t>
  </si>
  <si>
    <t>xfta-config/xfta-config-ft-openpsa-5000-07.xml																																																																																									TIMEOUT	900.836189657	901.156848033017	2980.372480	TIMEOUT	900.836189657	901.156848033017	2980.372480</t>
  </si>
  <si>
    <t>xfta-config/xfta-config-ft-openpsa-5000-08.xml																																																																																									TIMEOUT	900.77204757	901.0950664340053	1535.938560	TIMEOUT	900.77204757	901.0950664340053	1535.938560</t>
  </si>
  <si>
    <t>xfta-config/xfta-config-ft-openpsa-5000-09.xml																																																																																									TIMEOUT	900.819203041	901.2054233789968	3890.790400	TIMEOUT	900.819203041	901.2054233789968	3890.790400</t>
  </si>
  <si>
    <t>xfta-config/xfta-config-ft-openpsa-600-01.xml																																																																																									OUT OF MEMORY	331.165915606	331.300919456	16000.000000	OUT OF MEMORY	331.165915606	331.300919456	16000.000000</t>
  </si>
  <si>
    <t>xfta-config/xfta-config-ft-openpsa-600-02.xml																																																																																									TIMEOUT	900.812724003	901.0455949929892	539.803648	TIMEOUT	900.812724003	901.0455949929892	539.803648</t>
  </si>
  <si>
    <t>xfta-config/xfta-config-ft-openpsa-600-03.xml																																																																																									TIMEOUT	900.877683397	901.1775621929846	3095.232512	TIMEOUT	900.877683397	901.1775621929846	3095.232512</t>
  </si>
  <si>
    <t>xfta-config/xfta-config-ft-openpsa-600-04.xml																																																																																									TIMEOUT	900.925563173	901.2307515479915	3767.709696	TIMEOUT	900.925563173	901.2307515479915	3767.709696</t>
  </si>
  <si>
    <t>xfta-config/xfta-config-ft-openpsa-600-05.xml																																																																																									TIMEOUT	901.158543773	901.4856623520027	9584.844800	TIMEOUT	901.158543773	901.4856623520027	9584.844800</t>
  </si>
  <si>
    <t>xfta-config/xfta-config-ft-openpsa-600-06.xml																																																																																									TIMEOUT	900.768272633	901.0135174799943	102.924288	TIMEOUT	900.768272633	901.0135174799943	102.924288</t>
  </si>
  <si>
    <t>xfta-config/xfta-config-ft-openpsa-600-07.xml																																																																																									TIMEOUT	900.880724509	901.174853974022	3162.988544	TIMEOUT	900.880724509	901.174853974022	3162.988544</t>
  </si>
  <si>
    <t>xfta-config/xfta-config-ft-openpsa-600-08.xml																																																																																									TIMEOUT	901.182868168	901.508113902004	9887.797248	TIMEOUT	901.182868168	901.508113902004	9887.797248</t>
  </si>
  <si>
    <t>xfta-config/xfta-config-ft-openpsa-600-09.xml																																																																																									TIMEOUT	900.968236712	901.3576515959867	7064.031232	TIMEOUT	900.968236712	901.3576515959867	7064.031232</t>
  </si>
  <si>
    <t>xfta-config/xfta-config-ft-openpsa-6000-01.xml																																																																																									TIMEOUT	900.839010821	901.1224752690177	1870.319616	TIMEOUT	900.839010821	901.1224752690177	1870.319616</t>
  </si>
  <si>
    <t>xfta-config/xfta-config-ft-openpsa-6000-02.xml																																																																																									TIMEOUT	900.822542144	901.1060958879825	1736.028160	TIMEOUT	900.822542144	901.1060958879825	1736.028160</t>
  </si>
  <si>
    <t>xfta-config/xfta-config-ft-openpsa-6000-03.xml																																																																																									TIMEOUT	900.833357226	901.1344164930051	2342.354944	TIMEOUT	900.833357226	901.1344164930051	2342.354944</t>
  </si>
  <si>
    <t>xfta-config/xfta-config-ft-openpsa-6000-04.xml																																																																																									TIMEOUT	900.81639956	901.1127567899821	2007.924736	TIMEOUT	900.81639956	901.1127567899821	2007.924736</t>
  </si>
  <si>
    <t>xfta-config/xfta-config-ft-openpsa-6000-05.xml																																																																																									TIMEOUT	900.982578032	901.2977395310008	5538.373632	TIMEOUT	900.982578032	901.2977395310008	5538.373632</t>
  </si>
  <si>
    <t>xfta-config/xfta-config-ft-openpsa-6000-06.xml																																																																																									TIMEOUT	900.95274761	901.26199128601	4799.623168	TIMEOUT	900.95274761	901.26199128601	4799.623168</t>
  </si>
  <si>
    <t>xfta-config/xfta-config-ft-openpsa-6000-07.xml																																																																																									TIMEOUT	900.794490454	901.110817695997	1572.245504	TIMEOUT	900.794490454	901.110817695997	1572.245504</t>
  </si>
  <si>
    <t>xfta-config/xfta-config-ft-openpsa-6000-08.xml																																																																																									TIMEOUT	900.697751336	901.0288155150192	328.912896	TIMEOUT	900.697751336	901.0288155150192	328.912896</t>
  </si>
  <si>
    <t>xfta-config/xfta-config-ft-openpsa-6000-09.xml																																																																																									TIMEOUT	900.908989247	901.2099226559803	3693.010944	TIMEOUT	900.908989247	901.2099226559803	3693.010944</t>
  </si>
  <si>
    <t>xfta-config/xfta-config-ft-openpsa-700-01.xml																																																																																									TIMEOUT	900.79357258	901.0415775839938	573.730816	TIMEOUT	900.79357258	901.0415775839938	573.730816</t>
  </si>
  <si>
    <t>xfta-config/xfta-config-ft-openpsa-700-02.xml																																																																																									TIMEOUT	900.968439926	901.2677166330104	4743.147520	TIMEOUT	900.968439926	901.2677166330104	4743.147520</t>
  </si>
  <si>
    <t>xfta-config/xfta-config-ft-openpsa-700-03.xml																																																																																									TIMEOUT	901.204842606	901.5182300989982	10055.835648	TIMEOUT	901.204842606	901.5182300989982	10055.835648</t>
  </si>
  <si>
    <t>xfta-config/xfta-config-ft-openpsa-700-04.xml																																																																																									TIMEOUT	900.7728331	901.0130265749758	69.636096	TIMEOUT	900.7728331	901.0130265749758	69.636096</t>
  </si>
  <si>
    <t>xfta-config/xfta-config-ft-openpsa-700-05.xml																																																																																									TIMEOUT	900.850225446	901.1447221820126	2557.673472	TIMEOUT	900.850225446	901.1447221820126	2557.673472</t>
  </si>
  <si>
    <t>xfta-config/xfta-config-ft-openpsa-700-06.xml																																																																																									TIMEOUT	900.933567048	901.2387922179769	4407.291904	TIMEOUT	900.933567048	901.2387922179769	4407.291904</t>
  </si>
  <si>
    <t>xfta-config/xfta-config-ft-openpsa-700-07.xml																																																																																									TIMEOUT	901.047992948	901.4153108449827	8139.874304	TIMEOUT	901.047992948	901.4153108449827	8139.874304</t>
  </si>
  <si>
    <t>xfta-config/xfta-config-ft-openpsa-700-08.xml																																																																																									TIMEOUT	901.167698316	901.4900795860158	9686.663168	TIMEOUT	901.167698316	901.4900795860158	9686.663168</t>
  </si>
  <si>
    <t>xfta-config/xfta-config-ft-openpsa-700-09.xml																																																																																									TIMEOUT	900.742439742	901.0077768409974	5.402624	TIMEOUT	900.742439742	901.0077768409974	5.402624</t>
  </si>
  <si>
    <t>xfta-config/xfta-config-ft-openpsa-7000-01.xml																																																																																									TIMEOUT	900.948463112	901.2638438550057	4932.943872	TIMEOUT	900.948463112	901.2638438550057	4932.943872</t>
  </si>
  <si>
    <t>xfta-config/xfta-config-ft-openpsa-7000-02.xml																																																																																									TIMEOUT	900.790681907	901.0948267909989	1538.179072	TIMEOUT	900.790681907	901.0948267909989	1538.179072</t>
  </si>
  <si>
    <t>xfta-config/xfta-config-ft-openpsa-7000-03.xml																																																																																									TIMEOUT	900.798642794	901.112863863993	1874.579456	TIMEOUT	900.798642794	901.112863863993	1874.579456</t>
  </si>
  <si>
    <t>xfta-config/xfta-config-ft-openpsa-7000-04.xml																																																																																									TIMEOUT	900.903725673	901.2280562139931	4095.229952	TIMEOUT	900.903725673	901.2280562139931	4095.229952</t>
  </si>
  <si>
    <t>xfta-config/xfta-config-ft-openpsa-7000-05.xml																																																																																									TIMEOUT	900.834293466	901.1400270829909	2346.897408	TIMEOUT	900.834293466	901.1400270829909	2346.897408</t>
  </si>
  <si>
    <t>xfta-config/xfta-config-ft-openpsa-7000-06.xml																																																																																									TIMEOUT	900.930281373	901.3092856139992	5206.884352	TIMEOUT	900.930281373	901.3092856139992	5206.884352</t>
  </si>
  <si>
    <t>xfta-config/xfta-config-ft-openpsa-7000-07.xml																																																																																									TIMEOUT	900.779867797	901.0228072649916	231.317504	TIMEOUT	900.779867797	901.0228072649916	231.317504</t>
  </si>
  <si>
    <t>xfta-config/xfta-config-ft-openpsa-7000-08.xml																																																																																									TIMEOUT	900.818068501	901.1528105240141	2655.621120	TIMEOUT	900.818068501	901.1528105240141	2655.621120</t>
  </si>
  <si>
    <t>xfta-config/xfta-config-ft-openpsa-7000-09.xml																																																																																									TIMEOUT	900.990764718	901.330971524003	5917.298688	TIMEOUT	900.990764718	901.330971524003	5917.298688</t>
  </si>
  <si>
    <t>xfta-config/xfta-config-ft-openpsa-800-01.xml																																																																																									TIMEOUT	900.795688514	901.036835692008	439.537664	TIMEOUT	900.795688514	901.036835692008	439.537664</t>
  </si>
  <si>
    <t>xfta-config/xfta-config-ft-openpsa-800-02.xml																																																																																									TIMEOUT	900.783414079	901.0087996060029	4.517888	TIMEOUT	900.783414079	901.0087996060029	4.517888</t>
  </si>
  <si>
    <t>xfta-config/xfta-config-ft-openpsa-800-03.xml																																																																																									TIMEOUT	900.77846429	901.0178129059786	137.166848	TIMEOUT	900.77846429	901.0178129059786	137.166848</t>
  </si>
  <si>
    <t>xfta-config/xfta-config-ft-openpsa-800-04.xml																																																																																									TIMEOUT	901.072551223	901.3876163719979	7131.037696	TIMEOUT	901.072551223	901.3876163719979	7131.037696</t>
  </si>
  <si>
    <t>xfta-config/xfta-config-ft-openpsa-800-05.xml																																																																																									TIMEOUT	900.765949069	901.1324435330171	2087.366656	TIMEOUT	900.765949069	901.1324435330171	2087.366656</t>
  </si>
  <si>
    <t>xfta-config/xfta-config-ft-openpsa-800-06.xml																																																																																									TIMEOUT	900.869598342	901.1637385220092	2659.106816	TIMEOUT	900.869598342	901.1637385220092	2659.106816</t>
  </si>
  <si>
    <t>xfta-config/xfta-config-ft-openpsa-800-07.xml																																																																																									TIMEOUT	900.789491128	901.024787486007	238.465024	TIMEOUT	900.789491128	901.024787486007	238.465024</t>
  </si>
  <si>
    <t>xfta-config/xfta-config-ft-openpsa-800-08.xml																																																																																									TIMEOUT	900.819131994	901.0760848700011	978.399232	TIMEOUT	900.819131994	901.0760848700011	978.399232</t>
  </si>
  <si>
    <t>xfta-config/xfta-config-ft-openpsa-800-09.xml																																																																																									TIMEOUT	900.971791049	901.2884651920176	5618.774016	TIMEOUT	900.971791049	901.2884651920176	5618.774016</t>
  </si>
  <si>
    <t>xfta-config/xfta-config-ft-openpsa-8000-01.xml																																																																																									TIMEOUT	900.932645278	901.2460736880021	4835.889152	TIMEOUT	900.932645278	901.2460736880021	4835.889152</t>
  </si>
  <si>
    <t>xfta-config/xfta-config-ft-openpsa-8000-02.xml																																																																																									SEGMENTATION FAULT	0.314156593	0.49205972501658835	29.888512	SEGMENTATION FAULT	0.314156593	0.49205972501658835	29.888512</t>
  </si>
  <si>
    <t>xfta-config/xfta-config-ft-openpsa-8000-03.xml																																																																																									SEGMENTATION FAULT	0.332157726	0.5155526220041793	31.117312	SEGMENTATION FAULT	0.332157726	0.5155526220041793	31.117312</t>
  </si>
  <si>
    <t>xfta-config/xfta-config-ft-openpsa-8000-04.xml																																																																																									SEGMENTATION FAULT	0.346878328	0.5259002620005049	32.247808	SEGMENTATION FAULT	0.346878328	0.5259002620005049	32.247808</t>
  </si>
  <si>
    <t>xfta-config/xfta-config-ft-openpsa-8000-06.xml																																																																																									TIMEOUT	901.000798423	901.3284848770127	6354.206720	TIMEOUT	901.000798423	901.3284848770127	6354.206720</t>
  </si>
  <si>
    <t>xfta-config/xfta-config-ft-openpsa-8000-07.xml																																																																																									TIMEOUT	900.988030112	901.3035779969941	5347.557376	TIMEOUT	900.988030112	901.3035779969941	5347.557376</t>
  </si>
  <si>
    <t>xfta-config/xfta-config-ft-openpsa-8000-08.xml																																																																																									TIMEOUT	900.723928404	901.1112076459976	1853.407232	TIMEOUT	900.723928404	901.1112076459976	1853.407232</t>
  </si>
  <si>
    <t>xfta-config/xfta-config-ft-openpsa-8000-09.xml																																																																																									TIMEOUT	900.817773972	901.1272280609992	1954.222080	TIMEOUT	900.817773972	901.1272280609992	1954.222080</t>
  </si>
  <si>
    <t>xfta-config/xfta-config-ft-openpsa-900-01.xml																																																																																									TIMEOUT	900.770388267	901.0172328029876	70.021120	TIMEOUT	900.770388267	901.0172328029876	70.021120</t>
  </si>
  <si>
    <t>xfta-config/xfta-config-ft-openpsa-900-02.xml																																																																																									TIMEOUT	901.009123202	901.3153898940072	5584.371712	TIMEOUT	901.009123202	901.3153898940072	5584.371712</t>
  </si>
  <si>
    <t>xfta-config/xfta-config-ft-openpsa-900-03.xml																																																																																									TIMEOUT	900.755569085	901.0111986789852	36.708352	TIMEOUT	900.755569085	901.0111986789852	36.708352</t>
  </si>
  <si>
    <t>xfta-config/xfta-config-ft-openpsa-900-04.xml																																																																																									OUT OF MEMORY	228.681536023	228.80117224599235	16000.000000	OUT OF MEMORY	228.681536023	228.80117224599235	16000.000000</t>
  </si>
  <si>
    <t>xfta-config/xfta-config-ft-openpsa-900-05.xml																																																																																									TIMEOUT	900.862476582	901.2024229149974	3668.066304	TIMEOUT	900.862476582	901.2024229149974	3668.066304</t>
  </si>
  <si>
    <t>xfta-config/xfta-config-ft-openpsa-900-06.xml																																																																																									TIMEOUT	900.895952603	901.2077844940068	3399.135232	TIMEOUT	900.895952603	901.2077844940068	3399.135232</t>
  </si>
  <si>
    <t>xfta-config/xfta-config-ft-openpsa-900-07.xml																																																																																									TIMEOUT	901.070921985	901.4049062520207	7333.572608	TIMEOUT	901.070921985	901.4049062520207	7333.572608</t>
  </si>
  <si>
    <t>xfta-config/xfta-config-ft-openpsa-900-08.xml																																																																																									TIMEOUT	900.855939199	901.1940590620216	3198.210048	TIMEOUT	900.855939199	901.1940590620216	3198.210048</t>
  </si>
  <si>
    <t>xfta-config/xfta-config-ft-openpsa-900-09.xml																																																																																									TIMEOUT	901.021163605	901.3399621769786	5249.658880	TIMEOUT	901.021163605	901.3399621769786	5249.658880</t>
  </si>
  <si>
    <t>xfta-config/xfta-config-ft-openpsa-9000-01.xml																																																																																									SEGMENTATION FAULT	0.353304642	0.530951158987591	33.189888	SEGMENTATION FAULT	0.353304642	0.530951158987591	33.189888</t>
  </si>
  <si>
    <t>xfta-config/xfta-config-ft-openpsa-9000-02.xml																																																																																									SEGMENTATION FAULT	0.363282375	0.542054277000716	33.583104	SEGMENTATION FAULT	0.363282375	0.542054277000716	33.583104</t>
  </si>
  <si>
    <t>xfta-config/xfta-config-ft-openpsa-9000-03.xml																																																																																									SEGMENTATION FAULT	0.388168263	0.5665988659893628	34.578432	SEGMENTATION FAULT	0.388168263	0.5665988659893628	34.578432</t>
  </si>
  <si>
    <t>xfta-config/xfta-config-ft-openpsa-9000-04.xml																																																																																									SEGMENTATION FAULT	0.435501067	0.6153794739802834	36.818944	SEGMENTATION FAULT	0.435501067	0.6153794739802834	36.818944</t>
  </si>
  <si>
    <t>xfta-config/xfta-config-ft-openpsa-9000-05.xml																																																																																									SEGMENTATION FAULT	0.4269194	0.6159135380003136	37.003264	SEGMENTATION FAULT	0.4269194	0.6159135380003136	37.003264</t>
  </si>
  <si>
    <t>xfta-config/xfta-config-ft-openpsa-9000-06.xml																																																																																									SEGMENTATION FAULT	0.463125015	0.6383308150107041	38.641664	SEGMENTATION FAULT	0.463125015	0.6383308150107041	38.641664</t>
  </si>
  <si>
    <t>xfta-config/xfta-config-ft-openpsa-9000-07.xml																																																																																									SEGMENTATION FAULT	0.483150849	0.6607966629962903	39.833600	SEGMENTATION FAULT	0.483150849	0.6607966629962903	39.833600</t>
  </si>
  <si>
    <t>xfta-config/xfta-config-ft-openpsa-9000-08.xml																																																																																									SEGMENTATION FAULT	0.512852543	0.6913202510040719	41.725952	SEGMENTATION FAULT	0.512852543	0.6913202510040719	41.725952</t>
  </si>
  <si>
    <t>xfta-config/xfta-config-ft-openpsa-9000-09.xml																																																																																									SEGMENTATION FAULT	0.571004048	0.749061680980958	44.523520	SEGMENTATION FAULT	0.571004048	0.749061680980958	44.523520</t>
  </si>
  <si>
    <t>xfta-config/ccf/xfta-config-ccf1-ft-openpsa-100-05.xml																																																																																					ERROR	0.036760889	0.04167362698353827	4.628480					ERROR	0.036760889	0.04167362698353827	4.628480</t>
  </si>
  <si>
    <t>xfta-config/ccf/xfta-config-ccf1-ft-openpsa-1000-05.xml																																																																																					TIMEOUT	900.744848565	901.0125904760207	73.236480					TIMEOUT	900.744848565	901.0125904760207	73.236480</t>
  </si>
  <si>
    <t>xfta-config/ccf/xfta-config-ccf1-ft-openpsa-200-05.xml																																																																																					ERROR	1.499286236	1.5041637669783086	13.348864					ERROR	1.499286236	1.5041637669783086	13.348864</t>
  </si>
  <si>
    <t>xfta-config/ccf/xfta-config-ccf1-ft-openpsa-300-05.xml																																																																																					TIMEOUT	900.770135101	901.0127619839914	105.435136					TIMEOUT	900.770135101	901.0127619839914	105.435136</t>
  </si>
  <si>
    <t>xfta-config/ccf/xfta-config-ccf1-ft-openpsa-400-05.xml																																																																																					TIMEOUT	900.837118381	901.1372386979929	2492.784640					TIMEOUT	900.837118381	901.1372386979929	2492.784640</t>
  </si>
  <si>
    <t>xfta-config/ccf/xfta-config-ccf1-ft-openpsa-500-05.xml																																																																																					TIMEOUT	900.806504747	901.0466231740138	441.647104					TIMEOUT	900.806504747	901.0466231740138	441.647104</t>
  </si>
  <si>
    <t>xfta-config/ccf/xfta-config-ccf1-ft-openpsa-600-05.xml																																																																																					TIMEOUT	900.709034085	901.2767991459987	5082.284032					TIMEOUT	900.709034085	901.2767991459987	5082.284032</t>
  </si>
  <si>
    <t>xfta-config/ccf/xfta-config-ccf1-ft-openpsa-700-05.xml																																																																																					TIMEOUT	900.867815769	901.1642866379989	2291.863552					TIMEOUT	900.867815769	901.1642866379989	2291.863552</t>
  </si>
  <si>
    <t>xfta-config/ccf/xfta-config-ccf1-ft-openpsa-800-05.xml																																																																																					TIMEOUT	900.75879034	901.1269595689955	2191.085568					TIMEOUT	900.75879034	901.1269595689955	2191.085568</t>
  </si>
  <si>
    <t>xfta-config/ccf/xfta-config-ccf1-ft-openpsa-900-05.xml																																																																																					TIMEOUT	900.806602986	901.1664271570044	3166.269440					TIMEOUT	900.806602986	901.1664271570044	3166.269440</t>
  </si>
  <si>
    <t>xfta-config/ccf/xfta-config-ccf2-ft-openpsa-100-05.xml																																																																																					ERROR	2.813093078	2.819003747019451	45.707264					ERROR	2.813093078	2.819003747019451	45.707264</t>
  </si>
  <si>
    <t>xfta-config/ccf/xfta-config-ccf2-ft-openpsa-1000-05.xml																																																																																					TIMEOUT	901.05195798	901.3865402149968	7204.687872					TIMEOUT	901.05195798	901.3865402149968	7204.687872</t>
  </si>
  <si>
    <t>xfta-config/ccf/xfta-config-ccf2-ft-openpsa-200-05.xml																																																																																					ERROR	23.549590503	23.560699565015966	168.787968					ERROR	23.549590503	23.560699565015966	168.787968</t>
  </si>
  <si>
    <t>xfta-config/ccf/xfta-config-ccf2-ft-openpsa-300-05.xml																																																																																					TIMEOUT	900.749771254	901.0077509280236	41.365504					TIMEOUT	900.749771254	901.0077509280236	41.365504</t>
  </si>
  <si>
    <t>xfta-config/ccf/xfta-config-ccf2-ft-openpsa-400-05.xml																																																																																					TIMEOUT	900.768731986	901.0329745219788	478.363648					TIMEOUT	900.768731986	901.0329745219788	478.363648</t>
  </si>
  <si>
    <t>xfta-config/ccf/xfta-config-ccf2-ft-openpsa-500-05.xml																																																																																					TIMEOUT	900.623867938	901.1575280750112	2562.748416					TIMEOUT	900.623867938	901.1575280750112	2562.748416</t>
  </si>
  <si>
    <t>xfta-config/ccf/xfta-config-ccf2-ft-openpsa-600-05.xml																																																																																					TIMEOUT	900.884925419	901.2490016850061	4345.769984					TIMEOUT	900.884925419	901.2490016850061	4345.769984</t>
  </si>
  <si>
    <t>xfta-config/ccf/xfta-config-ccf2-ft-openpsa-700-05.xml																																																																																					TIMEOUT	900.843685343	901.130308000982	2261.266432					TIMEOUT	900.843685343	901.130308000982	2261.266432</t>
  </si>
  <si>
    <t>xfta-config/ccf/xfta-config-ccf2-ft-openpsa-800-05.xml																																																																																					TIMEOUT	900.806903168	901.1232393450045	2193.498112					TIMEOUT	900.806903168	901.1232393450045	2193.498112</t>
  </si>
  <si>
    <t>xfta-config/ccf/xfta-config-ccf2-ft-openpsa-900-05.xml																																																																																					TIMEOUT	900.821427305	901.1216663669911	2093.199360					TIMEOUT	900.821427305	901.1216663669911	2093.199360</t>
  </si>
  <si>
    <t>xfta-config/ccf/xfta-config-ccf3-ft-openpsa-100-05.xml																																																																																					ERROR	47.590023116	47.62817476299824	415.625216					ERROR	47.590023116	47.62817476299824	415.625216</t>
  </si>
  <si>
    <t>xfta-config/ccf/xfta-config-ccf3-ft-openpsa-1000-05.xml																																																																																					TIMEOUT	901.051231405	901.3840890769789	7342.178304					TIMEOUT	901.051231405	901.3840890769789	7342.178304</t>
  </si>
  <si>
    <t>xfta-config/ccf/xfta-config-ccf3-ft-openpsa-200-05.xml																																																																																					ERROR	213.710247984	213.800409175019	1129.689088					ERROR	213.710247984	213.800409175019	1129.689088</t>
  </si>
  <si>
    <t>xfta-config/ccf/xfta-config-ccf3-ft-openpsa-300-05.xml																																																																																					TIMEOUT	900.54074982	901.0068597030186	12.472320					TIMEOUT	900.54074982	901.0068597030186	12.472320</t>
  </si>
  <si>
    <t>xfta-config/ccf/xfta-config-ccf3-ft-openpsa-400-05.xml																																																																																					TIMEOUT	900.73436756	901.1174989280116	1893.597184					TIMEOUT	900.73436756	901.1174989280116	1893.597184</t>
  </si>
  <si>
    <t>xfta-config/ccf/xfta-config-ccf3-ft-openpsa-500-05.xml																																																																																					TIMEOUT	900.840858133	901.1723537430225	2767.237120					TIMEOUT	900.840858133	901.1723537430225	2767.237120</t>
  </si>
  <si>
    <t>xfta-config/ccf/xfta-config-ccf3-ft-openpsa-600-05.xml																																																																																					TIMEOUT	900.84600819	901.2101438879909	4045.963264					TIMEOUT	900.84600819	901.2101438879909	4045.963264</t>
  </si>
  <si>
    <t>xfta-config/ccf/xfta-config-ccf3-ft-openpsa-700-05.xml																																																																																					TIMEOUT	900.836906001	901.1038147810032	1893.916672					TIMEOUT	900.836906001	901.1038147810032	1893.916672</t>
  </si>
  <si>
    <t>xfta-config/ccf/xfta-config-ccf3-ft-openpsa-800-05.xml																																																																																					TIMEOUT	900.817414106	901.1134818709979	1860.378624					TIMEOUT	900.817414106	901.1134818709979	1860.378624</t>
  </si>
  <si>
    <t>xfta-config/ccf/xfta-config-ccf3-ft-openpsa-900-05.xml																																																																																					TIMEOUT	900.791000473	901.1157324000087	2096.148480					TIMEOUT	900.791000473	901.1157324000087	2096.148480</t>
  </si>
  <si>
    <t>xfta-config/ccf/xfta-config-ccf4-ft-openpsa-100-05.xml																																																																																					TIMEOUT	900.96818929	901.3386346219922	5828.923392					TIMEOUT	900.96818929	901.3386346219922	5828.923392</t>
  </si>
  <si>
    <t>xfta-config/ccf/xfta-config-ccf4-ft-openpsa-1000-05.xml																																																																																					TIMEOUT	901.05960576	901.3986749780015	7849.697280					TIMEOUT	901.05960576	901.3986749780015	7849.697280</t>
  </si>
  <si>
    <t>xfta-config/ccf/xfta-config-ccf4-ft-openpsa-200-05.xml																																																																																					TIMEOUT	900.726500181	901.0165233080043	79.495168					TIMEOUT	900.726500181	901.0165233080043	79.495168</t>
  </si>
  <si>
    <t>xfta-config/ccf/xfta-config-ccf4-ft-openpsa-300-05.xml																																																																																					TIMEOUT	900.769289007	901.0069905989803	15.736832					TIMEOUT	900.769289007	901.0069905989803	15.736832</t>
  </si>
  <si>
    <t>xfta-config/ccf/xfta-config-ccf4-ft-openpsa-400-05.xml																																																																																					TIMEOUT	900.757429462	901.1054225970001	1829.150720					TIMEOUT	900.757429462	901.1054225970001	1829.150720</t>
  </si>
  <si>
    <t>xfta-config/ccf/xfta-config-ccf4-ft-openpsa-500-05.xml																																																																																					TIMEOUT	901.01944451	901.3402350120014	6738.067456					TIMEOUT	901.01944451	901.3402350120014	6738.067456</t>
  </si>
  <si>
    <t>xfta-config/ccf/xfta-config-ccf4-ft-openpsa-600-05.xml																																																																																					TIMEOUT	900.834447125	901.1488230990071	2535.596032					TIMEOUT	900.834447125	901.1488230990071	2535.596032</t>
  </si>
  <si>
    <t>xfta-config/ccf/xfta-config-ccf4-ft-openpsa-700-05.xml																																																																																					TIMEOUT	900.825601216	901.1100612889859	1930.391552					TIMEOUT	900.825601216	901.1100612889859	1930.391552</t>
  </si>
  <si>
    <t>xfta-config/ccf/xfta-config-ccf4-ft-openpsa-800-05.xml																																																																																					TIMEOUT	900.763457613	901.1117060179822	1997.443072					TIMEOUT	900.763457613	901.1117060179822	1997.443072</t>
  </si>
  <si>
    <t>xfta-config/ccf/xfta-config-ccf4-ft-openpsa-900-05.xml																																																																																					TIMEOUT	900.758533937	901.0611735249986	989.065216					TIMEOUT	900.758533937	901.0611735249986	989.065216</t>
  </si>
  <si>
    <t>xfta-config/ccf/xfta-config-ccf5-ft-openpsa-100-05.xml																																																																																					TIMEOUT	901.002095021	901.2912708149815	4755.599360					TIMEOUT	901.002095021	901.2912708149815	4755.599360</t>
  </si>
  <si>
    <t>xfta-config/ccf/xfta-config-ccf5-ft-openpsa-1000-05.xml																																																																																					TIMEOUT	901.06978	901.4173693650228	8054.190080					TIMEOUT	901.06978	901.4173693650228	8054.190080</t>
  </si>
  <si>
    <t>xfta-config/ccf/xfta-config-ccf5-ft-openpsa-200-05.xml																																																																																					TIMEOUT	900.750891627	901.0163248530007	116.363264					TIMEOUT	900.750891627	901.0163248530007	116.363264</t>
  </si>
  <si>
    <t>xfta-config/ccf/xfta-config-ccf5-ft-openpsa-300-05.xml																																																																																					TIMEOUT	900.781689137	901.0091485450102	18.325504					TIMEOUT	900.781689137	901.0091485450102	18.325504</t>
  </si>
  <si>
    <t>xfta-config/ccf/xfta-config-ccf5-ft-openpsa-400-05.xml																																																																																					TIMEOUT	900.790906844	901.1238902539772	2269.212672					TIMEOUT	900.790906844	901.1238902539772	2269.212672</t>
  </si>
  <si>
    <t>xfta-config/ccf/xfta-config-ccf5-ft-openpsa-500-05.xml																																																																																					TIMEOUT	900.81091344	901.0803802809969	1058.422784					TIMEOUT	900.81091344	901.0803802809969	1058.422784</t>
  </si>
  <si>
    <t>xfta-config/ccf/xfta-config-ccf5-ft-openpsa-600-05.xml																																																																																					TIMEOUT	900.805864681	901.1848414200067	3009.064960					TIMEOUT	900.805864681	901.1848414200067	3009.064960</t>
  </si>
  <si>
    <t>xfta-config/ccf/xfta-config-ccf5-ft-openpsa-700-05.xml																																																																																					TIMEOUT	900.870226504	901.1474601440132	2403.553280					TIMEOUT	900.870226504	901.1474601440132	2403.553280</t>
  </si>
  <si>
    <t>xfta-config/ccf/xfta-config-ccf5-ft-openpsa-800-05.xml																																																																																					TIMEOUT	900.81797974	901.1058926449914	1865.527296					TIMEOUT	900.81797974	901.1058926449914	1865.527296</t>
  </si>
  <si>
    <t>xfta-config/ccf/xfta-config-ccf5-ft-openpsa-900-05.xml																																																																																					TIMEOUT	900.764723617	901.0724298899877	1025.396736					TIMEOUT	900.764723617	901.0724298899877	1025.396736</t>
  </si>
  <si>
    <t>xfta-config/ccf/xfta-config-ccf6-ft-openpsa-100-05.xml																																																																																					TIMEOUT	900.900266039	901.2511980400013	4926.824448					TIMEOUT	900.900266039	901.2511980400013	4926.824448</t>
  </si>
  <si>
    <t>xfta-config/ccf/xfta-config-ccf6-ft-openpsa-1000-05.xml																																																																																					TIMEOUT	901.121037512	901.4539453170146	8830.156800					TIMEOUT	901.121037512	901.4539453170146	8830.156800</t>
  </si>
  <si>
    <t>xfta-config/ccf/xfta-config-ccf6-ft-openpsa-200-05.xml																																																																																					TIMEOUT	900.757639684	901.0779035600135	1262.686208					TIMEOUT	900.757639684	901.0779035600135	1262.686208</t>
  </si>
  <si>
    <t>xfta-config/ccf/xfta-config-ccf6-ft-openpsa-300-05.xml																																																																																					TIMEOUT	900.763340587	901.0068063109939	20.631552					TIMEOUT	900.763340587	901.0068063109939	20.631552</t>
  </si>
  <si>
    <t>xfta-config/ccf/xfta-config-ccf6-ft-openpsa-400-05.xml																																																																																					TIMEOUT	900.784738192	901.1085876680154	1834.442752					TIMEOUT	900.784738192	901.1085876680154	1834.442752</t>
  </si>
  <si>
    <t>xfta-config/ccf/xfta-config-ccf6-ft-openpsa-500-05.xml																																																																																					TIMEOUT	900.855011666	901.2198716860148	4087.758848					TIMEOUT	900.855011666	901.2198716860148	4087.758848</t>
  </si>
  <si>
    <t>xfta-config/ccf/xfta-config-ccf6-ft-openpsa-600-05.xml																																																																																					TIMEOUT	900.949478063	901.2856016329897	5466.275840					TIMEOUT	900.949478063	901.2856016329897	5466.275840</t>
  </si>
  <si>
    <t>xfta-config/ccf/xfta-config-ccf6-ft-openpsa-700-05.xml																																																																																					TIMEOUT	900.84096275	901.1366100049927	2372.624384					TIMEOUT	900.84096275	901.1366100049927	2372.624384</t>
  </si>
  <si>
    <t>xfta-config/ccf/xfta-config-ccf6-ft-openpsa-800-05.xml																																																																																					TIMEOUT	900.807711341	901.1317792769987	2103.537664					TIMEOUT	900.807711341	901.1317792769987	2103.537664</t>
  </si>
  <si>
    <t>xfta-config/ccf/xfta-config-ccf6-ft-openpsa-900-05.xml																																																																																					TIMEOUT	900.778830029	901.0831356850103	1431.613440					TIMEOUT	900.778830029	901.0831356850103	1431.613440</t>
  </si>
  <si>
    <t>xfta-config/ccf/xfta-config-ccf7-ft-openpsa-100-05.xml																																																																																					TIMEOUT	900.917625097	901.2517587410111	4829.175808					TIMEOUT	900.917625097	901.2517587410111	4829.175808</t>
  </si>
  <si>
    <t>xfta-config/ccf/xfta-config-ccf7-ft-openpsa-1000-05.xml																																																																																					TIMEOUT	901.160726781	901.5110932349926	10211.606528					TIMEOUT	901.160726781	901.5110932349926	10211.606528</t>
  </si>
  <si>
    <t>xfta-config/ccf/xfta-config-ccf7-ft-openpsa-200-05.xml																																																																																					TIMEOUT	900.752330268	901.0482444289955	761.339904					TIMEOUT	900.752330268	901.0482444289955	761.339904</t>
  </si>
  <si>
    <t>xfta-config/ccf/xfta-config-ccf7-ft-openpsa-300-05.xml																																																																																					TIMEOUT	900.700478846	901.0088861170225	23.670784					TIMEOUT	900.700478846	901.0088861170225	23.670784</t>
  </si>
  <si>
    <t>xfta-config/ccf/xfta-config-ccf7-ft-openpsa-400-05.xml																																																																																					TIMEOUT	900.776101905	901.1012430500123	1702.375424					TIMEOUT	900.776101905	901.1012430500123	1702.375424</t>
  </si>
  <si>
    <t>xfta-config/ccf/xfta-config-ccf7-ft-openpsa-500-05.xml																																																																																					TIMEOUT	900.955176012	901.2709949729906	4594.921472					TIMEOUT	900.955176012	901.2709949729906	4594.921472</t>
  </si>
  <si>
    <t>xfta-config/ccf/xfta-config-ccf7-ft-openpsa-600-05.xml																																																																																					TIMEOUT	900.943044162	901.3046344960167	5503.107072					TIMEOUT	900.943044162	901.3046344960167	5503.107072</t>
  </si>
  <si>
    <t>xfta-config/ccf/xfta-config-ccf7-ft-openpsa-700-05.xml																																																																																					TIMEOUT	900.865200792	901.161510097998	2778.779648					TIMEOUT	900.865200792	901.161510097998	2778.779648</t>
  </si>
  <si>
    <t>xfta-config/ccf/xfta-config-ccf7-ft-openpsa-800-05.xml																																																																																					TIMEOUT	900.828557006	901.1344137809938	2106.470400					TIMEOUT	900.828557006	901.1344137809938	2106.470400</t>
  </si>
  <si>
    <t>xfta-config/ccf/xfta-config-ccf7-ft-openpsa-900-05.xml																																																																																					TIMEOUT	900.772044254	901.0968013030069	1535.426560					TIMEOUT	900.772044254	901.0968013030069	1535.426560</t>
  </si>
  <si>
    <t>xfta-config/ccf/xfta-config-ccf8-ft-openpsa-100-05.xml																																																																																					TIMEOUT	900.852397829	901.177843027981	3386.675200					TIMEOUT	900.852397829	901.177843027981	3386.675200</t>
  </si>
  <si>
    <t>xfta-config/ccf/xfta-config-ccf8-ft-openpsa-1000-05.xml																																																																																					TIMEOUT	901.089346503	901.5023490930034	9911.517184					TIMEOUT	901.089346503	901.5023490930034	9911.517184</t>
  </si>
  <si>
    <t>xfta-config/ccf/xfta-config-ccf8-ft-openpsa-200-05.xml																																																																																					TIMEOUT	900.693458294	901.0073412329948	26.296320					TIMEOUT	900.693458294	901.0073412329948	26.296320</t>
  </si>
  <si>
    <t>xfta-config/ccf/xfta-config-ccf8-ft-openpsa-300-05.xml																																																																																					TIMEOUT	900.745697228	901.0102598879894	26.271744					TIMEOUT	900.745697228	901.0102598879894	26.271744</t>
  </si>
  <si>
    <t>xfta-config/ccf/xfta-config-ccf8-ft-openpsa-400-05.xml																																																																																					TIMEOUT	900.758688767	901.1066128389793	1604.866048					TIMEOUT	900.758688767	901.1066128389793	1604.866048</t>
  </si>
  <si>
    <t>xfta-config/ccf/xfta-config-ccf8-ft-openpsa-500-05.xml																																																																																					TIMEOUT	900.919275565	901.2672355069953	4396.212224					TIMEOUT	900.919275565	901.2672355069953	4396.212224</t>
  </si>
  <si>
    <t>xfta-config/ccf/xfta-config-ccf8-ft-openpsa-600-05.xml																																																																																					TIMEOUT	900.885398729	901.2318424939876	4496.920576					TIMEOUT	900.885398729	901.2318424939876	4496.920576</t>
  </si>
  <si>
    <t>xfta-config/ccf/xfta-config-ccf8-ft-openpsa-700-05.xml																																																																																					TIMEOUT	900.870136065	901.1717690590012	2747.559936					TIMEOUT	900.870136065	901.1717690590012	2747.559936</t>
  </si>
  <si>
    <t>xfta-config/ccf/xfta-config-ccf8-ft-openpsa-800-05.xml																																																																																					TIMEOUT	900.836353056	901.1311744109844	2109.124608					TIMEOUT	900.836353056	901.1311744109844	2109.124608</t>
  </si>
  <si>
    <t>xfta-config/ccf/xfta-config-ccf8-ft-openpsa-900-05.xml																																																																																					TIMEOUT	900.796459354	901.1043278150028	1538.179072					TIMEOUT	900.796459354	901.1043278150028	1538.179072</t>
  </si>
  <si>
    <t>xfta-config/ccf/xfta-config-ccf9-ft-openpsa-100-05.xml																																																																																					TIMEOUT	900.697578619	901.0096212729986	29.409280					TIMEOUT	900.697578619	901.0096212729986	29.409280</t>
  </si>
  <si>
    <t>xfta-config/ccf/xfta-config-ccf9-ft-openpsa-1000-05.xml																																																																																					TIMEOUT	900.851936135	901.1554056450259	2718.400512					TIMEOUT	900.851936135	901.1554056450259	2718.400512</t>
  </si>
  <si>
    <t>xfta-config/ccf/xfta-config-ccf9-ft-openpsa-200-05.xml																																																																																					TIMEOUT	900.786528583	901.121895305987	1808.871424					TIMEOUT	900.786528583	901.121895305987	1808.871424</t>
  </si>
  <si>
    <t>xfta-config/ccf/xfta-config-ccf9-ft-openpsa-300-05.xml																																																																																					TIMEOUT	900.752002078	901.0186390650051	128.675840					TIMEOUT	900.752002078	901.0186390650051	128.675840</t>
  </si>
  <si>
    <t>xfta-config/ccf/xfta-config-ccf9-ft-openpsa-400-05.xml																																																																																					TIMEOUT	900.98376792	901.3026246110094	5507.792896					TIMEOUT	900.98376792	901.3026246110094	5507.792896</t>
  </si>
  <si>
    <t>xfta-config/ccf/xfta-config-ccf9-ft-openpsa-500-05.xml																																																																																					TIMEOUT	900.796741051	901.0710076260148	801.652736					TIMEOUT	900.796741051	901.0710076260148	801.652736</t>
  </si>
  <si>
    <t>xfta-config/ccf/xfta-config-ccf9-ft-openpsa-600-05.xml																																																																																					TIMEOUT	900.762565235	901.0124076349894	94.613504					TIMEOUT	900.762565235	901.0124076349894	94.613504</t>
  </si>
  <si>
    <t>xfta-config/ccf/xfta-config-ccf9-ft-openpsa-700-05.xml																																																																																					TIMEOUT	900.829577045	901.189729241014	2951.557120					TIMEOUT	900.829577045	901.189729241014	2951.557120</t>
  </si>
  <si>
    <t>xfta-config/ccf/xfta-config-ccf9-ft-openpsa-800-05.xml																																																																																					TIMEOUT	900.909343569	901.2398822070099	4532.797440					TIMEOUT	900.909343569	901.2398822070099	4532.797440</t>
  </si>
  <si>
    <t>xfta-config/ccf/xfta-config-ccf9-ft-openpsa-900-05.xml																																																																																					TIMEOUT	900.817491898	901.1159374830022	1742.290944					TIMEOUT	900.817491898	901.1159374830022	1742.290944</t>
  </si>
  <si>
    <t xml:space="preserve">openpsa/ft-openpsa-100-01.xml																	done	0.095788566	0.11353104800218716	6.340608	done	0.095788566	0.11353104800218716	6.340608					done	0.110244637	0.1412695919862017	6.275072	done	0.110244637	0.1412695919862017	6.275072					done	0.087176162	0.09668305999366567	6.225920	done	0.087176162	0.09668305999366567	6.225920					done	0.11244756	0.1432467159756925	6.332416	done	0.11244756	0.1432467159756925	6.332416					done	0.118721988	0.15526188898365945	6.217728	done	0.118721988	0.15526188898365945	6.217728					done	0.113772972	0.1465339150163345	6.270976	done	0.113772972	0.1465339150163345	6.270976												</t>
  </si>
  <si>
    <t xml:space="preserve">openpsa/ft-openpsa-100-02.xml																	done	0.197849189	0.21667600999353454	6.205440	done	0.197849189	0.21667600999353454	6.205440					done	0.211630892	0.2409200679976493	6.205440	done	0.211630892	0.2409200679976493	6.205440					done	0.187464732	0.1975871390022803	6.156288	done	0.187464732	0.1975871390022803	6.156288					done	0.219600445	0.2488118760229554	6.303744	done	0.219600445	0.2488118760229554	6.303744					done	0.226832702	0.26017879700521007	6.213632	done	0.226832702	0.26017879700521007	6.213632					done	0.221840754	0.25136268298956566	6.152192	done	0.221840754	0.25136268298956566	6.152192												</t>
  </si>
  <si>
    <t xml:space="preserve">openpsa/ft-openpsa-100-03.xml																	done	0.081930659	0.10079115099506453	6.078464	done	0.081930659	0.10079115099506453	6.078464					done	0.096154159	0.12650998498429544	6.107136	done	0.096154159	0.12650998498429544	6.107136					done	0.074867436	0.08374467000248842	6.111232	done	0.074867436	0.08374467000248842	6.111232					done	0.097503664	0.12669477699091658	6.205440	done	0.097503664	0.12669477699091658	6.205440					done	0.102652994	0.13896545401075855	6.123520	done	0.102652994	0.13896545401075855	6.123520					done	0.100072827	0.12921052597812377	6.078464	done	0.100072827	0.12921052597812377	6.078464												</t>
  </si>
  <si>
    <t xml:space="preserve">openpsa/ft-openpsa-100-04.xml																	done	0.0919663	0.10757497099984903	6.340608	done	0.0919663	0.10757497099984903	6.340608					done	0.106562816	0.13397472898941487	6.209536	done	0.106562816	0.13397472898941487	6.209536					done	0.080576835	0.0905122179974569	6.217728	done	0.080576835	0.0905122179974569	6.217728					done	0.10509741	0.13555429299594834	6.283264	done	0.10509741	0.13555429299594834	6.283264					done	0.110802336	0.14844631199957803	6.209536	done	0.110802336	0.14844631199957803	6.209536					done	0.105313641	0.13733038801001385	6.168576	done	0.105313641	0.13733038801001385	6.168576												</t>
  </si>
  <si>
    <t xml:space="preserve">openpsa/ft-openpsa-100-05.xml																	done	0.081540497	0.09857365700008813	6.082560	done	0.081540497	0.09857365700008813	6.082560					done	0.094746398	0.12517229502554983	5.947392	done	0.094746398	0.12517229502554983	5.947392					done	0.07172746	0.08167350399889983	6.041600	done	0.07172746	0.08167350399889983	6.041600					done	0.0947713	0.12493509499472566	6.078464	done	0.0947713	0.12493509499472566	6.078464					done	0.100050083	0.1367829529917799	6.017024	done	0.100050083	0.1367829529917799	6.017024					done	0.095055674	0.12688903699745424	5.963776	done	0.095055674	0.12688903699745424	5.963776												</t>
  </si>
  <si>
    <t xml:space="preserve">openpsa/ft-openpsa-100-06.xml																	done	0.094554964	0.11160545999882743	6.213632	done	0.094554964	0.11160545999882743	6.213632					done	0.108041002	0.13895658100955188	6.172672	done	0.108041002	0.13895658100955188	6.172672					done	0.087941067	0.0951430889981566	6.205440	done	0.087941067	0.0951430889981566	6.205440					done	0.110762124	0.1398081739898771	6.189056	done	0.110762124	0.1398081739898771	6.189056					done	0.118666935	0.15159503900213167	6.209536	done	0.118666935	0.15159503900213167	6.209536					done	0.110468444	0.14238148601725698	6.213632	done	0.110468444	0.14238148601725698	6.213632												</t>
  </si>
  <si>
    <t xml:space="preserve">openpsa/ft-openpsa-100-07.xml																	done	0.088778085	0.10586012700514402	6.291456	done	0.088778085	0.10586012700514402	6.291456					done	0.101925077	0.13229430498904549	6.078464	done	0.101925077	0.13229430498904549	6.078464					done	0.078849129	0.08875641999475192	6.074368	done	0.078849129	0.08875641999475192	6.074368					done	0.103812877	0.13304958899971098	6.230016	done	0.103812877	0.13304958899971098	6.230016					done	0.108180588	0.14446528800181113	6.074368	done	0.108180588	0.14446528800181113	6.074368					done	0.102849035	0.1349931699805893	6.168576	done	0.102849035	0.1349931699805893	6.168576												</t>
  </si>
  <si>
    <t xml:space="preserve">openpsa/ft-openpsa-100-08.xml																	done	0.198761324	0.21755861000565346	6.254592	done	0.198761324	0.21755861000565346	6.254592					done	0.214786184	0.24568858501152135	6.164480	done	0.214786184	0.24568858501152135	6.164480					done	0.191033942	0.20105287700425833	6.295552	done	0.191033942	0.20105287700425833	6.295552					done	0.221237831	0.251944868999999	6.184960	done	0.221237831	0.251944868999999	6.184960					done	0.229569982	0.2664341180061456	6.123520	done	0.229569982	0.2664341180061456	6.123520					done	0.223540244	0.2562392830150202	6.189056	done	0.223540244	0.2562392830150202	6.189056												</t>
  </si>
  <si>
    <t xml:space="preserve">openpsa/ft-openpsa-100-09.xml																	done	0.2027124	0.22182642499683425	6.340608	done	0.2027124	0.22182642499683425	6.340608					done	0.222127493	0.2500612320145592	6.340608	done	0.222127493	0.2500612320145592	6.340608					done	0.194124237	0.20400637299462687	6.209536	done	0.194124237	0.20400637299462687	6.209536					done	0.2306519	0.2588626040087547	6.340608	done	0.2306519	0.2588626040087547	6.340608					done	0.238241487	0.3124709069961682	6.340608	done	0.238241487	0.3124709069961682	6.340608					done	0.233140597	0.2635602939990349	6.242304	done	0.233140597	0.2635602939990349	6.242304												</t>
  </si>
  <si>
    <t xml:space="preserve">openpsa/ft-openpsa-1000-01.xml																	OUT OF MEMORY	450.437958796	450.85891068400815	16000.000000	OUT OF MEMORY	450.437958796	450.85891068400815	16000.000000					TIMEOUT	900.79166739	901.5496975690185	9694.351360	TIMEOUT	900.79166739	901.5496975690185	9694.351360					OUT OF MEMORY	323.453745609	323.6778332410031	16000.000000	OUT OF MEMORY	323.453745609	323.6778332410031	16000.000000					OUT OF MEMORY	454.914756581	455.3468128340028	16000.000000	OUT OF MEMORY	454.914756581	455.3468128340028	16000.000000					TIMEOUT	900.815800068	901.6263977639901	9467.076608	TIMEOUT	900.815800068	901.6263977639901	9467.076608					OUT OF MEMORY	315.546499614	315.7719324469799	16000.000000	OUT OF MEMORY	315.546499614	315.7719324469799	16000.000000												</t>
  </si>
  <si>
    <t xml:space="preserve">openpsa/ft-openpsa-1000-02.xml																	OUT OF MEMORY	302.947567442	303.3314342270023	16000.000000	OUT OF MEMORY	302.947567442	303.3314342270023	16000.000000					TIMEOUT	900.430997694	901.0704827379959	943.226880	TIMEOUT	900.430997694	901.0704827379959	943.226880					TIMEOUT	900.584261106	901.0878065139987	1172.209664	TIMEOUT	900.584261106	901.0878065139987	1172.209664					OUT OF MEMORY	301.259689624	301.5563808410079	16000.000000	OUT OF MEMORY	301.259689624	301.5563808410079	16000.000000					TIMEOUT	900.420258037	901.0854014579963	943.239168	TIMEOUT	900.420258037	901.0854014579963	943.239168					TIMEOUT	900.568012089	901.1268444509769	1172.226048	TIMEOUT	900.568012089	901.1268444509769	1172.226048												</t>
  </si>
  <si>
    <t xml:space="preserve">openpsa/ft-openpsa-1000-03.xml																	OUT OF MEMORY	267.844605617	268.0986285669933	16000.000000	OUT OF MEMORY	267.844605617	268.0986285669933	16000.000000					OUT OF MEMORY	785.002638116	785.7077078320144	16000.000000	OUT OF MEMORY	785.002638116	785.7077078320144	16000.000000					OUT OF MEMORY	228.164759509	228.3401674959896	16000.000000	OUT OF MEMORY	228.164759509	228.3401674959896	16000.000000					OUT OF MEMORY	271.324806103	271.5810505959962	16000.000000	OUT OF MEMORY	271.324806103	271.5810505959962	16000.000000					OUT OF MEMORY	782.298755944	783.0232405669813	16000.000000	OUT OF MEMORY	782.298755944	783.0232405669813	16000.000000					OUT OF MEMORY	243.529617159	243.77164085698314	16000.000000	OUT OF MEMORY	243.529617159	243.77164085698314	16000.000000												</t>
  </si>
  <si>
    <t xml:space="preserve">openpsa/ft-openpsa-1000-04.xml																	OUT OF MEMORY	349.097116114	349.4912661910057	16000.000000	OUT OF MEMORY	349.097116114	349.4912661910057	16000.000000					TIMEOUT	900.883442765	901.5765693809954	10420.875264	TIMEOUT	900.883442765	901.5765693809954	10420.875264					TIMEOUT	901.254227112	901.8762275180052	15441.571840	TIMEOUT	901.254227112	901.8762275180052	15441.571840					OUT OF MEMORY	348.371159271	348.6920801429951	16000.000000	OUT OF MEMORY	348.371159271	348.6920801429951	16000.000000					TIMEOUT	900.747618339	901.5635392020049	10332.061696	TIMEOUT	900.747618339	901.5635392020049	10332.061696					TIMEOUT	900.887406336	901.8786411069741	15441.301504	TIMEOUT	900.887406336	901.8786411069741	15441.301504												</t>
  </si>
  <si>
    <t xml:space="preserve">openpsa/ft-openpsa-1000-05.xml																	OUT OF MEMORY	273.874533458	274.12588145100744	16000.000000	OUT OF MEMORY	273.874533458	274.12588145100744	16000.000000					OUT OF MEMORY	663.069703201	663.6229930599802	16000.000000	OUT OF MEMORY	663.069703201	663.6229930599802	16000.000000					OUT OF MEMORY	312.64827725	312.90636624798935	16000.000000	OUT OF MEMORY	312.64827725	312.90636624798935	16000.000000					OUT OF MEMORY	274.569519142	274.8378679160087	16000.000000	OUT OF MEMORY	274.569519142	274.8378679160087	16000.000000					OUT OF MEMORY	663.288989365	663.8455295239983	16000.000000	OUT OF MEMORY	663.288989365	663.8455295239983	16000.000000					OUT OF MEMORY	323.446575734	323.7641061080212	16000.000000	OUT OF MEMORY	323.446575734	323.7641061080212	16000.000000												</t>
  </si>
  <si>
    <t xml:space="preserve">openpsa/ft-openpsa-1000-06.xml																	OUT OF MEMORY	251.099075512	251.45683451399964	16000.000000	OUT OF MEMORY	251.099075512	251.45683451399964	16000.000000					TIMEOUT	900.55083214	901.2757896959956	3666.006016	TIMEOUT	900.55083214	901.2757896959956	3666.006016					TIMEOUT	900.739073569	901.2769151629909	3724.828672	TIMEOUT	900.739073569	901.2769151629909	3724.828672					OUT OF MEMORY	250.412556239	250.66107840597397	16000.000000	OUT OF MEMORY	250.412556239	250.66107840597397	16000.000000					TIMEOUT	900.369133071	901.269329681003	3666.034688	TIMEOUT	900.369133071	901.269329681003	3666.034688					TIMEOUT	900.697677965	901.290050363983	3724.722176	TIMEOUT	900.697677965	901.290050363983	3724.722176												</t>
  </si>
  <si>
    <t xml:space="preserve">openpsa/ft-openpsa-1000-07.xml																	OUT OF MEMORY	262.887710137	263.22493615199346	16000.000000	OUT OF MEMORY	262.887710137	263.22493615199346	16000.000000					OUT OF MEMORY	700.735359967	701.3936605220078	16000.000000	OUT OF MEMORY	700.735359967	701.3936605220078	16000.000000					OUT OF MEMORY	432.179323569	432.5736432709964	16000.000000	OUT OF MEMORY	432.179323569	432.5736432709964	16000.000000					OUT OF MEMORY	262.635462309	262.93230190500617	16000.000000	OUT OF MEMORY	262.635462309	262.93230190500617	16000.000000					OUT OF MEMORY	704.300063371	704.9256916200102	16000.000000	OUT OF MEMORY	704.300063371	704.9256916200102	16000.000000					OUT OF MEMORY	425.866931185	426.2413244259951	16000.000000	OUT OF MEMORY	425.866931185	426.2413244259951	16000.000000												</t>
  </si>
  <si>
    <t xml:space="preserve">openpsa/ft-openpsa-1000-08.xml																	OUT OF MEMORY	287.483565664	287.7810617600044	16000.000000	OUT OF MEMORY	287.483565664	287.7810617600044	16000.000000					TIMEOUT	900.827234701	901.5983330879826	10521.067520	TIMEOUT	900.827234701	901.5983330879826	10521.067520					OUT OF MEMORY	305.245891534	305.6607492109906	16000.000000	OUT OF MEMORY	305.245891534	305.6607492109906	16000.000000					OUT OF MEMORY	290.339380358	290.68089635000797	16000.000000	OUT OF MEMORY	290.339380358	290.68089635000797	16000.000000					TIMEOUT	900.929981988	901.7013263650006	10521.063424	TIMEOUT	900.929981988	901.7013263650006	10521.063424					OUT OF MEMORY	294.091854605	294.36328369000694	16000.000000	OUT OF MEMORY	294.091854605	294.36328369000694	16000.000000												</t>
  </si>
  <si>
    <t xml:space="preserve">openpsa/ft-openpsa-1000-09.xml																	OUT OF MEMORY	262.369761211	262.6568101540033	16000.000000	OUT OF MEMORY	262.369761211	262.6568101540033	16000.000000					TIMEOUT	900.766360569	901.4892786529963	7385.870336	TIMEOUT	900.766360569	901.4892786529963	7385.870336					OUT OF MEMORY	244.076895005	244.301508309989	16000.000000	OUT OF MEMORY	244.076895005	244.301508309989	16000.000000					OUT OF MEMORY	260.844870403	261.1377917000209	16000.000000	OUT OF MEMORY	260.844870403	261.1377917000209	16000.000000					TIMEOUT	900.655964978	901.4410660220019	7385.825280	TIMEOUT	900.655964978	901.4410660220019	7385.825280					OUT OF MEMORY	235.278147838	235.5034204100084	16000.000000	OUT OF MEMORY	235.278147838	235.5034204100084	16000.000000												</t>
  </si>
  <si>
    <t xml:space="preserve">openpsa/ft-openpsa-10000-01.xml																	OUT OF MEMORY	261.206764432	261.49094743299065	16000.000000	OUT OF MEMORY	261.206764432	261.49094743299065	16000.000000					TIMEOUT	900.996061198	901.7806908740022	14910.541824	TIMEOUT	900.996061198	901.7806908740022	14910.541824					OUT OF MEMORY	324.255303733	324.54121139799827	16000.000000	OUT OF MEMORY	324.255303733	324.54121139799827	16000.000000					OUT OF MEMORY	258.414818587	258.72675034601707	16000.000000	OUT OF MEMORY	258.414818587	258.72675034601707	16000.000000					TIMEOUT	901.03297192	901.8386454210267	14910.472192	TIMEOUT	901.03297192	901.8386454210267	14910.472192					OUT OF MEMORY	314.838538905	315.1401661539858	16000.000000	OUT OF MEMORY	314.838538905	315.1401661539858	16000.000000												</t>
  </si>
  <si>
    <t xml:space="preserve">openpsa/ft-openpsa-10000-02.xml																	OUT OF MEMORY	377.189850441	377.5962927979999	16000.000000	OUT OF MEMORY	377.189850441	377.5962927979999	16000.000000					OUT OF MEMORY	831.141187155	831.9069138630002	16000.000000	OUT OF MEMORY	831.141187155	831.9069138630002	16000.000000					OUT OF MEMORY	365.531683462	365.78136457399523	16000.000000	OUT OF MEMORY	365.531683462	365.78136457399523	16000.000000					OUT OF MEMORY	384.917194681	385.6713538840122	16000.000000	OUT OF MEMORY	384.917194681	385.6713538840122	16000.000000					OUT OF MEMORY	828.505216436	829.2570458939881	16000.000000	OUT OF MEMORY	828.505216436	829.2570458939881	16000.000000					OUT OF MEMORY	382.596140339	382.9446616479836	16000.000000	OUT OF MEMORY	382.596140339	382.9446616479836	16000.000000												</t>
  </si>
  <si>
    <t xml:space="preserve">openpsa/ft-openpsa-10000-03.xml																	OUT OF MEMORY	379.722215101	380.1030314499949	16000.000000	OUT OF MEMORY	379.722215101	380.1030314499949	16000.000000					OUT OF MEMORY	839.596420947	840.3597253629996	16000.000000	OUT OF MEMORY	839.596420947	840.3597253629996	16000.000000					OUT OF MEMORY	375.226386999	375.57701879399247	16000.000000	OUT OF MEMORY	375.226386999	375.57701879399247	16000.000000					OUT OF MEMORY	385.394330579	385.83439862402156	16000.000000	OUT OF MEMORY	385.394330579	385.83439862402156	16000.000000					OUT OF MEMORY	834.227913531	834.9204010429967	16000.000000	OUT OF MEMORY	834.227913531	834.9204010429967	16000.000000					OUT OF MEMORY	361.348880465	361.7845161059813	16000.000000	OUT OF MEMORY	361.348880465	361.7845161059813	16000.000000												</t>
  </si>
  <si>
    <t xml:space="preserve">openpsa/ft-openpsa-10000-04.xml																	OUT OF MEMORY	266.693373843	266.9996221499896	16000.000000	OUT OF MEMORY	266.693373843	266.9996221499896	16000.000000					OUT OF MEMORY	518.084025039	518.5419830009923	16000.000000	OUT OF MEMORY	518.084025039	518.5419830009923	16000.000000					OUT OF MEMORY	624.823608507	625.5895503609936	16000.000000	OUT OF MEMORY	624.823608507	625.5895503609936	16000.000000					OUT OF MEMORY	261.674384871	262.043377909984	16000.000000	OUT OF MEMORY	261.674384871	262.043377909984	16000.000000					OUT OF MEMORY	519.213447401	519.7259656660026	16000.000000	OUT OF MEMORY	519.213447401	519.7259656660026	16000.000000					OUT OF MEMORY	610.576801479	611.158399115986	16000.000000	OUT OF MEMORY	610.576801479	611.158399115986	16000.000000												</t>
  </si>
  <si>
    <t xml:space="preserve">openpsa/ft-openpsa-10000-05.xml																	OUT OF MEMORY	236.792147528	237.04583481200098	16000.000000	OUT OF MEMORY	236.792147528	237.04583481200098	16000.000000					TIMEOUT	900.814858278	901.590284934995	9915.641856	TIMEOUT	900.814858278	901.590284934995	9915.641856					OUT OF MEMORY	527.296426621	527.824648837006	16000.000000	OUT OF MEMORY	527.296426621	527.824648837006	16000.000000					OUT OF MEMORY	235.531421772	235.79283029100043	16000.000000	OUT OF MEMORY	235.531421772	235.79283029100043	16000.000000					TIMEOUT	900.904923557	901.6499840810138	9915.543552	TIMEOUT	900.904923557	901.6499840810138	9915.543552					OUT OF MEMORY	505.47076003	505.88209434598684	16000.000000	OUT OF MEMORY	505.47076003	505.88209434598684	16000.000000												</t>
  </si>
  <si>
    <t xml:space="preserve">openpsa/ft-openpsa-10000-06.xml																	OUT OF MEMORY	286.860346147	287.28143572800036	16000.000000	OUT OF MEMORY	286.860346147	287.28143572800036	16000.000000					TIMEOUT	901.171242165	901.8745066100091	15329.841152	TIMEOUT	901.171242165	901.8745066100091	15329.841152					TIMEOUT	900.874047231	901.5844054599875	10000.646144	TIMEOUT	900.874047231	901.5844054599875	10000.646144					OUT OF MEMORY	292.549500832	292.90041140199173	16000.000000	OUT OF MEMORY	292.549500832	292.90041140199173	16000.000000					TIMEOUT	900.985977618	901.9176871469826	15330.816000	TIMEOUT	900.985977618	901.9176871469826	15330.816000					TIMEOUT	900.773134234	901.6666358270159	10000.588800	TIMEOUT	900.773134234	901.6666358270159	10000.588800												</t>
  </si>
  <si>
    <t xml:space="preserve">openpsa/ft-openpsa-10000-07.xml																	OUT OF MEMORY	261.778578235	262.0487567139935	16000.000000	OUT OF MEMORY	261.778578235	262.0487567139935	16000.000000					TIMEOUT	901.112574312	901.8544563679898	15059.443712	TIMEOUT	901.112574312	901.8544563679898	15059.443712					OUT OF MEMORY	696.506930616	697.1971489090065	16000.000000	OUT OF MEMORY	696.506930616	697.1971489090065	16000.000000					OUT OF MEMORY	259.89299405	260.29902786097955	16000.000000	OUT OF MEMORY	259.89299405	260.29902786097955	16000.000000					TIMEOUT	901.128834484	901.8644006609975	15059.476480	TIMEOUT	901.128834484	901.8644006609975	15059.476480					OUT OF MEMORY	725.292413006	726.0028472249978	16000.000000	OUT OF MEMORY	725.292413006	726.0028472249978	16000.000000												</t>
  </si>
  <si>
    <t xml:space="preserve">openpsa/ft-openpsa-10000-08.xml																	OUT OF MEMORY	277.006028159	277.30297391000204	16000.000000	OUT OF MEMORY	277.006028159	277.30297391000204	16000.000000					TIMEOUT	900.660179258	901.3247109850054	16000.000000	TIMEOUT	900.660179258	901.3247109850054	16000.000000					OUT OF MEMORY	304.759273034	304.98666843799583	16000.000000	OUT OF MEMORY	304.759273034	304.98666843799583	16000.000000					OUT OF MEMORY	275.905696219	276.24252703099046	16000.000000	OUT OF MEMORY	275.905696219	276.24252703099046	16000.000000					TIMEOUT	901.279097369	902.0026159099943	15984.381952	TIMEOUT	901.279097369	902.0026159099943	15984.381952					OUT OF MEMORY	306.879382925	307.15992917100084	16000.000000	OUT OF MEMORY	306.879382925	307.15992917100084	16000.000000												</t>
  </si>
  <si>
    <t xml:space="preserve">openpsa/ft-openpsa-10000-09.xml																	OUT OF MEMORY	292.81770285	293.12491745100124	16000.000000	OUT OF MEMORY	292.81770285	293.12491745100124	16000.000000					TIMEOUT	901.196769093	901.9015991349879	15132.528640	TIMEOUT	901.196769093	901.9015991349879	15132.528640					OUT OF MEMORY	803.331476652	803.9674864590052	16000.000000	OUT OF MEMORY	803.331476652	803.9674864590052	16000.000000					OUT OF MEMORY	297.642365478	297.98227383600897	16000.000000	OUT OF MEMORY	297.642365478	297.98227383600897	16000.000000					TIMEOUT	901.124178114	901.8184340780135	15057.567744	TIMEOUT	901.124178114	901.8184340780135	15057.567744					OUT OF MEMORY	816.742567947	817.5698992229882	16000.000000	OUT OF MEMORY	816.742567947	817.5698992229882	16000.000000												</t>
  </si>
  <si>
    <t xml:space="preserve">openpsa/ft-openpsa-200-01.xml																	done	0.114852982	0.13252857800398488	6.598656	done	0.114852982	0.13252857800398488	6.598656					done	0.11374993	0.13876176500343718	6.541312	done	0.11374993	0.13876176500343718	6.541312					done	0.092398943	0.09977155100204982	6.467584	done	0.092398943	0.09977155100204982	6.467584					done	0.133368608	0.16323641798226163	6.557696	done	0.133368608	0.16323641798226163	6.557696					done	0.131053891	0.1691381539858412	6.586368	done	0.131053891	0.1691381539858412	6.586368					done	0.13125976	0.16359962400747463	6.475776	done	0.13125976	0.16359962400747463	6.475776												</t>
  </si>
  <si>
    <t xml:space="preserve">openpsa/ft-openpsa-200-02.xml																	done	12.783220292	12.827490622003097	12.767232	done	12.783220292	12.827490622003097	12.767232					done	13.076920831	13.170804702007445	7.921664	done	13.076920831	13.170804702007445	7.921664					done	12.405646308	12.457929138996406	8.142848	done	12.405646308	12.457929138996406	8.142848					done	14.98442949	15.0536991719855	12.759040	done	14.98442949	15.0536991719855	12.759040					done	15.169111383	15.256556053005625	7.892992	done	15.169111383	15.256556053005625	7.892992					done	14.991968522	15.07806781999534	8.175616	done	14.991968522	15.07806781999534	8.175616												</t>
  </si>
  <si>
    <t xml:space="preserve">openpsa/ft-openpsa-200-03.xml																	done	0.928141825	0.9501449140079785	6.729728	done	0.928141825	0.9501449140079785	6.729728					done	1.004085831	1.0388164189935196	6.684672	done	1.004085831	1.0388164189935196	6.684672					done	0.921238546	0.9317480949976016	6.676480	done	0.921238546	0.9317480949976016	6.676480					done	1.103876946	1.142510803998448	6.819840	done	1.103876946	1.142510803998448	6.819840					done	1.116537512	1.1586606229830068	6.770688	done	1.116537512	1.1586606229830068	6.770688					done	1.110123379	1.1456455489969812	6.733824	done	1.110123379	1.1456455489969812	6.733824												</t>
  </si>
  <si>
    <t xml:space="preserve">openpsa/ft-openpsa-200-04.xml																	done	0.091833824	0.10983140299504157	6.209536	done	0.091833824	0.10983140299504157	6.209536					done	0.096938276	0.1285183889849577	6.209536	done	0.096938276	0.1285183889849577	6.209536					done	0.072020042	0.08154407900292426	6.209536	done	0.072020042	0.08154407900292426	6.209536					done	0.103748514	0.13950876297894865	6.254592	done	0.103748514	0.13950876297894865	6.254592					done	0.107384961	0.1454457090003416	6.266880	done	0.107384961	0.1454457090003416	6.266880					done	0.108673949	0.14261955698020756	6.205440	done	0.108673949	0.14261955698020756	6.205440												</t>
  </si>
  <si>
    <t xml:space="preserve">openpsa/ft-openpsa-200-05.xml																	done	0.200972125	0.22063355200225487	6.467584	done	0.200972125	0.22063355200225487	6.467584					done	0.216005923	0.24381782300770283	6.426624	done	0.216005923	0.24381782300770283	6.426624					done	0.182938947	0.19292862300062552	6.463488	done	0.182938947	0.19292862300062552	6.463488					done	0.221674606	0.2550712290103547	6.467584	done	0.221674606	0.2550712290103547	6.467584					done	0.224129814	0.26235046100919135	6.471680	done	0.224129814	0.26235046100919135	6.471680					done	0.228203839	0.2596582190017216	6.471680	done	0.228203839	0.2596582190017216	6.471680												</t>
  </si>
  <si>
    <t xml:space="preserve">openpsa/ft-openpsa-200-06.xml																	done	1.964956025	1.9860702559963102	108.060672	done	1.964956025	1.9860702559963102	108.060672					done	0.35725192	0.38826023001456633	8.065024	done	0.35725192	0.38826023001456633	8.065024					done	0.332243271	0.34002660000987817	9.875456	done	0.332243271	0.34002660000987817	9.875456					done	2.024685963	2.062235557998065	108.044288	done	2.024685963	2.062235557998065	108.044288					done	0.385934013	0.42472146698855795	8.306688	done	0.385934013	0.42472146698855795	8.306688					done	0.393781835	0.43139064201386645	9.867264	done	0.393781835	0.43139064201386645	9.867264												</t>
  </si>
  <si>
    <t xml:space="preserve">openpsa/ft-openpsa-200-07.xml																	done	11.080728111	11.136468167998828	8.826880	done	11.080728111	11.136468167998828	8.826880					done	11.494958578	11.675081285997294	6.995968	done	11.494958578	11.675081285997294	6.995968					done	10.952394881	10.977886216001934	8.699904	done	10.952394881	10.977886216001934	8.699904					done	12.89304479	12.962998058006633	8.818688	done	12.89304479	12.962998058006633	8.818688					done	13.077579809	13.144363643979887	6.995968	done	13.077579809	13.144363643979887	6.995968					done	12.958363911	13.036762987991096	8.695808	done	12.958363911	13.036762987991096	8.695808												</t>
  </si>
  <si>
    <t xml:space="preserve">openpsa/ft-openpsa-200-08.xml																	done	2.686154707	2.7363016619929112	116.764672	done	2.686154707	2.7363016619929112	116.764672					done	0.642487003	0.6731630499998573	6.995968	done	0.642487003	0.6731630499998573	6.995968					done	0.623253243	0.6305271749879466	9.834496	done	0.623253243	0.6305271749879466	9.834496					done	2.676052678	2.712285837973468	116.744192	done	2.676052678	2.712285837973468	116.744192					done	0.746780539	0.7875446440011729	6.995968	done	0.746780539	0.7875446440011729	6.995968					done	0.74224239	0.7782742859853897	9.744384	done	0.74224239	0.7782742859853897	9.744384												</t>
  </si>
  <si>
    <t xml:space="preserve">openpsa/ft-openpsa-200-09.xml																	done	30.183251053	30.298236131013255	7.286784	done	30.183251053	30.298236131013255	7.286784					done	30.238342552	30.36847084297915	6.598656	done	30.238342552	30.36847084297915	6.598656					done	29.726075016	29.782347757005482	6.602752	done	29.726075016	29.782347757005482	6.602752					done	34.973116782	35.098474720987724	7.356416	done	34.973116782	35.098474720987724	7.356416					done	35.598312592	35.78761425497942	6.643712	done	35.598312592	35.78761425497942	6.643712					done	35.772169886	35.917249876016285	6.598656	done	35.772169886	35.917249876016285	6.598656												</t>
  </si>
  <si>
    <t xml:space="preserve">openpsa/ft-openpsa-2000-01.xml																	OUT OF MEMORY	582.119144692	582.7252088310051	16000.000000	OUT OF MEMORY	582.119144692	582.7252088310051	16000.000000					TIMEOUT	900.396682738	901.0381322640169	30.576640	TIMEOUT	900.396682738	901.0381322640169	30.576640					TIMEOUT	900.4434215	901.0162363269919	42.700800	TIMEOUT	900.4434215	901.0162363269919	42.700800					OUT OF MEMORY	580.438163546	580.9610890090116	16000.000000	OUT OF MEMORY	580.438163546	580.9610890090116	16000.000000					TIMEOUT	900.458973154	901.0445421890181	30.457856	TIMEOUT	900.458973154	901.0445421890181	30.457856					TIMEOUT	900.257438519	901.0390934390016	42.647552	TIMEOUT	900.257438519	901.0390934390016	42.647552												</t>
  </si>
  <si>
    <t xml:space="preserve">openpsa/ft-openpsa-2000-02.xml																	OUT OF MEMORY	250.226194522	250.5174183279887	16000.000000	OUT OF MEMORY	250.226194522	250.5174183279887	16000.000000					TIMEOUT	900.720563585	901.5277713109972	8522.395648	TIMEOUT	900.720563585	901.5277713109972	8522.395648					OUT OF MEMORY	327.938047769	328.2528151639999	16000.000000	OUT OF MEMORY	327.938047769	328.2528151639999	16000.000000					OUT OF MEMORY	244.574359143	244.85483867800212	16000.000000	OUT OF MEMORY	244.574359143	244.85483867800212	16000.000000					TIMEOUT	900.718187345	901.4912954340107	8522.379264	TIMEOUT	900.718187345	901.4912954340107	8522.379264					OUT OF MEMORY	318.266007594	318.52879911501077	16000.000000	OUT OF MEMORY	318.266007594	318.52879911501077	16000.000000												</t>
  </si>
  <si>
    <t xml:space="preserve">openpsa/ft-openpsa-2000-03.xml																	OUT OF MEMORY	307.749234508	308.06941320399346	16000.000000	OUT OF MEMORY	307.749234508	308.06941320399346	16000.000000					TIMEOUT	900.691487617	901.4624037109897	7514.972160	TIMEOUT	900.691487617	901.4624037109897	7514.972160					OUT OF MEMORY	647.196809217	647.9215049129998	16000.000000	OUT OF MEMORY	647.196809217	647.9215049129998	16000.000000					OUT OF MEMORY	314.651990785	315.08791970301536	16000.000000	OUT OF MEMORY	314.651990785	315.08791970301536	16000.000000					TIMEOUT	900.803440732	901.4826258420071	7514.935296	TIMEOUT	900.803440732	901.4826258420071	7514.935296					OUT OF MEMORY	667.359824688	668.1077906370047	16000.000000	OUT OF MEMORY	667.359824688	668.1077906370047	16000.000000												</t>
  </si>
  <si>
    <t xml:space="preserve">openpsa/ft-openpsa-2000-04.xml																	OUT OF MEMORY	253.005707871	253.24168507200375	16000.000000	OUT OF MEMORY	253.005707871	253.24168507200375	16000.000000					TIMEOUT	900.778813974	901.595148168999	10078.117888	TIMEOUT	900.778813974	901.595148168999	10078.117888					OUT OF MEMORY	324.156788689	324.44591418100754	16000.000000	OUT OF MEMORY	324.156788689	324.44591418100754	16000.000000					OUT OF MEMORY	249.624262693	249.88869227899704	16000.000000	OUT OF MEMORY	249.624262693	249.88869227899704	16000.000000					TIMEOUT	901.329464723	901.9270189619856	14911.746048	TIMEOUT	901.329464723	901.9270189619856	14911.746048					OUT OF MEMORY	310.288242287	310.5546278860129	16000.000000	OUT OF MEMORY	310.288242287	310.5546278860129	16000.000000												</t>
  </si>
  <si>
    <t xml:space="preserve">openpsa/ft-openpsa-2000-05.xml																	TIMEOUT	900.208892673	901.0207839079958	17.473536	TIMEOUT	900.208892673	901.0207839079958	17.473536					TIMEOUT	900.527865408	901.0345917679952	14.856192	TIMEOUT	900.527865408	901.0345917679952	14.856192					TIMEOUT	900.476541821	901.0123893669952	15.286272	TIMEOUT	900.476541821	901.0123893669952	15.286272					TIMEOUT	900.475657012	901.0334751470073	17.539072	TIMEOUT	900.475657012	901.0334751470073	17.539072					TIMEOUT	900.6306736	901.0390045800013	14.635008	TIMEOUT	900.6306736	901.0390045800013	14.635008					TIMEOUT	900.598438312	901.0398431940121	15.380480	TIMEOUT	900.598438312	901.0398431940121	15.380480												</t>
  </si>
  <si>
    <t xml:space="preserve">openpsa/ft-openpsa-2000-06.xml																	OUT OF MEMORY	298.225833752	298.4829011230031	16000.000000	OUT OF MEMORY	298.225833752	298.4829011230031	16000.000000					TIMEOUT	901.35828433	902.0076439289842	14905.667584	TIMEOUT	901.35828433	902.0076439289842	14905.667584					OUT OF MEMORY	519.285868673	519.752649483009	16000.000000	OUT OF MEMORY	519.285868673	519.752649483009	16000.000000					OUT OF MEMORY	314.245178164	314.57242481200956	16000.000000	OUT OF MEMORY	314.245178164	314.57242481200956	16000.000000					TIMEOUT	900.987800758	901.8647365049983	14905.683968	TIMEOUT	900.987800758	901.8647365049983	14905.683968					OUT OF MEMORY	495.253553262	495.5810073989851	16000.000000	OUT OF MEMORY	495.253553262	495.5810073989851	16000.000000												</t>
  </si>
  <si>
    <t xml:space="preserve">openpsa/ft-openpsa-2000-07.xml																	OUT OF MEMORY	258.831804743	259.1022387999983	16000.000000	OUT OF MEMORY	258.831804743	259.1022387999983	16000.000000					TIMEOUT	900.962419233	901.556862427009	8621.174784	TIMEOUT	900.962419233	901.556862427009	8621.174784					OUT OF MEMORY	242.468595765	242.73552612900676	16000.000000	OUT OF MEMORY	242.468595765	242.73552612900676	16000.000000					OUT OF MEMORY	260.581331757	260.87826954099	16000.000000	OUT OF MEMORY	260.581331757	260.87826954099	16000.000000					TIMEOUT	900.742410496	901.5386055519921	8621.215744	TIMEOUT	900.742410496	901.5386055519921	8621.215744					OUT OF MEMORY	233.588615465	233.7884289789945	16000.000000	OUT OF MEMORY	233.588615465	233.7884289789945	16000.000000												</t>
  </si>
  <si>
    <t xml:space="preserve">openpsa/ft-openpsa-2000-08.xml																	OUT OF MEMORY	284.638508555	284.95059929499985	16000.000000	OUT OF MEMORY	284.638508555	284.95059929499985	16000.000000					OUT OF MEMORY	854.151141098	854.8064316459931	16000.000000	OUT OF MEMORY	854.151141098	854.8064316459931	16000.000000					OUT OF MEMORY	340.526669384	340.8044508220046	16000.000000	OUT OF MEMORY	340.526669384	340.8044508220046	16000.000000					OUT OF MEMORY	275.572706381	275.89137980598025	16000.000000	OUT OF MEMORY	275.572706381	275.89137980598025	16000.000000					OUT OF MEMORY	871.359000703	872.23786564701	16000.000000	OUT OF MEMORY	871.359000703	872.23786564701	16000.000000					OUT OF MEMORY	347.331633687	347.70050631297636	16000.000000	OUT OF MEMORY	347.331633687	347.70050631297636	16000.000000												</t>
  </si>
  <si>
    <t xml:space="preserve">openpsa/ft-openpsa-2000-09.xml																	OUT OF MEMORY	616.232022737	616.7516193039919	16000.000000	OUT OF MEMORY	616.232022737	616.7516193039919	16000.000000					TIMEOUT	900.985764585	901.7957922650094	14945.570816	TIMEOUT	900.985764585	901.7957922650094	14945.570816					OUT OF MEMORY	344.795979	345.0417364159948	16000.000000	OUT OF MEMORY	344.795979	345.0417364159948	16000.000000					OUT OF MEMORY	579.441817605	579.8694162449974	16000.000000	OUT OF MEMORY	579.441817605	579.8694162449974	16000.000000					TIMEOUT	901.000313914	901.8041555470263	14943.694848	TIMEOUT	901.000313914	901.8041555470263	14943.694848					OUT OF MEMORY	360.179487101	360.541799129016	16000.000000	OUT OF MEMORY	360.179487101	360.541799129016	16000.000000												</t>
  </si>
  <si>
    <t xml:space="preserve">openpsa/ft-openpsa-300-01.xml																	done	83.279414694	83.4927210349997	8.921088	done	83.279414694	83.4927210349997	8.921088					done	81.983689046	82.18318249800359	7.413760	done	81.983689046	82.18318249800359	7.413760					done	86.04505286	86.26213052099047	7.647232	done	86.04505286	86.26213052099047	7.647232					done	97.869962162	98.10541029198794	8.921088	done	97.869962162	98.10541029198794	8.921088					done	98.121022095	98.39899383398006	7.458816	done	98.121022095	98.39899383398006	7.458816					done	101.288234077	101.82454567099921	7.651328	done	101.288234077	101.82454567099921	7.651328												</t>
  </si>
  <si>
    <t xml:space="preserve">openpsa/ft-openpsa-300-02.xml																	done	0.611421259	0.6320916169934208	7.778304	done	0.611421259	0.6320916169934208	7.778304					done	0.660974733	0.7674856199882925	7.127040	done	0.660974733	0.7674856199882925	7.127040					done	0.63072812	0.6410219409881392	7.077888	done	0.63072812	0.6410219409881392	7.077888					done	0.719756149	0.7534922680060845	7.708672	done	0.719756149	0.7534922680060845	7.708672					done	0.713643704	0.7519935670134146	7.127040	done	0.713643704	0.7519935670134146	7.127040					done	0.729909162	0.7630656060064211	7.135232	done	0.729909162	0.7630656060064211	7.135232												</t>
  </si>
  <si>
    <t xml:space="preserve">openpsa/ft-openpsa-300-03.xml																	done	51.445992831	51.579637810005806	9.756672	done	51.445992831	51.579637810005806	9.756672					done	50.498181666	50.72767938300967	7.127040	done	50.498181666	50.72767938300967	7.127040					done	53.135403948	53.291354266999406	7.442432	done	53.135403948	53.291354266999406	7.442432					done	60.492957059	60.77130445599323	9.650176	done	60.492957059	60.77130445599323	9.650176					done	58.751759881	59.019304720975924	7.270400	done	58.751759881	59.019304720975924	7.270400					done	62.21109936	62.4822275369952	7.348224	done	62.21109936	62.4822275369952	7.348224												</t>
  </si>
  <si>
    <t xml:space="preserve">openpsa/ft-openpsa-300-04.xml																	done	9.385376148	9.42390842900204	18.145280	done	9.385376148	9.42390842900204	18.145280					done	9.454432874	9.504133406007895	7.778304	done	9.454432874	9.504133406007895	7.778304					done	9.372983685	9.468307924005785	7.647232	done	9.372983685	9.468307924005785	7.647232					done	10.85593667	11.391247723979177	18.137088	done	10.85593667	11.391247723979177	18.137088					done	11.095838485	11.300922963011544	7.782400	done	11.095838485	11.300922963011544	7.782400					done	11.784253142	11.857663622999098	7.909376	done	11.784253142	11.857663622999098	7.909376												</t>
  </si>
  <si>
    <t xml:space="preserve">openpsa/ft-openpsa-300-05.xml																	done	195.165573528	195.6492755109939	17.920000	done	195.165573528	195.6492755109939	17.920000					done	187.11552868	187.68283126701135	7.389184	done	187.11552868	187.68283126701135	7.389184					done	194.689351929	195.15502457800903	7.733248	done	194.689351929	195.15502457800903	7.733248					done	218.846721977	219.57497814900125	17.739776	done	218.846721977	219.57497814900125	17.739776					done	219.579885003	220.1074718000018	7.430144	done	219.579885003	220.1074718000018	7.430144					done	224.095131172	224.76712505499017	7.647232	done	224.095131172	224.76712505499017	7.647232												</t>
  </si>
  <si>
    <t xml:space="preserve">openpsa/ft-openpsa-300-06.xml																	done	33.340771598	33.4578343739995	9.850880	done	33.340771598	33.4578343739995	9.850880					done	33.635519275	33.72810346199549	7.520256	done	33.635519275	33.72810346199549	7.520256					done	36.753642447	36.86736484899302	7.614464	done	36.753642447	36.86736484899302	7.614464					done	39.990834283	40.146518248016946	9.744384	done	39.990834283	40.146518248016946	9.744384					done	38.3830268	38.553274715988664	7.499776	done	38.3830268	38.553274715988664	7.499776					done	41.355713904	41.47114938599407	7.708672	done	41.355713904	41.47114938599407	7.708672												</t>
  </si>
  <si>
    <t xml:space="preserve">openpsa/ft-openpsa-300-07.xml																	TIMEOUT	901.595221838	903.0603005549929	9172.860928	TIMEOUT	901.595221838	903.0603005549929	9172.860928					TIMEOUT	901.009786045	902.3507292850118	84.197376	TIMEOUT	901.009786045	902.3507292850118	84.197376					TIMEOUT	901.021326292	902.8159870039963	338.874368	TIMEOUT	901.021326292	902.8159870039963	338.874368					TIMEOUT	901.615107366	903.5157613100018	9172.881408	TIMEOUT	901.615107366	903.5157613100018	9172.881408					TIMEOUT	900.064075565	901.0474847280129	84.119552	TIMEOUT	900.064075565	901.0474847280129	84.119552					TIMEOUT	901.037127983	902.4116730930109	338.931712	TIMEOUT	901.037127983	902.4116730930109	338.931712												</t>
  </si>
  <si>
    <t xml:space="preserve">openpsa/ft-openpsa-300-08.xml																	done	23.864244009	24.013460100002703	7.151616	done	23.864244009	24.013460100002703	7.151616					done	23.99147309	24.156055264000315	6.995968	done	23.99147309	24.156055264000315	6.995968					done	24.774051715	24.926750853992417	7.081984	done	24.774051715	24.926750853992417	7.081984					done	28.092711955	28.246062738995533	7.069696	done	28.092711955	28.246062738995533	7.069696					done	27.018760514	27.11648419999983	7.004160	done	27.018760514	27.11648419999983	7.004160					done	29.181718298	29.27777702899766	6.991872	done	29.181718298	29.27777702899766	6.991872												</t>
  </si>
  <si>
    <t xml:space="preserve">openpsa/ft-openpsa-300-09.xml																	TIMEOUT	900.402434847	901.0446809679997	80.928768	TIMEOUT	900.402434847	901.0446809679997	80.928768					TIMEOUT	900.358056494	901.0458163120202	13.860864	TIMEOUT	900.358056494	901.0458163120202	13.860864					TIMEOUT	900.294088165	901.0267792390077	22.589440	TIMEOUT	900.294088165	901.0267792390077	22.589440					TIMEOUT	900.583227423	901.0565977290098	80.785408	TIMEOUT	900.583227423	901.0565977290098	80.785408					TIMEOUT	900.558862279	901.0426695699862	13.811712	TIMEOUT	900.558862279	901.0426695699862	13.811712					TIMEOUT	900.638983625	901.0532725999947	22.589440	TIMEOUT	900.638983625	901.0532725999947	22.589440												</t>
  </si>
  <si>
    <t xml:space="preserve">openpsa/ft-openpsa-3000-01.xml																	OUT OF MEMORY	268.305290438	268.49961593499756	16000.000000	OUT OF MEMORY	268.305290438	268.49961593499756	16000.000000					TIMEOUT	901.272753743	901.8221829069953	15003.136000	TIMEOUT	901.272753743	901.8221829069953	15003.136000					OUT OF MEMORY	635.650509126	636.2297556299891	16000.000000	OUT OF MEMORY	635.650509126	636.2297556299891	16000.000000					OUT OF MEMORY	276.798249849	277.1634922650119	16000.000000	OUT OF MEMORY	276.798249849	277.1634922650119	16000.000000					TIMEOUT	901.195184812	901.8009649349842	15003.078656	TIMEOUT	901.195184812	901.8009649349842	15003.078656					OUT OF MEMORY	625.670235801	626.2814106470032	16000.000000	OUT OF MEMORY	625.670235801	626.2814106470032	16000.000000												</t>
  </si>
  <si>
    <t xml:space="preserve">openpsa/ft-openpsa-3000-02.xml																	OUT OF MEMORY	285.419841094	285.7065986489906	16000.000000	OUT OF MEMORY	285.419841094	285.7065986489906	16000.000000					TIMEOUT	900.874257764	901.599319084984	10301.800448	TIMEOUT	900.874257764	901.599319084984	10301.800448					OUT OF MEMORY	277.965724367	278.23262265599624	16000.000000	OUT OF MEMORY	277.965724367	278.23262265599624	16000.000000					OUT OF MEMORY	283.469688458	283.7899591139867	16000.000000	OUT OF MEMORY	283.469688458	283.7899591139867	16000.000000					TIMEOUT	901.102896179	901.7102613759926	10300.735488	TIMEOUT	901.102896179	901.7102613759926	10300.735488					OUT OF MEMORY	274.973767603	275.25364958299906	16000.000000	OUT OF MEMORY	274.973767603	275.25364958299906	16000.000000												</t>
  </si>
  <si>
    <t xml:space="preserve">openpsa/ft-openpsa-3000-03.xml																	OUT OF MEMORY	240.517608683	240.75687623699196	16000.000000	OUT OF MEMORY	240.517608683	240.75687623699196	16000.000000					TIMEOUT	901.350013042	901.9536680290184	14927.753216	TIMEOUT	901.350013042	901.9536680290184	14927.753216					OUT OF MEMORY	352.779317133	353.00448808199144	16000.000000	OUT OF MEMORY	352.779317133	353.00448808199144	16000.000000					OUT OF MEMORY	240.798824199	241.0243818250019	16000.000000	OUT OF MEMORY	240.798824199	241.0243818250019	16000.000000					TIMEOUT	900.736014346	901.6606606899877	10185.461760	TIMEOUT	900.736014346	901.6606606899877	10185.461760					OUT OF MEMORY	378.66010631	379.0257598750177	16000.000000	OUT OF MEMORY	378.66010631	379.0257598750177	16000.000000												</t>
  </si>
  <si>
    <t xml:space="preserve">openpsa/ft-openpsa-3000-04.xml																	OUT OF MEMORY	258.530098542	258.8116579919879	16000.000000	OUT OF MEMORY	258.530098542	258.8116579919879	16000.000000					OUT OF MEMORY	745.365827768	745.9848206699826	16000.000000	OUT OF MEMORY	745.365827768	745.9848206699826	16000.000000					OUT OF MEMORY	240.895198806	241.14391566799895	16000.000000	OUT OF MEMORY	240.895198806	241.14391566799895	16000.000000					OUT OF MEMORY	269.476977364	269.8171206450206	16000.000000	OUT OF MEMORY	269.476977364	269.8171206450206	16000.000000					OUT OF MEMORY	743.218412409	743.921421320003	16000.000000	OUT OF MEMORY	743.218412409	743.921421320003	16000.000000					OUT OF MEMORY	224.295834139	224.5667965929897	16000.000000	OUT OF MEMORY	224.295834139	224.5667965929897	16000.000000												</t>
  </si>
  <si>
    <t xml:space="preserve">openpsa/ft-openpsa-3000-05.xml																	OUT OF MEMORY	336.679327318	336.9681097749999	16000.000000	OUT OF MEMORY	336.679327318	336.9681097749999	16000.000000					OUT OF MEMORY	789.401686933	790.107932340994	16000.000000	OUT OF MEMORY	789.401686933	790.107932340994	16000.000000					OUT OF MEMORY	325.128043684	325.5078323159978	16000.000000	OUT OF MEMORY	325.128043684	325.5078323159978	16000.000000					OUT OF MEMORY	337.816995793	338.1306412630074	16000.000000	OUT OF MEMORY	337.816995793	338.1306412630074	16000.000000					OUT OF MEMORY	786.881961696	787.672773814993	16000.000000	OUT OF MEMORY	786.881961696	787.672773814993	16000.000000					OUT OF MEMORY	317.850883652	318.15921674098354	16000.000000	OUT OF MEMORY	317.850883652	318.15921674098354	16000.000000												</t>
  </si>
  <si>
    <t xml:space="preserve">openpsa/ft-openpsa-3000-06.xml																	OUT OF MEMORY	271.622052073	271.9600495920022	16000.000000	OUT OF MEMORY	271.622052073	271.9600495920022	16000.000000					TIMEOUT	900.945123504	901.767567072995	14924.300288	TIMEOUT	900.945123504	901.767567072995	14924.300288					OUT OF MEMORY	454.38299967	454.83707107100054	16000.000000	OUT OF MEMORY	454.38299967	454.83707107100054	16000.000000					OUT OF MEMORY	267.942629275	268.195778763009	16000.000000	OUT OF MEMORY	267.942629275	268.195778763009	16000.000000					TIMEOUT	901.008451114	901.769854934013	14924.554240	TIMEOUT	901.008451114	901.769854934013	14924.554240					OUT OF MEMORY	458.920008741	459.2861450679775	16000.000000	OUT OF MEMORY	458.920008741	459.2861450679775	16000.000000												</t>
  </si>
  <si>
    <t xml:space="preserve">openpsa/ft-openpsa-3000-07.xml																	OUT OF MEMORY	343.048001035	343.41577640600735	16000.000000	OUT OF MEMORY	343.048001035	343.41577640600735	16000.000000					TIMEOUT	900.717006335	901.6462120159995	8135.417856	TIMEOUT	900.717006335	901.6462120159995	8135.417856					OUT OF MEMORY	258.568951111	258.8202549599955	16000.000000	OUT OF MEMORY	258.568951111	258.8202549599955	16000.000000					OUT OF MEMORY	343.370222034	343.65253428698634	16000.000000	OUT OF MEMORY	343.370222034	343.65253428698634	16000.000000					TIMEOUT	900.916348806	901.5430520049995	8135.340032	TIMEOUT	900.916348806	901.5430520049995	8135.340032					OUT OF MEMORY	253.841023331	254.16259402100695	16000.000000	OUT OF MEMORY	253.841023331	254.16259402100695	16000.000000												</t>
  </si>
  <si>
    <t xml:space="preserve">openpsa/ft-openpsa-3000-08.xml																	OUT OF MEMORY	327.595443877	327.8789289649867	16000.000000	OUT OF MEMORY	327.595443877	327.8789289649867	16000.000000					TIMEOUT	901.158509512	901.9383947439783	14971.269120	TIMEOUT	901.158509512	901.9383947439783	14971.269120					OUT OF MEMORY	317.127802235	317.4636461560003	16000.000000	OUT OF MEMORY	317.127802235	317.4636461560003	16000.000000					OUT OF MEMORY	328.443291294	328.74410800798796	16000.000000	OUT OF MEMORY	328.443291294	328.74410800798796	16000.000000					TIMEOUT	900.960216056	901.8006737779942	14971.211776	TIMEOUT	900.960216056	901.8006737779942	14971.211776					OUT OF MEMORY	314.916156637	315.233810611011	16000.000000	OUT OF MEMORY	314.916156637	315.233810611011	16000.000000												</t>
  </si>
  <si>
    <t xml:space="preserve">openpsa/ft-openpsa-3000-09.xml																	OUT OF MEMORY	307.561993196	307.86389353699633	16000.000000	OUT OF MEMORY	307.561993196	307.86389353699633	16000.000000					OUT OF MEMORY	690.482072858	691.1884282329993	16000.000000	OUT OF MEMORY	690.482072858	691.1884282329993	16000.000000					OUT OF MEMORY	337.073463672	337.32936606099247	16000.000000	OUT OF MEMORY	337.073463672	337.32936606099247	16000.000000					OUT OF MEMORY	304.292226776	304.6669146960194	16000.000000	OUT OF MEMORY	304.292226776	304.6669146960194	16000.000000					OUT OF MEMORY	684.755951672	685.2971396030043	16000.000000	OUT OF MEMORY	684.755951672	685.2971396030043	16000.000000					OUT OF MEMORY	341.887981875	342.1895987869939	16000.000000	OUT OF MEMORY	341.887981875	342.1895987869939	16000.000000												</t>
  </si>
  <si>
    <t xml:space="preserve">openpsa/ft-openpsa-400-01.xml																	done	531.099381	532.5837524610106	8.704000	done	531.099381	532.5837524610106	8.704000					done	495.494850542	496.8297374770045	7.790592	done	495.494850542	496.8297374770045	7.790592					done	519.667270382	520.9853916510037	7.962624	done	519.667270382	520.9853916510037	7.962624					done	588.201497315	589.9906110760057	8.695808	done	588.201497315	589.9906110760057	8.695808					done	581.839656572	582.9202364500088	7.913472	done	581.839656572	582.9202364500088	7.913472					done	579.471194744	580.9942393469973	8.036352	done	579.471194744	580.9942393469973	8.036352												</t>
  </si>
  <si>
    <t xml:space="preserve">openpsa/ft-openpsa-400-02.xml																	done	16.520134166	16.570460982999066	7.651328	done	16.520134166	16.570460982999066	7.651328					done	15.713020141	15.828188548999606	7.389184	done	15.713020141	15.828188548999606	7.389184					done	16.874716408	16.920292620998225	7.368704	done	16.874716408	16.920292620998225	7.368704					done	18.724334728	18.8735452160181	7.536640	done	18.724334728	18.8735452160181	7.536640					done	18.937684114	19.00931349399616	7.327744	done	18.937684114	19.00931349399616	7.327744					done	18.884020981	19.01061886700336	7.262208	done	18.884020981	19.01061886700336	7.262208												</t>
  </si>
  <si>
    <t xml:space="preserve">openpsa/ft-openpsa-400-03.xml																	TIMEOUT	901.000913093	903.1542493320012	12.111872	TIMEOUT	901.000913093	903.1542493320012	12.111872					TIMEOUT	901.00249526	902.9522485619818	8.081408	TIMEOUT	901.00249526	902.9522485619818	8.081408					TIMEOUT	901.001653674	902.8837443499942	8.290304	TIMEOUT	901.001653674	902.8837443499942	8.290304					TIMEOUT	901.004446974	902.2406188310124	11.976704	TIMEOUT	901.004446974	902.2406188310124	11.976704					TIMEOUT	900.506458314	901.0394157220144	8.060928	TIMEOUT	900.506458314	901.0394157220144	8.060928					TIMEOUT	900.269284597	901.0347220860131	8.253440	TIMEOUT	900.269284597	901.0347220860131	8.253440												</t>
  </si>
  <si>
    <t xml:space="preserve">openpsa/ft-openpsa-400-04.xml																	done	6.405219808	6.458035381001537	26.783744	done	6.405219808	6.458035381001537	26.783744					done	5.912698638	5.959791788016446	7.798784	done	5.912698638	5.959791788016446	7.798784					done	6.118067304	6.143320493007195	7.987200	done	6.118067304	6.143320493007195	7.987200					done	7.10433247	7.14625830098521	26.923008	done	7.10433247	7.14625830098521	26.923008					done	7.654047813	7.699536630010698	7.782400	done	7.654047813	7.699536630010698	7.782400					done	7.091296793	7.135921868000878	8.040448	done	7.091296793	7.135921868000878	8.040448												</t>
  </si>
  <si>
    <t xml:space="preserve">openpsa/ft-openpsa-400-05.xml																	TIMEOUT	900.486075693	901.0419186399959	7.655424	TIMEOUT	900.486075693	901.0419186399959	7.655424					TIMEOUT	900.69668399	901.044275510998	7.430144	TIMEOUT	900.69668399	901.044275510998	7.430144					TIMEOUT	900.580347747	901.0385282780044	7.385088	TIMEOUT	900.580347747	901.0385282780044	7.385088					TIMEOUT	900.387263703	901.0453951509844	7.704576	TIMEOUT	900.387263703	901.0453951509844	7.704576					TIMEOUT	900.741932185	901.0412573810027	7.340032	TIMEOUT	900.741932185	901.0412573810027	7.340032					TIMEOUT	900.377905	901.0348453260085	7.389184	TIMEOUT	900.377905	901.0348453260085	7.389184												</t>
  </si>
  <si>
    <t xml:space="preserve">openpsa/ft-openpsa-400-06.xml																	TIMEOUT	901.023988019	903.4175683359936	159.428608	TIMEOUT	901.023988019	903.4175683359936	159.428608					TIMEOUT	901.017817057	903.1386013249867	8.179712	TIMEOUT	901.017817057	903.1386013249867	8.179712					TIMEOUT	901.008161681	903.1403160339978	8.146944	TIMEOUT	901.008161681	903.1403160339978	8.146944					TIMEOUT	901.016944261	902.8389254109934	159.428608	TIMEOUT	901.016944261	902.8389254109934	159.428608					TIMEOUT	901.000575887	902.9535767270136	8.200192	TIMEOUT	901.000575887	902.9535767270136	8.200192					TIMEOUT	901.000745855	902.5799480709829	8.306688	TIMEOUT	901.000745855	902.5799480709829	8.306688												</t>
  </si>
  <si>
    <t xml:space="preserve">openpsa/ft-openpsa-400-07.xml																	TIMEOUT	900.645508335	901.0873595930025	312.619008	TIMEOUT	900.645508335	901.0873595930025	312.619008					TIMEOUT	900.557361403	901.0742650949978	8.265728	TIMEOUT	900.557361403	901.0742650949978	8.265728					TIMEOUT	900.266130515	901.0230908499943	8.716288	TIMEOUT	900.266130515	901.0230908499943	8.716288					TIMEOUT	900.449101261	901.0706413979933	312.524800	TIMEOUT	900.449101261	901.0706413979933	312.524800					TIMEOUT	900.691655915	901.057158080017	8.400896	TIMEOUT	900.691655915	901.057158080017	8.400896					TIMEOUT	900.511900149	901.0550081350084	8.708096	TIMEOUT	900.511900149	901.0550081350084	8.708096												</t>
  </si>
  <si>
    <t xml:space="preserve">openpsa/ft-openpsa-400-08.xml																	done	95.021565521	95.39671313599683	7.622656	done	95.021565521	95.39671313599683	7.622656					done	92.518179184	92.83252416100004	7.516160	done	92.518179184	92.83252416100004	7.516160					done	99.754856746	100.22512954600097	7.573504	done	99.754856746	100.22512954600097	7.573504					done	101.949352749	102.23735844899784	7.520256	done	101.949352749	102.23735844899784	7.520256					done	104.875892791	105.10933239001315	7.516160	done	104.875892791	105.10933239001315	7.516160					done	103.669575352	104.07037618898903	7.467008	done	103.669575352	104.07037618898903	7.467008												</t>
  </si>
  <si>
    <t xml:space="preserve">openpsa/ft-openpsa-400-09.xml																	TIMEOUT	901.05666572	902.2021133509988	123.461632	TIMEOUT	901.05666572	902.2021133509988	123.461632					TIMEOUT	900.212564466	901.0356648480229	7.995392	TIMEOUT	900.212564466	901.0356648480229	7.995392					TIMEOUT	901.020165922	902.1158381999994	8.077312	TIMEOUT	901.020165922	902.1158381999994	8.077312					TIMEOUT	900.368425546	901.0923426350055	123.379712	TIMEOUT	900.368425546	901.0923426350055	123.379712					TIMEOUT	900.422060324	901.0419951420045	7.913472	TIMEOUT	900.422060324	901.0419951420045	7.913472					TIMEOUT	900.612497085	901.0962514469866	7.917568	TIMEOUT	900.612497085	901.0962514469866	7.917568												</t>
  </si>
  <si>
    <t xml:space="preserve">openpsa/ft-openpsa-4000-01.xml																	OUT OF MEMORY	244.306569885	244.59493638800632	16000.000000	OUT OF MEMORY	244.306569885	244.59493638800632	16000.000000					TIMEOUT	900.978350987	901.5878770140116	9249.419264	TIMEOUT	900.978350987	901.5878770140116	9249.419264					OUT OF MEMORY	635.579529579	636.3971167639975	16000.000000	OUT OF MEMORY	635.579529579	636.3971167639975	16000.000000					OUT OF MEMORY	234.739752428	235.0115810749994	16000.000000	OUT OF MEMORY	234.739752428	235.0115810749994	16000.000000					TIMEOUT	900.796229584	901.4626537960139	7410.061312	TIMEOUT	900.796229584	901.4626537960139	7410.061312					OUT OF MEMORY	643.863641164	644.4592332240136	16000.000000	OUT OF MEMORY	643.863641164	644.4592332240136	16000.000000												</t>
  </si>
  <si>
    <t xml:space="preserve">openpsa/ft-openpsa-4000-02.xml																	OUT OF MEMORY	248.756620811	248.9635373679921	16000.000000	OUT OF MEMORY	248.756620811	248.9635373679921	16000.000000					TIMEOUT	901.242405648	901.9177287130151	14961.659904	TIMEOUT	901.242405648	901.9177287130151	14961.659904					OUT OF MEMORY	665.876719946	666.3541228309914	16000.000000	OUT OF MEMORY	665.876719946	666.3541228309914	16000.000000					OUT OF MEMORY	248.368496418	248.7180306490045	16000.000000	OUT OF MEMORY	248.368496418	248.7180306490045	16000.000000					TIMEOUT	901.203827622	901.888065962994	14961.782784	TIMEOUT	901.203827622	901.888065962994	14961.782784					OUT OF MEMORY	687.99533257	688.5919104969944	16000.000000	OUT OF MEMORY	687.99533257	688.5919104969944	16000.000000												</t>
  </si>
  <si>
    <t xml:space="preserve">openpsa/ft-openpsa-4000-03.xml																	OUT OF MEMORY	371.010303856	371.4429818819917	16000.000000	OUT OF MEMORY	371.010303856	371.4429818819917	16000.000000					TIMEOUT	901.062327169	901.8118272440042	14905.950208	TIMEOUT	901.062327169	901.8118272440042	14905.950208					OUT OF MEMORY	354.311755406	354.6205969750008	16000.000000	OUT OF MEMORY	354.311755406	354.6205969750008	16000.000000					OUT OF MEMORY	371.588498561	371.98297135700705	16000.000000	OUT OF MEMORY	371.588498561	371.98297135700705	16000.000000					TIMEOUT	901.019399756	901.7792610529868	14905.962496	TIMEOUT	901.019399756	901.7792610529868	14905.962496					OUT OF MEMORY	337.495777773	337.7797503460024	16000.000000	OUT OF MEMORY	337.495777773	337.7797503460024	16000.000000												</t>
  </si>
  <si>
    <t xml:space="preserve">openpsa/ft-openpsa-4000-04.xml																	OUT OF MEMORY	556.332110156	556.8972348840034	16000.000000	OUT OF MEMORY	556.332110156	556.8972348840034	16000.000000					TIMEOUT	900.945399992	901.6355588419829	10020.503552	TIMEOUT	900.945399992	901.6355588419829	10020.503552					TIMEOUT	901.029022354	901.6873352459952	12243.886080	TIMEOUT	901.029022354	901.6873352459952	12243.886080					OUT OF MEMORY	552.379682637	552.8527037589811	16000.000000	OUT OF MEMORY	552.379682637	552.8527037589811	16000.000000					TIMEOUT	900.941777099	901.6886932850175	10020.491264	TIMEOUT	900.941777099	901.6886932850175	10020.491264					TIMEOUT	901.150804305	901.7601591420243	12243.918848	TIMEOUT	901.150804305	901.7601591420243	12243.918848												</t>
  </si>
  <si>
    <t xml:space="preserve">openpsa/ft-openpsa-4000-05.xml																	OUT OF MEMORY	244.108002482	244.32182600500528	16000.000000	OUT OF MEMORY	244.108002482	244.32182600500528	16000.000000					TIMEOUT	900.807012422	901.6081421650015	9184.874496	TIMEOUT	900.807012422	901.6081421650015	9184.874496					OUT OF MEMORY	339.424843811	339.775086751004	16000.000000	OUT OF MEMORY	339.424843811	339.775086751004	16000.000000					OUT OF MEMORY	243.157796955	243.3866052669764	16000.000000	OUT OF MEMORY	243.157796955	243.3866052669764	16000.000000					TIMEOUT	900.873424294	901.6072118129814	9184.808960	TIMEOUT	900.873424294	901.6072118129814	9184.808960					OUT OF MEMORY	315.044307135	315.3841721530189	16000.000000	OUT OF MEMORY	315.044307135	315.3841721530189	16000.000000												</t>
  </si>
  <si>
    <t xml:space="preserve">openpsa/ft-openpsa-4000-06.xml																	OUT OF MEMORY	375.891391601	376.35230451700045	16000.000000	OUT OF MEMORY	375.891391601	376.35230451700045	16000.000000					TIMEOUT	901.069283179	901.8344769039832	15057.223680	TIMEOUT	901.069283179	901.8344769039832	15057.223680					TIMEOUT	901.155313806	901.8880465629918	15404.322816	TIMEOUT	901.155313806	901.8880465629918	15404.322816					OUT OF MEMORY	357.000224686	357.2879198549781	16000.000000	OUT OF MEMORY	357.000224686	357.2879198549781	16000.000000					TIMEOUT	901.050779696	901.857290970016	15258.398720	TIMEOUT	901.050779696	901.857290970016	15258.398720					TIMEOUT	901.298693647	901.9708797440107	15414.505472	TIMEOUT	901.298693647	901.9708797440107	15414.505472												</t>
  </si>
  <si>
    <t xml:space="preserve">openpsa/ft-openpsa-4000-07.xml																	OUT OF MEMORY	232.778568322	233.0089011099917	16000.000000	OUT OF MEMORY	232.778568322	233.0089011099917	16000.000000					TIMEOUT	900.866741535	901.4511761770118	7444.410368	TIMEOUT	900.866741535	901.4511761770118	7444.410368					OUT OF MEMORY	332.640821707	333.0617963679979	16000.000000	OUT OF MEMORY	332.640821707	333.0617963679979	16000.000000					OUT OF MEMORY	231.616170448	231.92387970897835	16000.000000	OUT OF MEMORY	231.616170448	231.92387970897835	16000.000000					TIMEOUT	900.678260234	901.4580454679963	7444.398080	TIMEOUT	900.678260234	901.4580454679963	7444.398080					OUT OF MEMORY	333.385470476	333.77667630600627	16000.000000	OUT OF MEMORY	333.385470476	333.77667630600627	16000.000000												</t>
  </si>
  <si>
    <t xml:space="preserve">openpsa/ft-openpsa-4000-08.xml																	OUT OF MEMORY	268.283408333	268.5423368519987	16000.000000	OUT OF MEMORY	268.283408333	268.5423368519987	16000.000000					TIMEOUT	900.968949859	901.6371281509928	9544.650752	TIMEOUT	900.968949859	901.6371281509928	9544.650752					OUT OF MEMORY	335.867283178	336.1613902100071	16000.000000	OUT OF MEMORY	335.867283178	336.1613902100071	16000.000000					OUT OF MEMORY	259.16878341	259.48576918200706	16000.000000	OUT OF MEMORY	259.16878341	259.48576918200706	16000.000000					TIMEOUT	901.052555657	901.6180181690142	9544.695808	TIMEOUT	901.052555657	901.6180181690142	9544.695808					OUT OF MEMORY	321.052836049	321.41491825398407	16000.000000	OUT OF MEMORY	321.052836049	321.41491825398407	16000.000000												</t>
  </si>
  <si>
    <t xml:space="preserve">openpsa/ft-openpsa-4000-09.xml																	OUT OF MEMORY	262.411734568	262.68587508398923	16000.000000	OUT OF MEMORY	262.411734568	262.68587508398923	16000.000000					TIMEOUT	900.968613016	901.5102807660005	7422.001152	TIMEOUT	900.968613016	901.5102807660005	7422.001152					OUT OF MEMORY	362.799107529	363.1574451829947	16000.000000	OUT OF MEMORY	362.799107529	363.1574451829947	16000.000000					OUT OF MEMORY	243.769713737	244.09327401701012	16000.000000	OUT OF MEMORY	243.769713737	244.09327401701012	16000.000000					TIMEOUT	900.954531545	901.4937552309711	7422.029824	TIMEOUT	900.954531545	901.4937552309711	7422.029824					OUT OF MEMORY	363.760300834	364.1545587120054	16000.000000	OUT OF MEMORY	363.760300834	364.1545587120054	16000.000000												</t>
  </si>
  <si>
    <t xml:space="preserve">openpsa/ft-openpsa-500-01.xml																	TIMEOUT	900.726450732	901.0816244400048	114.872320	TIMEOUT	900.726450732	901.0816244400048	114.872320					TIMEOUT	900.634788548	901.0344978249923	33.079296	TIMEOUT	900.634788548	901.0344978249923	33.079296					TIMEOUT	900.420991154	901.0777385339898	117.227520	TIMEOUT	900.420991154	901.0777385339898	117.227520					TIMEOUT	900.707405313	901.0901858459983	114.737152	TIMEOUT	900.707405313	901.0901858459983	114.737152					TIMEOUT	900.626014427	901.041444152972	34.082816	TIMEOUT	900.626014427	901.041444152972	34.082816					TIMEOUT	900.714845353	901.0492797479965	118.145024	TIMEOUT	900.714845353	901.0492797479965	118.145024												</t>
  </si>
  <si>
    <t xml:space="preserve">openpsa/ft-openpsa-500-02.xml																	OUT OF MEMORY	302.598330377	302.84826091700234	16000.000000	OUT OF MEMORY	302.598330377	302.84826091700234	16000.000000					TIMEOUT	900.627090328	901.0372176530072	66.772992	TIMEOUT	900.627090328	901.0372176530072	66.772992					TIMEOUT	900.800658455	901.0957380580076	129.474560	TIMEOUT	900.800658455	901.0957380580076	129.474560					OUT OF MEMORY	284.236968637	284.65762451099	16000.000000	OUT OF MEMORY	284.236968637	284.65762451099	16000.000000					TIMEOUT	900.581791217	901.0489675080171	66.756608	TIMEOUT	900.581791217	901.0489675080171	66.756608					TIMEOUT	900.750664945	901.0527102070046	129.417216	TIMEOUT	900.750664945	901.0527102070046	129.417216												</t>
  </si>
  <si>
    <t xml:space="preserve">openpsa/ft-openpsa-500-03.xml																	OUT OF MEMORY	491.113214648	491.517504827003	16000.000000	OUT OF MEMORY	491.113214648	491.517504827003	16000.000000					TIMEOUT	900.78452886	901.2784683119971	3886.202880	TIMEOUT	900.78452886	901.2784683119971	3886.202880					OUT OF MEMORY	309.633935718	309.93997580000723	16000.000000	OUT OF MEMORY	309.633935718	309.93997580000723	16000.000000					OUT OF MEMORY	512.985959765	513.3833458739973	16000.000000	OUT OF MEMORY	512.985959765	513.3833458739973	16000.000000					TIMEOUT	900.875192533	901.3310063859972	3886.182400	TIMEOUT	900.875192533	901.3310063859972	3886.182400					OUT OF MEMORY	300.68815876	300.93897092700354	16000.000000	OUT OF MEMORY	300.68815876	300.93897092700354	16000.000000												</t>
  </si>
  <si>
    <t xml:space="preserve">openpsa/ft-openpsa-500-04.xml																	TIMEOUT	900.659448469	901.0734615669935	8.163328	TIMEOUT	900.659448469	901.0734615669935	8.163328					TIMEOUT	900.614870704	901.0335254480015	8.040448	TIMEOUT	900.614870704	901.0335254480015	8.040448					TIMEOUT	900.808810112	901.0184936189908	8.175616	TIMEOUT	900.808810112	901.0184936189908	8.175616					TIMEOUT	900.39855015	901.0917524160177	8.302592	TIMEOUT	900.39855015	901.0917524160177	8.302592					TIMEOUT	900.663028623	901.072380336991	7.909376	TIMEOUT	900.663028623	901.072380336991	7.909376					TIMEOUT	900.709035682	901.0377976220043	8.302592	TIMEOUT	900.709035682	901.0377976220043	8.302592												</t>
  </si>
  <si>
    <t xml:space="preserve">openpsa/ft-openpsa-500-05.xml																	TIMEOUT	900.439105195	901.1956226030015	2067.206144	TIMEOUT	900.439105195	901.1956226030015	2067.206144					TIMEOUT	900.501522024	901.038657143974	83.677184	TIMEOUT	900.501522024	901.038657143974	83.677184					TIMEOUT	900.561178278	901.0338407829986	141.303808	TIMEOUT	900.561178278	901.0338407829986	141.303808					TIMEOUT	900.736809046	901.1903196350031	2067.173376	TIMEOUT	900.736809046	901.1903196350031	2067.173376					TIMEOUT	900.698342275	901.0427272939996	83.668992	TIMEOUT	900.698342275	901.0427272939996	83.668992					TIMEOUT	900.741833009	901.0459252140136	141.340672	TIMEOUT	900.741833009	901.0459252140136	141.340672												</t>
  </si>
  <si>
    <t xml:space="preserve">openpsa/ft-openpsa-500-06.xml																	TIMEOUT	900.925197727	901.4709692510078	4929.794048	TIMEOUT	900.925197727	901.4709692510078	4929.794048					TIMEOUT	900.724131348	901.0448264169972	117.923840	TIMEOUT	900.724131348	901.0448264169972	117.923840					TIMEOUT	900.745253649	901.0298168659938	158.339072	TIMEOUT	900.745253649	901.0298168659938	158.339072					TIMEOUT	900.946148531	901.3614090220071	4929.667072	TIMEOUT	900.946148531	901.3614090220071	4929.667072					TIMEOUT	900.673685467	901.0501482899999	117.850112	TIMEOUT	900.673685467	901.0501482899999	117.850112					TIMEOUT	900.739268956	901.0500200450188	158.253056	TIMEOUT	900.739268956	901.0500200450188	158.253056												</t>
  </si>
  <si>
    <t xml:space="preserve">openpsa/ft-openpsa-500-07.xml																	OUT OF MEMORY	438.075188234	438.44709472800605	16000.000000	OUT OF MEMORY	438.075188234	438.44709472800605	16000.000000					TIMEOUT	900.747495307	901.1094742529967	912.633856	TIMEOUT	900.747495307	901.1094742529967	912.633856					TIMEOUT	900.836661215	901.1553248150012	2162.601984	TIMEOUT	900.836661215	901.1553248150012	2162.601984					OUT OF MEMORY	441.013987078	441.3196604500117	16000.000000	OUT OF MEMORY	441.013987078	441.3196604500117	16000.000000					TIMEOUT	900.768335979	901.1523308759788	912.699392	TIMEOUT	900.768335979	901.1523308759788	912.699392					TIMEOUT	900.81984434	901.1803842259978	2162.606080	TIMEOUT	900.81984434	901.1803842259978	2162.606080												</t>
  </si>
  <si>
    <t xml:space="preserve">openpsa/ft-openpsa-500-08.xml																	TIMEOUT	900.607049032	901.1690748480032	534.032384	TIMEOUT	900.607049032	901.1690748480032	534.032384					TIMEOUT	900.696298518	901.0349303820112	8.699904	TIMEOUT	900.696298518	901.0349303820112	8.699904					TIMEOUT	900.741130492	901.013546089991	9.773056	TIMEOUT	900.741130492	901.013546089991	9.773056					TIMEOUT	900.702252284	901.0852935290022	533.905408	TIMEOUT	900.702252284	901.0852935290022	533.905408					TIMEOUT	900.625032279	901.0412707689975	8.572928	TIMEOUT	900.625032279	901.0412707689975	8.572928					TIMEOUT	900.596837422	901.0356228640012	9.744384	TIMEOUT	900.596837422	901.0356228640012	9.744384												</t>
  </si>
  <si>
    <t xml:space="preserve">openpsa/ft-openpsa-500-09.xml																	TIMEOUT	900.598854232	901.0249087020056	20.819968	TIMEOUT	900.598854232	901.0249087020056	20.819968					TIMEOUT	900.670327821	901.0309847790049	10.006528	TIMEOUT	900.670327821	901.0309847790049	10.006528					TIMEOUT	900.681762892	901.0205873660016	11.472896	TIMEOUT	900.681762892	901.0205873660016	11.472896					TIMEOUT	900.660082427	901.0356849649979	20.774912	TIMEOUT	900.660082427	901.0356849649979	20.774912					TIMEOUT	900.719904038	901.0410970240191	10.006528	TIMEOUT	900.719904038	901.0410970240191	10.006528					TIMEOUT	900.610014798	901.0375227220065	14.336000	TIMEOUT	900.610014798	901.0375227220065	14.336000												</t>
  </si>
  <si>
    <t xml:space="preserve">openpsa/ft-openpsa-5000-01.xml																	OUT OF MEMORY	259.436321453	259.60090480800136	16000.000000	OUT OF MEMORY	259.436321453	259.60090480800136	16000.000000					OUT OF MEMORY	787.546701708	788.02363909001	16000.000000	OUT OF MEMORY	787.546701708	788.02363909001	16000.000000					OUT OF MEMORY	351.691536487	352.0062300090067	16000.000000	OUT OF MEMORY	351.691536487	352.0062300090067	16000.000000					OUT OF MEMORY	258.324800924	258.5139332610124	16000.000000	OUT OF MEMORY	258.324800924	258.5139332610124	16000.000000					OUT OF MEMORY	782.445824786	782.8994548640039	16000.000000	OUT OF MEMORY	782.445824786	782.8994548640039	16000.000000					OUT OF MEMORY	378.569240304	378.8697721429926	16000.000000	OUT OF MEMORY	378.569240304	378.8697721429926	16000.000000												</t>
  </si>
  <si>
    <t xml:space="preserve">openpsa/ft-openpsa-5000-02.xml																	OUT OF MEMORY	288.472696887	288.6644733460125	16000.000000	OUT OF MEMORY	288.472696887	288.6644733460125	16000.000000					TIMEOUT	903.420232953	904.1188353970065	16000.000000	TIMEOUT	903.420232953	904.1188353970065	16000.000000					OUT OF MEMORY	322.08069089	322.37682793699787	16000.000000	OUT OF MEMORY	322.08069089	322.37682793699787	16000.000000					OUT OF MEMORY	285.222728335	285.5431696549931	16000.000000	OUT OF MEMORY	285.222728335	285.5431696549931	16000.000000					TIMEOUT	901.104271134	901.8584433950018	14914.207744	TIMEOUT	901.104271134	901.8584433950018	14914.207744					OUT OF MEMORY	308.859145227	309.0950085229997	16000.000000	OUT OF MEMORY	308.859145227	309.0950085229997	16000.000000												</t>
  </si>
  <si>
    <t xml:space="preserve">openpsa/ft-openpsa-5000-03.xml																	OUT OF MEMORY	330.697474291	330.9704296090058	16000.000000	OUT OF MEMORY	330.697474291	330.9704296090058	16000.000000					TIMEOUT	901.051433905	901.784122587007	14955.393024	TIMEOUT	901.051433905	901.784122587007	14955.393024					OUT OF MEMORY	326.429582073	326.72784263100766	16000.000000	OUT OF MEMORY	326.429582073	326.72784263100766	16000.000000					OUT OF MEMORY	318.104601295	318.432336391008	16000.000000	OUT OF MEMORY	318.104601295	318.432336391008	16000.000000					TIMEOUT	901.119815075	901.8747792369977	14955.364352	TIMEOUT	901.119815075	901.8747792369977	14955.364352					OUT OF MEMORY	310.613708494	310.8713988639938	16000.000000	OUT OF MEMORY	310.613708494	310.8713988639938	16000.000000												</t>
  </si>
  <si>
    <t xml:space="preserve">openpsa/ft-openpsa-5000-04.xml																	OUT OF MEMORY	281.73003791	281.9862821509887	16000.000000	OUT OF MEMORY	281.73003791	281.9862821509887	16000.000000					OUT OF MEMORY	733.310128028	733.9048253310029	16000.000000	OUT OF MEMORY	733.310128028	733.9048253310029	16000.000000					OUT OF MEMORY	367.412201327	367.82093389399233	16000.000000	OUT OF MEMORY	367.412201327	367.82093389399233	16000.000000					OUT OF MEMORY	277.561549486	277.83689712002524	16000.000000	OUT OF MEMORY	277.561549486	277.83689712002524	16000.000000					OUT OF MEMORY	737.480119998	738.1423458200006	16000.000000	OUT OF MEMORY	737.480119998	738.1423458200006	16000.000000					OUT OF MEMORY	354.560636491	354.9372565750091	16000.000000	OUT OF MEMORY	354.560636491	354.9372565750091	16000.000000												</t>
  </si>
  <si>
    <t xml:space="preserve">openpsa/ft-openpsa-5000-05.xml																	OUT OF MEMORY	239.196508133	239.4411488580081	16000.000000	OUT OF MEMORY	239.196508133	239.4411488580081	16000.000000					OUT OF MEMORY	736.856612015	737.4721644920064	16000.000000	OUT OF MEMORY	736.856612015	737.4721644920064	16000.000000					OUT OF MEMORY	372.644687719	372.99141624000913	16000.000000	OUT OF MEMORY	372.644687719	372.99141624000913	16000.000000					OUT OF MEMORY	235.699196046	235.9359448569885	16000.000000	OUT OF MEMORY	235.699196046	235.9359448569885	16000.000000					OUT OF MEMORY	749.019044898	749.7207714190008	16000.000000	OUT OF MEMORY	749.019044898	749.7207714190008	16000.000000					OUT OF MEMORY	362.026409709	362.3759672140004	16000.000000	OUT OF MEMORY	362.026409709	362.3759672140004	16000.000000												</t>
  </si>
  <si>
    <t xml:space="preserve">openpsa/ft-openpsa-5000-06.xml																	OUT OF MEMORY	256.050426298	256.30509238100785	16000.000000	OUT OF MEMORY	256.050426298	256.30509238100785	16000.000000					TIMEOUT	901.200457285	901.8744693240151	14931.111936	TIMEOUT	901.200457285	901.8744693240151	14931.111936					OUT OF MEMORY	229.424630747	229.7560812640004	16000.000000	OUT OF MEMORY	229.424630747	229.7560812640004	16000.000000					OUT OF MEMORY	264.69390834	265.0569572559907	16000.000000	OUT OF MEMORY	264.69390834	265.0569572559907	16000.000000					TIMEOUT	901.037702846	901.8657861200045	14931.116032	TIMEOUT	901.037702846	901.8657861200045	14931.116032					OUT OF MEMORY	234.092200977	234.32073339101044	16000.000000	OUT OF MEMORY	234.092200977	234.32073339101044	16000.000000												</t>
  </si>
  <si>
    <t xml:space="preserve">openpsa/ft-openpsa-5000-07.xml																	OUT OF MEMORY	392.464108816	392.80297108899686	16000.000000	OUT OF MEMORY	392.464108816	392.80297108899686	16000.000000					TIMEOUT	900.813940816	901.5125636660086	8517.636096	TIMEOUT	900.813940816	901.5125636660086	8517.636096					OUT OF MEMORY	237.980933487	238.1978861670068	16000.000000	OUT OF MEMORY	237.980933487	238.1978861670068	16000.000000					OUT OF MEMORY	389.894510148	390.21556684101233	16000.000000	OUT OF MEMORY	389.894510148	390.21556684101233	16000.000000					TIMEOUT	900.759742254	901.4691851389944	8517.599232	TIMEOUT	900.759742254	901.4691851389944	8517.599232					OUT OF MEMORY	239.190099894	239.41864042999805	16000.000000	OUT OF MEMORY	239.190099894	239.41864042999805	16000.000000												</t>
  </si>
  <si>
    <t xml:space="preserve">openpsa/ft-openpsa-5000-08.xml																	OUT OF MEMORY	323.504577903	323.75099217300885	16000.000000	OUT OF MEMORY	323.504577903	323.75099217300885	16000.000000					TIMEOUT	900.795400174	901.6114971569914	9655.390208	TIMEOUT	900.795400174	901.6114971569914	9655.390208					TIMEOUT	901.336117348	901.8752082680003	15150.465024	TIMEOUT	901.336117348	901.8752082680003	15150.465024					OUT OF MEMORY	335.482892064	335.7857226540218	16000.000000	OUT OF MEMORY	335.482892064	335.7857226540218	16000.000000					TIMEOUT	900.861964908	901.5562097799848	9655.463936	TIMEOUT	900.861964908	901.5562097799848	9655.463936					TIMEOUT	901.340470576	901.9744672660017	15150.600192	TIMEOUT	901.340470576	901.9744672660017	15150.600192												</t>
  </si>
  <si>
    <t xml:space="preserve">openpsa/ft-openpsa-5000-09.xml																	OUT OF MEMORY	279.633564222	279.84941356800846	16000.000000	OUT OF MEMORY	279.633564222	279.84941356800846	16000.000000					OUT OF MEMORY	874.430041749	875.2830222540069	16000.000000	OUT OF MEMORY	874.430041749	875.2830222540069	16000.000000					OUT OF MEMORY	326.157685111	326.41208324799663	16000.000000	OUT OF MEMORY	326.157685111	326.41208324799663	16000.000000					OUT OF MEMORY	281.960226545	282.17687336800736	16000.000000	OUT OF MEMORY	281.960226545	282.17687336800736	16000.000000					OUT OF MEMORY	889.468404423	890.2222660980187	16000.000000	OUT OF MEMORY	889.468404423	890.2222660980187	16000.000000					OUT OF MEMORY	326.931436491	327.2116122940206	16000.000000	OUT OF MEMORY	326.931436491	327.2116122940206	16000.000000												</t>
  </si>
  <si>
    <t xml:space="preserve">openpsa/ft-openpsa-600-01.xml																	TIMEOUT	901.004792329	902.5471265410015	14.307328	TIMEOUT	901.004792329	902.5471265410015	14.307328					TIMEOUT	901.003584722	902.2466150219843	8.699904	TIMEOUT	901.003584722	902.2466150219843	8.699904					TIMEOUT	900.997533362	902.6576353200071	8.646656	TIMEOUT	900.997533362	902.6576353200071	8.646656					TIMEOUT	901.004769445	902.0504564620205	14.315520	TIMEOUT	901.004769445	902.0504564620205	14.315520					TIMEOUT	900.637987069	901.0416046120226	8.708096	TIMEOUT	900.637987069	901.0416046120226	8.708096					TIMEOUT	900.540302263	901.0377203920216	8.839168	TIMEOUT	900.540302263	901.0377203920216	8.839168												</t>
  </si>
  <si>
    <t xml:space="preserve">openpsa/ft-openpsa-600-02.xml																	OUT OF MEMORY	406.692115771	407.1658030980034	16000.000000	OUT OF MEMORY	406.692115771	407.1658030980034	16000.000000					TIMEOUT	900.687113948	901.1007536819961	899.727360	TIMEOUT	900.687113948	901.1007536819961	899.727360					OUT OF MEMORY	296.715521388	296.99878700100817	16000.000000	OUT OF MEMORY	296.715521388	296.99878700100817	16000.000000					OUT OF MEMORY	408.481526904	408.82384193100734	16000.000000	OUT OF MEMORY	408.481526904	408.82384193100734	16000.000000					TIMEOUT	900.843127402	901.1333429149818	898.674688	TIMEOUT	900.843127402	901.1333429149818	898.674688					OUT OF MEMORY	291.886774559	292.153245709982	16000.000000	OUT OF MEMORY	291.886774559	292.153245709982	16000.000000												</t>
  </si>
  <si>
    <t xml:space="preserve">openpsa/ft-openpsa-600-03.xml																	TIMEOUT	900.550178824	901.0391426190035	15.515648	TIMEOUT	900.550178824	901.0391426190035	15.515648					TIMEOUT	900.719658381	901.0289068520069	8.695808	TIMEOUT	900.719658381	901.0289068520069	8.695808					TIMEOUT	900.768717565	901.0248358740064	8.847360	TIMEOUT	900.768717565	901.0248358740064	8.847360					TIMEOUT	900.430665899	901.0513343960047	15.486976	TIMEOUT	900.430665899	901.0513343960047	15.486976					TIMEOUT	900.881794774	901.1430472089851	8.736768	TIMEOUT	900.881794774	901.1430472089851	8.736768					TIMEOUT	900.676618455	901.0393272970105	8.806400	TIMEOUT	900.676618455	901.0393272970105	8.806400												</t>
  </si>
  <si>
    <t xml:space="preserve">openpsa/ft-openpsa-600-04.xml																	TIMEOUT	900.20176508	901.0348490280012	31.916032	TIMEOUT	900.20176508	901.0348490280012	31.916032					TIMEOUT	900.450349315	901.0310450159886	9.105408	TIMEOUT	900.450349315	901.0310450159886	9.105408					TIMEOUT	900.199106993	901.0298028749967	9.412608	TIMEOUT	900.199106993	901.0298028749967	9.412608					TIMEOUT	900.561535456	901.0512710000039	31.764480	TIMEOUT	900.561535456	901.0512710000039	31.764480					TIMEOUT	900.730072485	901.0425202179758	9.056256	TIMEOUT	900.730072485	901.0425202179758	9.056256					TIMEOUT	900.678046145	901.0384708719794	9.228288	TIMEOUT	900.678046145	901.0384708719794	9.228288												</t>
  </si>
  <si>
    <t xml:space="preserve">openpsa/ft-openpsa-600-05.xml																	TIMEOUT	901.022521397	901.63599535299	9055.051776	TIMEOUT	901.022521397	901.63599535299	9055.051776					TIMEOUT	900.650623931	901.0366384260124	20.234240	TIMEOUT	900.650623931	901.0366384260124	20.234240					TIMEOUT	900.657026267	901.0481966480002	54.534144	TIMEOUT	900.657026267	901.0481966480002	54.534144					TIMEOUT	901.176031981	902.0475015929842	9054.949376	TIMEOUT	901.176031981	902.0475015929842	9054.949376					TIMEOUT	900.703319852	901.0439844859939	20.234240	TIMEOUT	900.703319852	901.0439844859939	20.234240					TIMEOUT	900.802571705	901.0434074809891	54.439936	TIMEOUT	900.802571705	901.0434074809891	54.439936												</t>
  </si>
  <si>
    <t xml:space="preserve">openpsa/ft-openpsa-600-06.xml																	OUT OF MEMORY	269.967734018	270.2710667270003	16000.000000	OUT OF MEMORY	269.967734018	270.2710667270003	16000.000000					TIMEOUT	901.001415197	902.7967551950132	28.856320	TIMEOUT	901.001415197	902.7967551950132	28.856320					TIMEOUT	901.015042085	903.1756852289982	106.242048	TIMEOUT	901.015042085	903.1756852289982	106.242048					OUT OF MEMORY	267.69128387	267.9034304789966	16000.000000	OUT OF MEMORY	267.69128387	267.9034304789966	16000.000000					TIMEOUT	900.228006482	901.0391311610001	28.749824	TIMEOUT	900.228006482	901.0391311610001	28.749824					TIMEOUT	901.012289152	902.1025176800031	106.217472	TIMEOUT	901.012289152	902.1025176800031	106.217472												</t>
  </si>
  <si>
    <t xml:space="preserve">openpsa/ft-openpsa-600-07.xml																	OUT OF MEMORY	350.643929008	350.9147744959919	16000.000000	OUT OF MEMORY	350.643929008	350.9147744959919	16000.000000					TIMEOUT	900.779691343	901.0686405559827	288.407552	TIMEOUT	900.779691343	901.0686405559827	288.407552					TIMEOUT	900.784914645	901.1338977169944	1264.844800	TIMEOUT	900.784914645	901.1338977169944	1264.844800					OUT OF MEMORY	353.155471865	353.43091384798754	16000.000000	OUT OF MEMORY	353.155471865	353.43091384798754	16000.000000					TIMEOUT	900.803500984	901.0860493580112	288.428032	TIMEOUT	900.803500984	901.0860493580112	288.428032					TIMEOUT	900.806566743	901.1601212620153	1264.898048	TIMEOUT	900.806566743	901.1601212620153	1264.898048												</t>
  </si>
  <si>
    <t xml:space="preserve">openpsa/ft-openpsa-600-08.xml																	OUT OF MEMORY	310.299446376	310.5615348249994	16000.000000	OUT OF MEMORY	310.299446376	310.5615348249994	16000.000000					TIMEOUT	900.730006305	901.0483666329819	67.334144	TIMEOUT	900.730006305	901.0483666329819	67.334144					TIMEOUT	900.423835488	901.0433304260077	141.496320	TIMEOUT	900.423835488	901.0433304260077	141.496320					OUT OF MEMORY	304.637774969	304.8989634519967	16000.000000	OUT OF MEMORY	304.637774969	304.8989634519967	16000.000000					TIMEOUT	900.807217708	901.0824146819941	67.293184	TIMEOUT	900.807217708	901.0824146819941	67.293184					TIMEOUT	900.562255558	901.0884002319945	141.475840	TIMEOUT	900.562255558	901.0884002319945	141.475840												</t>
  </si>
  <si>
    <t xml:space="preserve">openpsa/ft-openpsa-600-09.xml																	OUT OF MEMORY	356.904750288	357.1692509429995	16000.000000	OUT OF MEMORY	356.904750288	357.1692509429995	16000.000000					TIMEOUT	901.03259731	901.8644339820021	14957.703168	TIMEOUT	901.03259731	901.8644339820021	14957.703168					OUT OF MEMORY	369.768169561	370.01640522699745	16000.000000	OUT OF MEMORY	369.768169561	370.01640522699745	16000.000000					OUT OF MEMORY	362.216336423	362.49562628899	16000.000000	OUT OF MEMORY	362.216336423	362.49562628899	16000.000000					TIMEOUT	901.073636024	901.8989707540022	14957.645824	TIMEOUT	901.073636024	901.8989707540022	14957.645824					OUT OF MEMORY	374.226683066	374.5274705630145	16000.000000	OUT OF MEMORY	374.226683066	374.5274705630145	16000.000000												</t>
  </si>
  <si>
    <t xml:space="preserve">openpsa/ft-openpsa-6000-01.xml																	OUT OF MEMORY	303.704450678	303.96253153998987	16000.000000	OUT OF MEMORY	303.704450678	303.96253153998987	16000.000000					TIMEOUT	900.91831789	901.6165497430193	10394.316800	TIMEOUT	900.91831789	901.6165497430193	10394.316800					OUT OF MEMORY	353.370115681	353.6086982279958	16000.000000	OUT OF MEMORY	353.370115681	353.6086982279958	16000.000000					OUT OF MEMORY	300.146123888	300.3962011820113	16000.000000	OUT OF MEMORY	300.146123888	300.3962011820113	16000.000000					TIMEOUT	900.80388905	901.6504285350093	10394.300416	TIMEOUT	900.80388905	901.6504285350093	10394.300416					OUT OF MEMORY	358.632021726	358.95306161401095	16000.000000	OUT OF MEMORY	358.632021726	358.95306161401095	16000.000000												</t>
  </si>
  <si>
    <t xml:space="preserve">openpsa/ft-openpsa-6000-02.xml																	OUT OF MEMORY	288.77854635	289.02760931500234	16000.000000	OUT OF MEMORY	288.77854635	289.02760931500234	16000.000000					TIMEOUT	901.008628873	901.837474992004	15024.934912	TIMEOUT	901.008628873	901.837474992004	15024.934912					TIMEOUT	900.903154033	901.6046675199905	10014.674944	TIMEOUT	900.903154033	901.6046675199905	10014.674944					OUT OF MEMORY	289.848743414	290.09782742598327	16000.000000	OUT OF MEMORY	289.848743414	290.09782742598327	16000.000000					TIMEOUT	900.882792171	901.7852646659885	15024.828416	TIMEOUT	900.882792171	901.7852646659885	15024.828416					TIMEOUT	900.804868487	901.4984096499975	8577.798144	TIMEOUT	900.804868487	901.4984096499975	8577.798144												</t>
  </si>
  <si>
    <t xml:space="preserve">openpsa/ft-openpsa-6000-03.xml																	OUT OF MEMORY	281.906650738	282.14006788701226	16000.000000	OUT OF MEMORY	281.906650738	282.14006788701226	16000.000000					TIMEOUT	901.085839793	901.7601564509969	10560.397312	TIMEOUT	901.085839793	901.7601564509969	10560.397312					OUT OF MEMORY	274.020740622	274.30302411300363	16000.000000	OUT OF MEMORY	274.020740622	274.30302411300363	16000.000000					OUT OF MEMORY	282.414548804	282.6450691979844	16000.000000	OUT OF MEMORY	282.414548804	282.6450691979844	16000.000000					TIMEOUT	900.745730013	901.591173703986	10560.397312	TIMEOUT	900.745730013	901.591173703986	10560.397312					OUT OF MEMORY	277.390419419	277.6782356990152	16000.000000	OUT OF MEMORY	277.390419419	277.6782356990152	16000.000000												</t>
  </si>
  <si>
    <t xml:space="preserve">openpsa/ft-openpsa-6000-04.xml																	OUT OF MEMORY	274.666909027	274.88561446400126	16000.000000	OUT OF MEMORY	274.666909027	274.88561446400126	16000.000000					OUT OF MEMORY	804.28740541	804.9265945759835	16000.000000	OUT OF MEMORY	804.28740541	804.9265945759835	16000.000000					OUT OF MEMORY	319.659874926	320.0224731319904	16000.000000	OUT OF MEMORY	319.659874926	320.0224731319904	16000.000000					OUT OF MEMORY	274.797705908	275.0440940140106	16000.000000	OUT OF MEMORY	274.797705908	275.0440940140106	16000.000000					OUT OF MEMORY	808.564347573	809.2835100190132	16000.000000	OUT OF MEMORY	808.564347573	809.2835100190132	16000.000000					OUT OF MEMORY	316.065345694	316.39909286701004	16000.000000	OUT OF MEMORY	316.065345694	316.39909286701004	16000.000000												</t>
  </si>
  <si>
    <t xml:space="preserve">openpsa/ft-openpsa-6000-05.xml																	OUT OF MEMORY	284.203920128	284.44039959899965	16000.000000	OUT OF MEMORY	284.203920128	284.44039959899965	16000.000000					TIMEOUT	900.982030022	901.832626554009	14957.170688	TIMEOUT	900.982030022	901.832626554009	14957.170688					OUT OF MEMORY	375.037174609	375.4260982179985	16000.000000	OUT OF MEMORY	375.037174609	375.4260982179985	16000.000000					OUT OF MEMORY	283.026087599	283.42408626998076	16000.000000	OUT OF MEMORY	283.026087599	283.42408626998076	16000.000000					TIMEOUT	901.208534552	901.9028524899913	14957.199360	TIMEOUT	901.208534552	901.9028524899913	14957.199360					OUT OF MEMORY	371.428418558	371.79445252899313	16000.000000	OUT OF MEMORY	371.428418558	371.79445252899313	16000.000000												</t>
  </si>
  <si>
    <t xml:space="preserve">openpsa/ft-openpsa-6000-06.xml																	OUT OF MEMORY	263.799670826	264.12378031799744	16000.000000	OUT OF MEMORY	263.799670826	264.12378031799744	16000.000000					TIMEOUT	900.990862461	901.7943234250124	15477.932032	TIMEOUT	900.990862461	901.7943234250124	15477.932032					OUT OF MEMORY	316.247498307	316.7187286999979	16000.000000	OUT OF MEMORY	316.247498307	316.7187286999979	16000.000000					OUT OF MEMORY	264.491244849	264.8238992339757	16000.000000	OUT OF MEMORY	264.491244849	264.8238992339757	16000.000000					TIMEOUT	901.121331192	901.8895797769947	15279.906816	TIMEOUT	901.121331192	901.8895797769947	15279.906816					OUT OF MEMORY	314.091709279	314.42003242400824	16000.000000	OUT OF MEMORY	314.091709279	314.42003242400824	16000.000000												</t>
  </si>
  <si>
    <t xml:space="preserve">openpsa/ft-openpsa-6000-07.xml																	OUT OF MEMORY	264.111652819	264.4015499219968	16000.000000	OUT OF MEMORY	264.111652819	264.4015499219968	16000.000000					OUT OF MEMORY	785.385810282	786.1299328320019	16000.000000	OUT OF MEMORY	785.385810282	786.1299328320019	16000.000000					OUT OF MEMORY	855.727263942	856.3159220800007	16000.000000	OUT OF MEMORY	855.727263942	856.3159220800007	16000.000000					OUT OF MEMORY	269.666747988	269.8960317650053	16000.000000	OUT OF MEMORY	269.666747988	269.8960317650053	16000.000000					OUT OF MEMORY	794.391094462	795.0753358479997	16000.000000	OUT OF MEMORY	794.391094462	795.0753358479997	16000.000000					OUT OF MEMORY	816.262794744	816.819966340001	16000.000000	OUT OF MEMORY	816.262794744	816.819966340001	16000.000000												</t>
  </si>
  <si>
    <t xml:space="preserve">openpsa/ft-openpsa-6000-08.xml																	OUT OF MEMORY	441.370199306	441.73650518999784	16000.000000	OUT OF MEMORY	441.370199306	441.73650518999784	16000.000000					TIMEOUT	901.104473353	901.8737121769809	15173.042176	TIMEOUT	901.104473353	901.8737121769809	15173.042176					OUT OF MEMORY	369.273955665	369.59859561499616	16000.000000	OUT OF MEMORY	369.273955665	369.59859561499616	16000.000000					OUT OF MEMORY	445.364965877	445.8364953690034	16000.000000	OUT OF MEMORY	445.364965877	445.8364953690034	16000.000000					TIMEOUT	901.35649847	901.9305130429857	15172.997120	TIMEOUT	901.35649847	901.9305130429857	15172.997120					OUT OF MEMORY	375.210583434	375.5821310049796	16000.000000	OUT OF MEMORY	375.210583434	375.5821310049796	16000.000000												</t>
  </si>
  <si>
    <t xml:space="preserve">openpsa/ft-openpsa-6000-09.xml																	OUT OF MEMORY	246.074995268	246.32591386199056	16000.000000	OUT OF MEMORY	246.074995268	246.32591386199056	16000.000000					OUT OF MEMORY	736.466670863	737.0743245630001	16000.000000	OUT OF MEMORY	736.466670863	737.0743245630001	16000.000000					OUT OF MEMORY	672.239390881	672.8031256110116	16000.000000	OUT OF MEMORY	672.239390881	672.8031256110116	16000.000000					OUT OF MEMORY	247.784150553	248.05146474699723	16000.000000	OUT OF MEMORY	247.784150553	248.05146474699723	16000.000000					OUT OF MEMORY	707.400409653	707.8950389630045	16000.000000	OUT OF MEMORY	707.400409653	707.8950389630045	16000.000000					OUT OF MEMORY	685.273867973	685.8452808829898	16000.000000	OUT OF MEMORY	685.273867973	685.8452808829898	16000.000000												</t>
  </si>
  <si>
    <t xml:space="preserve">openpsa/ft-openpsa-700-01.xml																	TIMEOUT	900.558986226	901.0840229229943	10.010624	TIMEOUT	900.558986226	901.0840229229943	10.010624					TIMEOUT	900.502236625	901.0337642130035	8.704000	TIMEOUT	900.502236625	901.0337642130035	8.704000					TIMEOUT	900.500396729	901.0135785180028	9.015296	TIMEOUT	900.500396729	901.0135785180028	9.015296					TIMEOUT	900.441224533	901.0341193560162	9.998336	TIMEOUT	900.441224533	901.0341193560162	9.998336					TIMEOUT	900.617430408	901.0379787129932	8.777728	TIMEOUT	900.617430408	901.0379787129932	8.777728					TIMEOUT	900.631873748	901.0387554719928	9.297920	TIMEOUT	900.631873748	901.0387554719928	9.297920												</t>
  </si>
  <si>
    <t xml:space="preserve">openpsa/ft-openpsa-700-02.xml																	TIMEOUT	900.46490067	901.1290281830006	13.029376	TIMEOUT	900.46490067	901.1290281830006	13.029376					TIMEOUT	900.46586125	901.0307080630155	9.093120	TIMEOUT	900.46586125	901.0307080630155	9.093120					TIMEOUT	900.480389741	901.0187540210027	11.857920	TIMEOUT	900.480389741	901.0187540210027	11.857920					TIMEOUT	900.20509299	901.0663210609928	13.021184	TIMEOUT	900.20509299	901.0663210609928	13.021184					TIMEOUT	900.618556967	901.0412704499904	8.962048	TIMEOUT	900.618556967	901.0412704499904	8.962048					TIMEOUT	900.616395465	901.0369109820167	11.862016	TIMEOUT	900.616395465	901.0369109820167	11.862016												</t>
  </si>
  <si>
    <t xml:space="preserve">openpsa/ft-openpsa-700-03.xml																	OUT OF MEMORY	293.337336218	293.6354806689924	16000.000000	OUT OF MEMORY	293.337336218	293.6354806689924	16000.000000					TIMEOUT	900.817881693	901.401938207011	7481.143296	TIMEOUT	900.817881693	901.401938207011	7481.143296					OUT OF MEMORY	286.193810385	286.4312749069941	16000.000000	OUT OF MEMORY	286.193810385	286.4312749069941	16000.000000					OUT OF MEMORY	301.409095077	301.6874297680042	16000.000000	OUT OF MEMORY	301.409095077	301.6874297680042	16000.000000					TIMEOUT	900.72696443	901.4882613579975	7481.135104	TIMEOUT	900.72696443	901.4882613579975	7481.135104					OUT OF MEMORY	293.366754696	293.7415480639902	16000.000000	OUT OF MEMORY	293.366754696	293.7415480639902	16000.000000												</t>
  </si>
  <si>
    <t xml:space="preserve">openpsa/ft-openpsa-700-04.xml																	OUT OF MEMORY	249.550807435	249.78923266999482	16000.000000	OUT OF MEMORY	249.550807435	249.78923266999482	16000.000000					TIMEOUT	901.219136789	901.8888103390054	14920.171520	TIMEOUT	901.219136789	901.8888103390054	14920.171520					OUT OF MEMORY	312.956914875	313.38189569400856	16000.000000	OUT OF MEMORY	312.956914875	313.38189569400856	16000.000000					OUT OF MEMORY	245.078564148	245.30268643598538	16000.000000	OUT OF MEMORY	245.078564148	245.30268643598538	16000.000000					TIMEOUT	901.121170051	901.8379492859822	14920.269824	TIMEOUT	901.121170051	901.8379492859822	14920.269824					OUT OF MEMORY	299.481537859	299.80635116799385	16000.000000	OUT OF MEMORY	299.481537859	299.80635116799385	16000.000000												</t>
  </si>
  <si>
    <t xml:space="preserve">openpsa/ft-openpsa-700-05.xml																	OUT OF MEMORY	285.788597145	286.112564747993	16000.000000	OUT OF MEMORY	285.788597145	286.112564747993	16000.000000					TIMEOUT	900.594781911	901.2803552169935	4038.713344	TIMEOUT	900.594781911	901.2803552169935	4038.713344					TIMEOUT	900.718528805	901.278837099002	4239.450112	TIMEOUT	900.718528805	901.278837099002	4239.450112					OUT OF MEMORY	275.432815687	275.6807329689909	16000.000000	OUT OF MEMORY	275.432815687	275.6807329689909	16000.000000					TIMEOUT	900.593102183	901.2727112069842	4038.639616	TIMEOUT	900.593102183	901.2727112069842	4038.639616					TIMEOUT	900.571809298	901.2887605099822	4239.437824	TIMEOUT	900.571809298	901.2887605099822	4239.437824												</t>
  </si>
  <si>
    <t xml:space="preserve">openpsa/ft-openpsa-700-06.xml																	OUT OF MEMORY	322.904581214	323.1777083170018	16000.000000	OUT OF MEMORY	322.904581214	323.1777083170018	16000.000000					TIMEOUT	900.835420499	901.6368005370023	10440.908800	TIMEOUT	900.835420499	901.6368005370023	10440.908800					OUT OF MEMORY	303.732982638	303.95375058299396	16000.000000	OUT OF MEMORY	303.732982638	303.95375058299396	16000.000000					OUT OF MEMORY	334.769823761	335.07163634101744	16000.000000	OUT OF MEMORY	334.769823761	335.07163634101744	16000.000000					TIMEOUT	900.876065764	901.6724576689885	10440.806400	TIMEOUT	900.876065764	901.6724576689885	10440.806400					OUT OF MEMORY	316.588640446	316.8719270590227	16000.000000	OUT OF MEMORY	316.588640446	316.8719270590227	16000.000000												</t>
  </si>
  <si>
    <t xml:space="preserve">openpsa/ft-openpsa-700-07.xml																	TIMEOUT	900.609787121	901.0259469980083	8.835072	TIMEOUT	900.609787121	901.0259469980083	8.835072					TIMEOUT	900.530281995	901.038034304016	8.830976	TIMEOUT	900.530281995	901.038034304016	8.830976					TIMEOUT	900.229229613	901.0163321559958	8.802304	TIMEOUT	900.229229613	901.0163321559958	8.802304					TIMEOUT	900.582572103	901.0352926380001	8.826880	TIMEOUT	900.582572103	901.0352926380001	8.826880					TIMEOUT	900.563198347	901.0421743339975	8.835072	TIMEOUT	900.563198347	901.0421743339975	8.835072					TIMEOUT	900.567902476	901.033012689004	8.843264	TIMEOUT	900.567902476	901.033012689004	8.843264												</t>
  </si>
  <si>
    <t xml:space="preserve">openpsa/ft-openpsa-700-08.xml																	OUT OF MEMORY	389.454860408	389.7681054279965	16000.000000	OUT OF MEMORY	389.454860408	389.7681054279965	16000.000000					TIMEOUT	901.164674613	901.8949949829839	15194.304512	TIMEOUT	901.164674613	901.8949949829839	15194.304512					OUT OF MEMORY	774.704509106	775.2139203449915	16000.000000	OUT OF MEMORY	774.704509106	775.2139203449915	16000.000000					OUT OF MEMORY	374.392039187	374.6971936970076	16000.000000	OUT OF MEMORY	374.392039187	374.6971936970076	16000.000000					TIMEOUT	901.260929596	901.904289544007	15194.312704	TIMEOUT	901.260929596	901.904289544007	15194.312704					OUT OF MEMORY	808.361591493	808.9832827429927	16000.000000	OUT OF MEMORY	808.361591493	808.9832827429927	16000.000000												</t>
  </si>
  <si>
    <t xml:space="preserve">openpsa/ft-openpsa-700-09.xml																	OUT OF MEMORY	281.060647773	281.29967864899663	16000.000000	OUT OF MEMORY	281.060647773	281.29967864899663	16000.000000					TIMEOUT	900.830897837	901.5091447099985	9182.695424	TIMEOUT	900.830897837	901.5091447099985	9182.695424					OUT OF MEMORY	407.015838591	407.33954568300396	16000.000000	OUT OF MEMORY	407.015838591	407.33954568300396	16000.000000					OUT OF MEMORY	285.266870882	285.53325105499243	16000.000000	OUT OF MEMORY	285.266870882	285.53325105499243	16000.000000					TIMEOUT	900.926420519	901.6106142399949	9631.875072	TIMEOUT	900.926420519	901.6106142399949	9631.875072					OUT OF MEMORY	420.396835082	420.74552666101954	16000.000000	OUT OF MEMORY	420.396835082	420.74552666101954	16000.000000												</t>
  </si>
  <si>
    <t xml:space="preserve">openpsa/ft-openpsa-7000-01.xml																	OUT OF MEMORY	298.269539487	298.51468186800776	16000.000000	OUT OF MEMORY	298.269539487	298.51468186800776	16000.000000					OUT OF MEMORY	811.589142804	812.3012041269976	16000.000000	OUT OF MEMORY	811.589142804	812.3012041269976	16000.000000					OUT OF MEMORY	682.131262096	682.6966527309996	16000.000000	OUT OF MEMORY	682.131262096	682.6966527309996	16000.000000					OUT OF MEMORY	313.861920821	314.27800960399327	16000.000000	OUT OF MEMORY	313.861920821	314.27800960399327	16000.000000					OUT OF MEMORY	799.578693665	800.2478121290042	16000.000000	OUT OF MEMORY	799.578693665	800.2478121290042	16000.000000					OUT OF MEMORY	655.702066828	656.2420659360068	16000.000000	OUT OF MEMORY	655.702066828	656.2420659360068	16000.000000												</t>
  </si>
  <si>
    <t xml:space="preserve">openpsa/ft-openpsa-7000-02.xml																	OUT OF MEMORY	403.235024142	403.59004690899746	16000.000000	OUT OF MEMORY	403.235024142	403.59004690899746	16000.000000					OUT OF MEMORY	797.754057185	798.3536996110051	16000.000000	OUT OF MEMORY	797.754057185	798.3536996110051	16000.000000					OUT OF MEMORY	568.098652501	568.5036321069929	16000.000000	OUT OF MEMORY	568.098652501	568.5036321069929	16000.000000					OUT OF MEMORY	387.221078865	387.5302168659982	16000.000000	OUT OF MEMORY	387.221078865	387.5302168659982	16000.000000					OUT OF MEMORY	817.538793594	818.2789801250037	16000.000000	OUT OF MEMORY	817.538793594	818.2789801250037	16000.000000					OUT OF MEMORY	588.465098374	588.9563190680055	16000.000000	OUT OF MEMORY	588.465098374	588.9563190680055	16000.000000												</t>
  </si>
  <si>
    <t xml:space="preserve">openpsa/ft-openpsa-7000-03.xml																	OUT OF MEMORY	263.399014611	263.7518918739952	16000.000000	OUT OF MEMORY	263.399014611	263.7518918739952	16000.000000					TIMEOUT	900.8382731	901.6331017699849	10145.284096	TIMEOUT	900.8382731	901.6331017699849	10145.284096					OUT OF MEMORY	309.721276057	309.9981112759997	16000.000000	OUT OF MEMORY	309.721276057	309.9981112759997	16000.000000					OUT OF MEMORY	274.656570556	274.9052410449949	16000.000000	OUT OF MEMORY	274.656570556	274.9052410449949	16000.000000					TIMEOUT	900.833511482	901.6335791899764	10145.280000	TIMEOUT	900.833511482	901.6335791899764	10145.280000					OUT OF MEMORY	307.730595588	308.0466030660027	16000.000000	OUT OF MEMORY	307.730595588	308.0466030660027	16000.000000												</t>
  </si>
  <si>
    <t xml:space="preserve">openpsa/ft-openpsa-7000-04.xml																	OUT OF MEMORY	276.403261324	276.64605229099107	16000.000000	OUT OF MEMORY	276.403261324	276.64605229099107	16000.000000					TIMEOUT	901.071792994	901.8774373409979	15004.884992	TIMEOUT	901.071792994	901.8774373409979	15004.884992					OUT OF MEMORY	484.047045227	484.4682547600096	16000.000000	OUT OF MEMORY	484.047045227	484.4682547600096	16000.000000					OUT OF MEMORY	276.398558238	276.6641399979999	16000.000000	OUT OF MEMORY	276.398558238	276.6641399979999	16000.000000					TIMEOUT	901.036393347	901.8036736680078	15004.774400	TIMEOUT	901.036393347	901.8036736680078	15004.774400					OUT OF MEMORY	480.175903141	480.6009911520232	16000.000000	OUT OF MEMORY	480.175903141	480.6009911520232	16000.000000												</t>
  </si>
  <si>
    <t xml:space="preserve">openpsa/ft-openpsa-7000-05.xml																	OUT OF MEMORY	301.092328903	301.332223238991	16000.000000	OUT OF MEMORY	301.092328903	301.332223238991	16000.000000					OUT OF MEMORY	824.798461421	825.5989341809764	16000.000000	OUT OF MEMORY	824.798461421	825.5989341809764	16000.000000					OUT OF MEMORY	486.820408047	487.27528993599117	16000.000000	OUT OF MEMORY	486.820408047	487.27528993599117	16000.000000					OUT OF MEMORY	318.03187784	318.3451105040149	16000.000000	OUT OF MEMORY	318.03187784	318.3451105040149	16000.000000					OUT OF MEMORY	825.187691414	825.9152432419942	16000.000000	OUT OF MEMORY	825.187691414	825.9152432419942	16000.000000					OUT OF MEMORY	488.027870166	488.46852187401964	16000.000000	OUT OF MEMORY	488.027870166	488.46852187401964	16000.000000												</t>
  </si>
  <si>
    <t xml:space="preserve">openpsa/ft-openpsa-7000-06.xml																	OUT OF MEMORY	234.319449864	234.5160410719982	16000.000000	OUT OF MEMORY	234.319449864	234.5160410719982	16000.000000					TIMEOUT	900.788910665	901.4873691469838	8771.751936	TIMEOUT	900.788910665	901.4873691469838	8771.751936					OUT OF MEMORY	838.443990397	839.0815533819987	16000.000000	OUT OF MEMORY	838.443990397	839.0815533819987	16000.000000					OUT OF MEMORY	234.465380804	234.66595963700092	16000.000000	OUT OF MEMORY	234.465380804	234.66595963700092	16000.000000					TIMEOUT	900.809648334	901.5097430899914	8771.760128	TIMEOUT	900.809648334	901.5097430899914	8771.760128					OUT OF MEMORY	860.826499576	861.5588874530222	16000.000000	OUT OF MEMORY	860.826499576	861.5588874530222	16000.000000												</t>
  </si>
  <si>
    <t xml:space="preserve">openpsa/ft-openpsa-7000-07.xml																	OUT OF MEMORY	258.396904022	258.62100832800206	16000.000000	OUT OF MEMORY	258.396904022	258.62100832800206	16000.000000					TIMEOUT	900.723374337	901.4841049450042	8070.217728	TIMEOUT	900.723374337	901.4841049450042	8070.217728					OUT OF MEMORY	478.851542269	479.21508786700724	16000.000000	OUT OF MEMORY	478.851542269	479.21508786700724	16000.000000					OUT OF MEMORY	258.469804445	258.71882139201625	16000.000000	OUT OF MEMORY	258.469804445	258.71882139201625	16000.000000					TIMEOUT	900.813264898	901.5422612850089	8304.697344	TIMEOUT	900.813264898	901.5422612850089	8304.697344					OUT OF MEMORY	471.003320274	471.4192783359904	16000.000000	OUT OF MEMORY	471.003320274	471.4192783359904	16000.000000												</t>
  </si>
  <si>
    <t xml:space="preserve">openpsa/ft-openpsa-7000-08.xml																	OUT OF MEMORY	246.532612492	246.77119644101185	16000.000000	OUT OF MEMORY	246.532612492	246.77119644101185	16000.000000					OUT OF MEMORY	588.567797237	589.063857613015	16000.000000	OUT OF MEMORY	588.567797237	589.063857613015	16000.000000					OUT OF MEMORY	355.555627275	355.9145909409999	16000.000000	OUT OF MEMORY	355.555627275	355.9145909409999	16000.000000					OUT OF MEMORY	235.786291006	236.00080039000022	16000.000000	OUT OF MEMORY	235.786291006	236.00080039000022	16000.000000					OUT OF MEMORY	603.549568498	604.1166986769822	16000.000000	OUT OF MEMORY	603.549568498	604.1166986769822	16000.000000					OUT OF MEMORY	360.511832517	360.9437575190095	16000.000000	OUT OF MEMORY	360.511832517	360.9437575190095	16000.000000												</t>
  </si>
  <si>
    <t xml:space="preserve">openpsa/ft-openpsa-7000-09.xml																	OUT OF MEMORY	399.916772307	400.2491169179848	16000.000000	OUT OF MEMORY	399.916772307	400.2491169179848	16000.000000					OUT OF MEMORY	589.563306775	590.081214173988	16000.000000	OUT OF MEMORY	589.563306775	590.081214173988	16000.000000					TIMEOUT	900.949439073	901.5038825999945	9157.902336	TIMEOUT	900.949439073	901.5038825999945	9157.902336					OUT OF MEMORY	395.266281262	395.58853203698527	16000.000000	OUT OF MEMORY	395.266281262	395.58853203698527	16000.000000					OUT OF MEMORY	589.687704827	590.2603052199993	16000.000000	OUT OF MEMORY	589.687704827	590.2603052199993	16000.000000					TIMEOUT	900.946277221	901.5646915450052	9157.943296	TIMEOUT	900.946277221	901.5646915450052	9157.943296												</t>
  </si>
  <si>
    <t xml:space="preserve">openpsa/ft-openpsa-800-01.xml																	TIMEOUT	900.747725242	901.0760702200059	773.423104	TIMEOUT	900.747725242	901.0760702200059	773.423104					TIMEOUT	900.593389471	901.1735233020154	2270.334976	TIMEOUT	900.593389471	901.1735233020154	2270.334976					OUT OF MEMORY	338.11041963	338.5200569079898	16000.000000	OUT OF MEMORY	338.11041963	338.5200569079898	16000.000000					TIMEOUT	900.598947637	901.0853440650098	773.341184	TIMEOUT	900.598947637	901.0853440650098	773.341184					TIMEOUT	900.70924787	901.2236928369966	2270.240768	TIMEOUT	900.70924787	901.2236928369966	2270.240768					OUT OF MEMORY	326.960782792	327.22502334197634	16000.000000	OUT OF MEMORY	326.960782792	327.22502334197634	16000.000000												</t>
  </si>
  <si>
    <t xml:space="preserve">openpsa/ft-openpsa-800-02.xml																	TIMEOUT	900.718958567	901.0805630150135	833.937408	TIMEOUT	900.718958567	901.0805630150135	833.937408					TIMEOUT	900.764342551	901.0401040910219	21.540864	TIMEOUT	900.764342551	901.0401040910219	21.540864					TIMEOUT	900.566741672	901.0200623639976	43.130880	TIMEOUT	900.566741672	901.0200623639976	43.130880					TIMEOUT	900.294911902	901.0838369700068	833.949696	TIMEOUT	900.294911902	901.0838369700068	833.949696					TIMEOUT	900.716522657	901.0455959999817	21.544960	TIMEOUT	900.716522657	901.0455959999817	21.544960					TIMEOUT	900.693810474	901.0398441060097	43.040768	TIMEOUT	900.693810474	901.0398441060097	43.040768												</t>
  </si>
  <si>
    <t xml:space="preserve">openpsa/ft-openpsa-800-03.xml																	OUT OF MEMORY	388.246856875	388.5589928319969	16000.000000	OUT OF MEMORY	388.246856875	388.5589928319969	16000.000000					TIMEOUT	900.77478886	901.0676300619962	304.664576	TIMEOUT	900.77478886	901.0676300619962	304.664576					TIMEOUT	900.520092901	901.0522937089991	575.193088	TIMEOUT	900.520092901	901.0522937089991	575.193088					OUT OF MEMORY	359.247530067	359.5180250869889	16000.000000	OUT OF MEMORY	359.247530067	359.5180250869889	16000.000000					TIMEOUT	900.761531834	901.0703241779993	304.750592	TIMEOUT	900.761531834	901.0703241779993	304.750592					TIMEOUT	900.752875668	901.0782227159943	575.279104	TIMEOUT	900.752875668	901.0782227159943	575.279104												</t>
  </si>
  <si>
    <t xml:space="preserve">openpsa/ft-openpsa-800-04.xml																	TIMEOUT	900.795534038	901.2459412329918	2636.017664	TIMEOUT	900.795534038	901.2459412329918	2636.017664					TIMEOUT	900.367398303	901.0303095229901	14.729216	TIMEOUT	900.367398303	901.0303095229901	14.729216					TIMEOUT	900.212541105	901.013473412997	17.879040	TIMEOUT	900.212541105	901.013473412997	17.879040					TIMEOUT	900.663013645	901.2216037769977	2636.087296	TIMEOUT	900.663013645	901.2216037769977	2636.087296					TIMEOUT	900.520372721	901.044924782007	14.598144	TIMEOUT	900.520372721	901.044924782007	14.598144					TIMEOUT	900.567517567	901.0402712249779	17.887232	TIMEOUT	900.567517567	901.0402712249779	17.887232												</t>
  </si>
  <si>
    <t xml:space="preserve">openpsa/ft-openpsa-800-05.xml																	TIMEOUT	900.461627505	901.0481011070078	219.463680	TIMEOUT	900.461627505	901.0481011070078	219.463680					TIMEOUT	900.717884333	901.0365388009814	15.904768	TIMEOUT	900.717884333	901.0365388009814	15.904768					TIMEOUT	900.6135862	901.0198663990013	27.627520	TIMEOUT	900.6135862	901.0198663990013	27.627520					TIMEOUT	900.531385426	901.0546923320217	219.525120	TIMEOUT	900.531385426	901.0546923320217	219.525120					TIMEOUT	900.625329659	901.0435135950102	15.937536	TIMEOUT	900.625329659	901.0435135950102	15.937536					TIMEOUT	900.703150568	901.0387715760153	27.570176	TIMEOUT	900.703150568	901.0387715760153	27.570176												</t>
  </si>
  <si>
    <t xml:space="preserve">openpsa/ft-openpsa-800-06.xml																	OUT OF MEMORY	418.173964002	418.5404443380248	16000.000000	OUT OF MEMORY	418.173964002	418.5404443380248	16000.000000					TIMEOUT	900.922889838	901.4620478620054	7357.636608	TIMEOUT	900.922889838	901.4620478620054	7357.636608					OUT OF MEMORY	373.315151002	373.63953827098885	16000.000000	OUT OF MEMORY	373.315151002	373.63953827098885	16000.000000					OUT OF MEMORY	410.08142752	410.4190590379876	16000.000000	OUT OF MEMORY	410.08142752	410.4190590379876	16000.000000					TIMEOUT	900.973814106	901.519990426983	7359.287296	TIMEOUT	900.973814106	901.519990426983	7359.287296					OUT OF MEMORY	330.98709936	331.21745980301057	16000.000000	OUT OF MEMORY	330.98709936	331.21745980301057	16000.000000												</t>
  </si>
  <si>
    <t xml:space="preserve">openpsa/ft-openpsa-800-07.xml																	OUT OF MEMORY	347.074681125	347.3290701209917	16000.000000	OUT OF MEMORY	347.074681125	347.3290701209917	16000.000000					TIMEOUT	901.006662054	902.2504220819974	65.716224	TIMEOUT	901.006662054	902.2504220819974	65.716224					TIMEOUT	901.1599471	902.6734976239968	2277.556224	TIMEOUT	901.1599471	902.6734976239968	2277.556224					OUT OF MEMORY	372.543150267	372.8551206990087	16000.000000	OUT OF MEMORY	372.543150267	372.8551206990087	16000.000000					TIMEOUT	900.193263283	901.0450386209995	65.736704	TIMEOUT	900.193263283	901.0450386209995	65.736704					TIMEOUT	900.584933307	901.2333188799967	2277.560320	TIMEOUT	900.584933307	901.2333188799967	2277.560320												</t>
  </si>
  <si>
    <t xml:space="preserve">openpsa/ft-openpsa-800-08.xml																	OUT OF MEMORY	266.880783278	267.1208383819903	16000.000000	OUT OF MEMORY	266.880783278	267.1208383819903	16000.000000					TIMEOUT	900.615419421	901.1909614879987	2062.139392	TIMEOUT	900.615419421	901.1909614879987	2062.139392					TIMEOUT	900.755389429	901.1857878420124	2515.267584	TIMEOUT	900.755389429	901.1857878420124	2515.267584					OUT OF MEMORY	258.935547302	259.16182537100394	16000.000000	OUT OF MEMORY	258.935547302	259.16182537100394	16000.000000					TIMEOUT	900.733891858	901.1979892160161	2062.069760	TIMEOUT	900.733891858	901.1979892160161	2062.069760					TIMEOUT	900.755192942	901.251377979992	2515.025920	TIMEOUT	900.755192942	901.251377979992	2515.025920												</t>
  </si>
  <si>
    <t xml:space="preserve">openpsa/ft-openpsa-800-09.xml																	OUT OF MEMORY	264.025496273	264.2551510500198	16000.000000	OUT OF MEMORY	264.025496273	264.2551510500198	16000.000000					TIMEOUT	900.616180168	901.1143324810255	1092.513792	TIMEOUT	900.616180168	901.1143324810255	1092.513792					TIMEOUT	900.783342118	901.1911715479946	2225.913856	TIMEOUT	900.783342118	901.1911715479946	2225.913856					OUT OF MEMORY	254.275946734	254.4802924649848	16000.000000	OUT OF MEMORY	254.275946734	254.4802924649848	16000.000000					TIMEOUT	900.49925293	901.1282849080162	1092.423680	TIMEOUT	900.49925293	901.1282849080162	1092.423680					TIMEOUT	900.728340918	901.2231877349841	2225.971200	TIMEOUT	900.728340918	901.2231877349841	2225.971200												</t>
  </si>
  <si>
    <t xml:space="preserve">openpsa/ft-openpsa-8000-01.xml																	OUT OF MEMORY	263.501929751	263.761900071986	16000.000000	OUT OF MEMORY	263.501929751	263.761900071986	16000.000000					OUT OF MEMORY	679.003354541	679.6074353700096	16000.000000	OUT OF MEMORY	679.003354541	679.6074353700096	16000.000000					TIMEOUT	900.876285493	901.5227901619946	8666.394624	TIMEOUT	900.876285493	901.5227901619946	8666.394624					OUT OF MEMORY	251.639413119	251.8520966929791	16000.000000	OUT OF MEMORY	251.639413119	251.8520966929791	16000.000000					OUT OF MEMORY	674.368125644	674.958273953991	16000.000000	OUT OF MEMORY	674.368125644	674.958273953991	16000.000000					TIMEOUT	900.974055187	901.6023380410043	8666.529792	TIMEOUT	900.974055187	901.6023380410043	8666.529792												</t>
  </si>
  <si>
    <t xml:space="preserve">openpsa/ft-openpsa-8000-02.xml																	OUT OF MEMORY	218.913517895	219.0574423109938	16000.000000	OUT OF MEMORY	218.913517895	219.0574423109938	16000.000000					OUT OF MEMORY	788.300725723	789.0193812340149	16000.000000	OUT OF MEMORY	788.300725723	789.0193812340149	16000.000000					TIMEOUT	900.980249006	901.5974643859954	9373.675520	TIMEOUT	900.980249006	901.5974643859954	9373.675520					OUT OF MEMORY	236.771503429	237.0056622499833	16000.000000	OUT OF MEMORY	236.771503429	237.0056622499833	16000.000000					OUT OF MEMORY	782.207518775	782.9307283580129	16000.000000	OUT OF MEMORY	782.207518775	782.9307283580129	16000.000000					TIMEOUT	900.95746463	901.6205124670232	9373.671424	TIMEOUT	900.95746463	901.6205124670232	9373.671424												</t>
  </si>
  <si>
    <t xml:space="preserve">openpsa/ft-openpsa-8000-03.xml																	OUT OF MEMORY	318.275878938	318.6455437139957	16000.000000	OUT OF MEMORY	318.275878938	318.6455437139957	16000.000000					OUT OF MEMORY	696.487688512	697.2383111939998	16000.000000	OUT OF MEMORY	696.487688512	697.2383111939998	16000.000000					OUT OF MEMORY	246.652709988	246.89739912901132	16000.000000	OUT OF MEMORY	246.652709988	246.89739912901132	16000.000000					OUT OF MEMORY	306.682649202	306.9563836370071	16000.000000	OUT OF MEMORY	306.682649202	306.9563836370071	16000.000000					OUT OF MEMORY	691.006518171	691.8400171860121	16000.000000	OUT OF MEMORY	691.006518171	691.8400171860121	16000.000000					OUT OF MEMORY	241.36001009	241.5490704080148	16000.000000	OUT OF MEMORY	241.36001009	241.5490704080148	16000.000000												</t>
  </si>
  <si>
    <t xml:space="preserve">openpsa/ft-openpsa-8000-04.xml																	OUT OF MEMORY	243.204291401	243.51709948701318	16000.000000	OUT OF MEMORY	243.204291401	243.51709948701318	16000.000000					TIMEOUT	901.05366588	901.8084734099975	14969.753600	TIMEOUT	901.05366588	901.8084734099975	14969.753600					OUT OF MEMORY	413.303243281	414.70569016800437	16000.000000	OUT OF MEMORY	413.303243281	414.70569016800437	16000.000000					OUT OF MEMORY	230.874402322	231.07198270899244	16000.000000	OUT OF MEMORY	230.874402322	231.07198270899244	16000.000000					TIMEOUT	901.138987503	901.841401963	14969.774080	TIMEOUT	901.138987503	901.841401963	14969.774080					OUT OF MEMORY	420.31236422	420.6412325599813	16000.000000	OUT OF MEMORY	420.31236422	420.6412325599813	16000.000000												</t>
  </si>
  <si>
    <t xml:space="preserve">openpsa/ft-openpsa-8000-05.xml																	OUT OF MEMORY	274.765257944	274.9860737959971	16000.000000	OUT OF MEMORY	274.765257944	274.9860737959971	16000.000000					OUT OF MEMORY	638.963646799	639.4759117630019	16000.000000	OUT OF MEMORY	638.963646799	639.4759117630019	16000.000000					OUT OF MEMORY	271.420313038	271.6419732909999	16000.000000	OUT OF MEMORY	271.420313038	271.6419732909999	16000.000000					OUT OF MEMORY	286.465727424	286.7066690439824	16000.000000	OUT OF MEMORY	286.465727424	286.7066690439824	16000.000000					OUT OF MEMORY	662.277818623	662.866644054011	16000.000000	OUT OF MEMORY	662.277818623	662.866644054011	16000.000000					OUT OF MEMORY	269.814480652	270.10336398601066	16000.000000	OUT OF MEMORY	269.814480652	270.10336398601066	16000.000000												</t>
  </si>
  <si>
    <t xml:space="preserve">openpsa/ft-openpsa-8000-06.xml																	OUT OF MEMORY	259.275770461	259.5347725220199	16000.000000	OUT OF MEMORY	259.275770461	259.5347725220199	16000.000000					TIMEOUT	900.789391469	901.5581291390117	8776.146944	TIMEOUT	900.789391469	901.5581291390117	8776.146944					OUT OF MEMORY	760.876707027	761.5232440489926	16000.000000	OUT OF MEMORY	760.876707027	761.5232440489926	16000.000000					OUT OF MEMORY	250.789363288	251.03093190098298	16000.000000	OUT OF MEMORY	250.789363288	251.03093190098298	16000.000000					TIMEOUT	900.7788356	901.5404119179875	8776.151040	TIMEOUT	900.7788356	901.5404119179875	8776.151040					OUT OF MEMORY	751.813050295	752.4261078840063	16000.000000	OUT OF MEMORY	751.813050295	752.4261078840063	16000.000000												</t>
  </si>
  <si>
    <t xml:space="preserve">openpsa/ft-openpsa-8000-07.xml																	OUT OF MEMORY	305.855269488	306.1762424240005	16000.000000	OUT OF MEMORY	305.855269488	306.1762424240005	16000.000000					TIMEOUT	901.088795162	901.8391046299948	14930.489344	TIMEOUT	901.088795162	901.8391046299948	14930.489344					OUT OF MEMORY	635.087671479	635.6752333089971	16000.000000	OUT OF MEMORY	635.087671479	635.6752333089971	16000.000000					OUT OF MEMORY	305.010569102	305.30677368398756	16000.000000	OUT OF MEMORY	305.010569102	305.30677368398756	16000.000000					TIMEOUT	901.082444436	901.9580475910043	14930.464768	TIMEOUT	901.082444436	901.9580475910043	14930.464768					OUT OF MEMORY	625.52228361	626.0446055840002	16000.000000	OUT OF MEMORY	625.52228361	626.0446055840002	16000.000000												</t>
  </si>
  <si>
    <t xml:space="preserve">openpsa/ft-openpsa-8000-08.xml																	OUT OF MEMORY	358.105303452	358.49413336400175	16000.000000	OUT OF MEMORY	358.105303452	358.49413336400175	16000.000000					OUT OF MEMORY	769.594146099	770.2192215119721	16000.000000	OUT OF MEMORY	769.594146099	770.2192215119721	16000.000000					OUT OF MEMORY	334.115450408	334.5515522850037	16000.000000	OUT OF MEMORY	334.115450408	334.5515522850037	16000.000000					OUT OF MEMORY	345.697243191	346.0024760749948	16000.000000	OUT OF MEMORY	345.697243191	346.0024760749948	16000.000000					OUT OF MEMORY	754.516876815	755.1100355219969	16000.000000	OUT OF MEMORY	754.516876815	755.1100355219969	16000.000000					OUT OF MEMORY	329.612279691	329.94017218999215	16000.000000	OUT OF MEMORY	329.612279691	329.94017218999215	16000.000000												</t>
  </si>
  <si>
    <t xml:space="preserve">openpsa/ft-openpsa-8000-09.xml																	OUT OF MEMORY	353.433368588	353.74898864200804	16000.000000	OUT OF MEMORY	353.433368588	353.74898864200804	16000.000000					OUT OF MEMORY	746.198436993	746.7470638589875	16000.000000	OUT OF MEMORY	746.198436993	746.7470638589875	16000.000000					OUT OF MEMORY	325.041021957	325.44154460399295	16000.000000	OUT OF MEMORY	325.041021957	325.44154460399295	16000.000000					OUT OF MEMORY	358.513795494	358.97200416299165	16000.000000	OUT OF MEMORY	358.513795494	358.97200416299165	16000.000000					OUT OF MEMORY	756.575679707	757.2101011500054	16000.000000	OUT OF MEMORY	756.575679707	757.2101011500054	16000.000000					OUT OF MEMORY	331.454838244	331.7776680800016	16000.000000	OUT OF MEMORY	331.454838244	331.7776680800016	16000.000000												</t>
  </si>
  <si>
    <t xml:space="preserve">openpsa/ft-openpsa-900-01.xml																	TIMEOUT	900.459350648	901.0372639959969	32.698368	TIMEOUT	900.459350648	901.0372639959969	32.698368					TIMEOUT	900.531863475	901.0323402029753	11.698176	TIMEOUT	900.531863475	901.0323402029753	11.698176					TIMEOUT	900.58048927	901.0185663130105	20.295680	TIMEOUT	900.58048927	901.0185663130105	20.295680					TIMEOUT	900.420728822	901.0360711130197	32.694272	TIMEOUT	900.420728822	901.0360711130197	32.694272					TIMEOUT	900.203440783	901.0447475329856	11.583488	TIMEOUT	900.203440783	901.0447475329856	11.583488					TIMEOUT	900.526887566	901.0398593829887	20.275200	TIMEOUT	900.526887566	901.0398593829887	20.275200												</t>
  </si>
  <si>
    <t xml:space="preserve">openpsa/ft-openpsa-900-02.xml																	OUT OF MEMORY	647.978937778	648.5251698240172	16000.000000	OUT OF MEMORY	647.978937778	648.5251698240172	16000.000000					TIMEOUT	900.731570421	901.3270987980068	4594.126848	TIMEOUT	900.731570421	901.3270987980068	4594.126848					TIMEOUT	901.047532169	901.5858357639954	9696.088064	TIMEOUT	901.047532169	901.5858357639954	9696.088064					OUT OF MEMORY	674.486601429	675.1291209589981	16000.000000	OUT OF MEMORY	674.486601429	675.1291209589981	16000.000000					TIMEOUT	900.613118893	901.3359344530036	4594.065408	TIMEOUT	900.613118893	901.3359344530036	4594.065408					TIMEOUT	900.959565097	901.6215018760122	9696.112640	TIMEOUT	900.959565097	901.6215018760122	9696.112640												</t>
  </si>
  <si>
    <t xml:space="preserve">openpsa/ft-openpsa-900-03.xml																	OUT OF MEMORY	366.538666288	366.9065793839982	16000.000000	OUT OF MEMORY	366.538666288	366.9065793839982	16000.000000					TIMEOUT	901.189726865	901.8601833930006	14906.544128	TIMEOUT	901.189726865	901.8601833930006	14906.544128					OUT OF MEMORY	358.646707123	359.0015027119953	16000.000000	OUT OF MEMORY	358.646707123	359.0015027119953	16000.000000					OUT OF MEMORY	358.239812796	358.56862166698556	16000.000000	OUT OF MEMORY	358.239812796	358.56862166698556	16000.000000					TIMEOUT	901.166136823	901.8749270269764	14906.597376	TIMEOUT	901.166136823	901.8749270269764	14906.597376					OUT OF MEMORY	339.773209298	340.13407367499894	16000.000000	OUT OF MEMORY	339.773209298	340.13407367499894	16000.000000												</t>
  </si>
  <si>
    <t xml:space="preserve">openpsa/ft-openpsa-900-04.xml																	OUT OF MEMORY	402.829908331	403.3059404359956	16000.000000	OUT OF MEMORY	402.829908331	403.3059404359956	16000.000000					TIMEOUT	901.00218121	902.2595118760073	10.932224	TIMEOUT	901.00218121	902.2595118760073	10.932224					TIMEOUT	901.002726939	902.5699112250004	13.312000	TIMEOUT	901.002726939	902.5699112250004	13.312000					OUT OF MEMORY	388.227562682	388.6262105900096	16000.000000	OUT OF MEMORY	388.227562682	388.6262105900096	16000.000000					TIMEOUT	900.997370231	902.1985539970046	10.788864	TIMEOUT	900.997370231	902.1985539970046	10.788864					TIMEOUT	901.001270262	902.1112095399876	13.414400	TIMEOUT	901.001270262	902.1112095399876	13.414400												</t>
  </si>
  <si>
    <t xml:space="preserve">openpsa/ft-openpsa-900-05.xml																	OUT OF MEMORY	319.748520395	320.06681242000195	16000.000000	OUT OF MEMORY	319.748520395	320.06681242000195	16000.000000					TIMEOUT	901.284709896	901.91552309299	15238.594560	TIMEOUT	901.284709896	901.91552309299	15238.594560					OUT OF MEMORY	252.605213842	252.87441992599634	16000.000000	OUT OF MEMORY	252.605213842	252.87441992599634	16000.000000					OUT OF MEMORY	329.31005549	329.64759125901037	16000.000000	OUT OF MEMORY	329.31005549	329.64759125901037	16000.000000					TIMEOUT	901.656885706	902.3018508089881	15309.496320	TIMEOUT	901.656885706	902.3018508089881	15309.496320					OUT OF MEMORY	264.983251198	265.35125200700713	16000.000000	OUT OF MEMORY	264.983251198	265.35125200700713	16000.000000												</t>
  </si>
  <si>
    <t xml:space="preserve">openpsa/ft-openpsa-900-06.xml																	OUT OF MEMORY	874.834500911	875.6302572019922	16000.000000	OUT OF MEMORY	874.834500911	875.6302572019922	16000.000000					TIMEOUT	900.596432412	901.0546336359985	304.660480	TIMEOUT	900.596432412	901.0546336359985	304.660480					TIMEOUT	900.653885258	901.0590051530016	504.807424	TIMEOUT	900.653885258	901.0590051530016	504.807424					OUT OF MEMORY	866.81160498	867.653037199023	16000.000000	OUT OF MEMORY	866.81160498	867.653037199023	16000.000000					TIMEOUT	900.576248525	901.1020171270065	304.791552	TIMEOUT	900.576248525	901.1020171270065	304.791552					TIMEOUT	900.610461364	901.0808324709942	504.795136	TIMEOUT	900.610461364	901.0808324709942	504.795136												</t>
  </si>
  <si>
    <t xml:space="preserve">openpsa/ft-openpsa-900-07.xml																	OUT OF MEMORY	435.100172642	435.594499911007	16000.000000	OUT OF MEMORY	435.100172642	435.594499911007	16000.000000					TIMEOUT	901.27041224	901.9702918260009	15842.488320	TIMEOUT	901.27041224	901.9702918260009	15842.488320					OUT OF MEMORY	349.276563541	349.5706312060065	16000.000000	OUT OF MEMORY	349.276563541	349.5706312060065	16000.000000					OUT OF MEMORY	417.370231547	417.76872077200096	16000.000000	OUT OF MEMORY	417.370231547	417.76872077200096	16000.000000					TIMEOUT	901.291842705	901.9705733699957	15830.695936	TIMEOUT	901.291842705	901.9705733699957	15830.695936					OUT OF MEMORY	343.392373159	343.6488453789789	16000.000000	OUT OF MEMORY	343.392373159	343.6488453789789	16000.000000												</t>
  </si>
  <si>
    <t xml:space="preserve">openpsa/ft-openpsa-900-08.xml																	OUT OF MEMORY	283.441442254	283.6986819540034	16000.000000	OUT OF MEMORY	283.441442254	283.6986819540034	16000.000000					TIMEOUT	900.577136513	901.0342504470027	21.553152	TIMEOUT	900.577136513	901.0342504470027	21.553152					TIMEOUT	900.577531352	901.0207802950026	28.250112	TIMEOUT	900.577531352	901.0207802950026	28.250112					OUT OF MEMORY	292.96268532	293.370775487012	16000.000000	OUT OF MEMORY	292.96268532	293.370775487012	16000.000000					TIMEOUT	900.281420524	901.0434545940079	21.544960	TIMEOUT	900.281420524	901.0434545940079	21.544960					TIMEOUT	900.624513027	901.0538537090179	28.225536	TIMEOUT	900.624513027	901.0538537090179	28.225536												</t>
  </si>
  <si>
    <t xml:space="preserve">openpsa/ft-openpsa-900-09.xml																	OUT OF MEMORY	272.824379831	273.1316136189853	16000.000000	OUT OF MEMORY	272.824379831	273.1316136189853	16000.000000					OUT OF MEMORY	594.998372457	595.5095895419945	16000.000000	OUT OF MEMORY	594.998372457	595.5095895419945	16000.000000					OUT OF MEMORY	293.261392948	293.45050615000946	16000.000000	OUT OF MEMORY	293.261392948	293.45050615000946	16000.000000					OUT OF MEMORY	264.604477285	264.92291662900243	16000.000000	OUT OF MEMORY	264.604477285	264.92291662900243	16000.000000					OUT OF MEMORY	592.450207059	593.0965629470011	16000.000000	OUT OF MEMORY	592.450207059	593.0965629470011	16000.000000					OUT OF MEMORY	314.531305296	314.7916694790183	16000.000000	OUT OF MEMORY	314.531305296	314.7916694790183	16000.000000												</t>
  </si>
  <si>
    <t xml:space="preserve">openpsa/ft-openpsa-9000-01.xml																	OUT OF MEMORY	277.432484067	277.71988875899115	16000.000000	OUT OF MEMORY	277.432484067	277.71988875899115	16000.000000					TIMEOUT	900.670591305	901.4291520359984	7379.156992	TIMEOUT	900.670591305	901.4291520359984	7379.156992					OUT OF MEMORY	611.498240556	611.9155797179992	16000.000000	OUT OF MEMORY	611.498240556	611.9155797179992	16000.000000					OUT OF MEMORY	286.590095896	286.93255260499427	16000.000000	OUT OF MEMORY	286.590095896	286.93255260499427	16000.000000					TIMEOUT	900.731430605	901.455271533021	7379.124224	TIMEOUT	900.731430605	901.455271533021	7379.124224					OUT OF MEMORY	580.612342343	581.0074872539844	16000.000000	OUT OF MEMORY	580.612342343	581.0074872539844	16000.000000												</t>
  </si>
  <si>
    <t xml:space="preserve">openpsa/ft-openpsa-9000-02.xml																	OUT OF MEMORY	344.339776121	344.708839984989	16000.000000	OUT OF MEMORY	344.339776121	344.708839984989	16000.000000					TIMEOUT	900.838084958	901.4428558310028	7430.397952	TIMEOUT	900.838084958	901.4428558310028	7430.397952					OUT OF MEMORY	563.923732148	564.444552822999	16000.000000	OUT OF MEMORY	563.923732148	564.444552822999	16000.000000					OUT OF MEMORY	334.153150011	334.4776514810219	16000.000000	OUT OF MEMORY	334.153150011	334.4776514810219	16000.000000					TIMEOUT	900.735650801	901.4625660129823	7430.275072	TIMEOUT	900.735650801	901.4625660129823	7430.275072					OUT OF MEMORY	576.83813254	577.3109935179818	16000.000000	OUT OF MEMORY	576.83813254	577.3109935179818	16000.000000												</t>
  </si>
  <si>
    <t xml:space="preserve">openpsa/ft-openpsa-9000-03.xml																	OUT OF MEMORY	236.268337733	236.49761549697723	16000.000000	OUT OF MEMORY	236.268337733	236.49761549697723	16000.000000					OUT OF MEMORY	866.850164226	867.636317135999	16000.000000	OUT OF MEMORY	866.850164226	867.636317135999	16000.000000					OUT OF MEMORY	266.510154206	266.7376709490054	16000.000000	OUT OF MEMORY	266.510154206	266.7376709490054	16000.000000					OUT OF MEMORY	240.748013421	241.08336840299307	16000.000000	OUT OF MEMORY	240.748013421	241.08336840299307	16000.000000					OUT OF MEMORY	865.81533198	866.7054979369859	16000.000000	OUT OF MEMORY	865.81533198	866.7054979369859	16000.000000					OUT OF MEMORY	275.955526766	276.3627315630147	16000.000000	OUT OF MEMORY	275.955526766	276.3627315630147	16000.000000												</t>
  </si>
  <si>
    <t xml:space="preserve">openpsa/ft-openpsa-9000-04.xml																	OUT OF MEMORY	265.130904331	265.41345428299974	16000.000000	OUT OF MEMORY	265.130904331	265.41345428299974	16000.000000					TIMEOUT	901.046311019	901.8803120289813	14930.329600	TIMEOUT	901.046311019	901.8803120289813	14930.329600					OUT OF MEMORY	312.078255696	312.3542846630007	16000.000000	OUT OF MEMORY	312.078255696	312.3542846630007	16000.000000					OUT OF MEMORY	258.240595542	258.5008820799994	16000.000000	OUT OF MEMORY	258.240595542	258.5008820799994	16000.000000					TIMEOUT	901.110886073	901.9620241360099	14930.759680	TIMEOUT	901.110886073	901.9620241360099	14930.759680					OUT OF MEMORY	304.542958888	304.8543650000065	16000.000000	OUT OF MEMORY	304.542958888	304.8543650000065	16000.000000												</t>
  </si>
  <si>
    <t xml:space="preserve">openpsa/ft-openpsa-9000-05.xml																	OUT OF MEMORY	236.392709434	236.6198252789909	16000.000000	OUT OF MEMORY	236.392709434	236.6198252789909	16000.000000					OUT OF MEMORY	889.329805736	890.0739826479985	16000.000000	OUT OF MEMORY	889.329805736	890.0739826479985	16000.000000					TIMEOUT	900.981373326	901.6432224970049	11087.269888	TIMEOUT	900.981373326	901.6432224970049	11087.269888					OUT OF MEMORY	242.974184951	243.2434001280053	16000.000000	OUT OF MEMORY	242.974184951	243.2434001280053	16000.000000					OUT OF MEMORY	897.866265498	898.6110265959869	16000.000000	OUT OF MEMORY	897.866265498	898.6110265959869	16000.000000					TIMEOUT	901.116107012	901.7360171200125	11087.314944	TIMEOUT	901.116107012	901.7360171200125	11087.314944												</t>
  </si>
  <si>
    <t xml:space="preserve">openpsa/ft-openpsa-9000-06.xml																	OUT OF MEMORY	228.888124009	229.1154948559997	16000.000000	OUT OF MEMORY	228.888124009	229.1154948559997	16000.000000					TIMEOUT	901.017509512	901.8685669749975	14891.065344	TIMEOUT	901.017509512	901.8685669749975	14891.065344					OUT OF MEMORY	317.132817741	317.4522726060095	16000.000000	OUT OF MEMORY	317.132817741	317.4522726060095	16000.000000					OUT OF MEMORY	227.788611014	228.02015530900098	16000.000000	OUT OF MEMORY	227.788611014	228.02015530900098	16000.000000					TIMEOUT	901.129895322	901.8789740270004	14891.057152	TIMEOUT	901.129895322	901.8789740270004	14891.057152					OUT OF MEMORY	312.29015045	312.5605485640117	16000.000000	OUT OF MEMORY	312.29015045	312.5605485640117	16000.000000												</t>
  </si>
  <si>
    <t xml:space="preserve">openpsa/ft-openpsa-9000-07.xml																	OUT OF MEMORY	254.917133465	255.19193495900254	16000.000000	OUT OF MEMORY	254.917133465	255.19193495900254	16000.000000					OUT OF MEMORY	756.851081828	757.5493966640206	16000.000000	OUT OF MEMORY	756.851081828	757.5493966640206	16000.000000					OUT OF MEMORY	846.19867698	846.7150067920011	16000.000000	OUT OF MEMORY	846.19867698	846.7150067920011	16000.000000					OUT OF MEMORY	256.342320496	256.5986024219892	16000.000000	OUT OF MEMORY	256.342320496	256.5986024219892	16000.000000					OUT OF MEMORY	746.57821592	747.18792294999	16000.000000	OUT OF MEMORY	746.57821592	747.18792294999	16000.000000					OUT OF MEMORY	859.381696055	859.9961947310076	16000.000000	OUT OF MEMORY	859.381696055	859.9961947310076	16000.000000												</t>
  </si>
  <si>
    <t xml:space="preserve">openpsa/ft-openpsa-9000-08.xml																	OUT OF MEMORY	249.971218928	250.3609154339938	16000.000000	OUT OF MEMORY	249.971218928	250.3609154339938	16000.000000					OUT OF MEMORY	574.604369415	575.0796719219943	16000.000000	OUT OF MEMORY	574.604369415	575.0796719219943	16000.000000					OUT OF MEMORY	318.710473404	319.01815750199603	16000.000000	OUT OF MEMORY	318.710473404	319.01815750199603	16000.000000					OUT OF MEMORY	239.044189589	239.2662624970253	16000.000000	OUT OF MEMORY	239.044189589	239.2662624970253	16000.000000					OUT OF MEMORY	570.864943162	571.3847320060013	16000.000000	OUT OF MEMORY	570.864943162	571.3847320060013	16000.000000					OUT OF MEMORY	311.643517266	311.9685501859931	16000.000000	OUT OF MEMORY	311.643517266	311.9685501859931	16000.000000												</t>
  </si>
  <si>
    <t xml:space="preserve">openpsa/ft-openpsa-9000-09.xml																	OUT OF MEMORY	226.211475439	226.39958155198838	16000.000000	OUT OF MEMORY	226.211475439	226.39958155198838	16000.000000					OUT OF MEMORY	813.109006996	813.7728381389752	16000.000000	OUT OF MEMORY	813.109006996	813.7728381389752	16000.000000					OUT OF MEMORY	334.739602283	335.0625460080046	16000.000000	OUT OF MEMORY	334.739602283	335.0625460080046	16000.000000					OUT OF MEMORY	239.287667832	239.76909625000553	16000.000000	OUT OF MEMORY	239.287667832	239.76909625000553	16000.000000					OUT OF MEMORY	813.230989051	813.8904713539814	16000.000000	OUT OF MEMORY	813.230989051	813.8904713539814	16000.000000					OUT OF MEMORY	328.827783234	329.1783081209869	16000.000000	OUT OF MEMORY	328.827783234	329.1783081209869	16000.000000												</t>
  </si>
  <si>
    <t xml:space="preserve">openpsa/ccf/ccf1-ft-openpsa-100-05.xml													done	0.081357354	0.10089395398972556	6.287360					done	0.081357354	0.10089395398972556	6.287360	done	0.098020396	0.12366946798283607	6.217728					done	0.098020396	0.12366946798283607	6.217728	done	0.075428523	0.07897752900316846	6.197248					done	0.075428523	0.07897752900316846	6.197248	done	0.112576778	0.16292733798036352	6.328320					done	0.112576778	0.16292733798036352	6.328320	done	0.116762473	0.15349948598304763	6.197248					done	0.116762473	0.15349948598304763	6.197248	done	0.102610805	0.13729736401000991	6.193152					done	0.102610805	0.13729736401000991	6.193152												</t>
  </si>
  <si>
    <t xml:space="preserve">openpsa/ccf/ccf1-ft-openpsa-1000-05.xml													OUT OF MEMORY	308.024016457	308.32772048699553	16000.000000					OUT OF MEMORY	308.024016457	308.32772048699553	16000.000000	TIMEOUT	901.134024562	901.858429815009	15148.687360					TIMEOUT	901.134024562	901.858429815009	15148.687360	OUT OF MEMORY	439.607930774	439.96414996699605	16000.000000					OUT OF MEMORY	439.607930774	439.96414996699605	16000.000000	OUT OF MEMORY	306.284266181	306.61285422800574	16000.000000					OUT OF MEMORY	306.284266181	306.61285422800574	16000.000000	TIMEOUT	901.263255174	901.9001555059804	15148.630016					TIMEOUT	901.263255174	901.9001555059804	15148.630016	OUT OF MEMORY	441.763427611	442.1206949740008	16000.000000					OUT OF MEMORY	441.763427611	442.1206949740008	16000.000000												</t>
  </si>
  <si>
    <t xml:space="preserve">openpsa/ccf/ccf1-ft-openpsa-200-05.xml													done	0.979967911	0.988231626994093	7.249920					done	0.979967911	0.988231626994093	7.249920	done	1.01740323	1.0355541320168413	6.725632					done	1.01740323	1.0355541320168413	6.725632	done	1.007870482	1.0123133300076006	6.770688					done	1.007870482	1.0123133300076006	6.770688	done	1.176530842	1.2020970709854737	7.258112					done	1.176530842	1.2020970709854737	7.258112	done	1.189682553	1.220803076023003	6.721536					done	1.189682553	1.220803076023003	6.721536	done	1.153946672	1.1819323119998444	6.762496					done	1.153946672	1.1819323119998444	6.762496												</t>
  </si>
  <si>
    <t xml:space="preserve">openpsa/ccf/ccf1-ft-openpsa-300-05.xml													TIMEOUT	901.014212365	902.6002998470067	274.022400					TIMEOUT	901.014212365	902.6002998470067	274.022400	TIMEOUT	901.002034995	902.3930976100091	11.042816					TIMEOUT	901.002034995	902.3930976100091	11.042816	TIMEOUT	901.003673791	902.6240264459921	12.767232					TIMEOUT	901.003673791	902.6240264459921	12.767232	TIMEOUT	901.023330418	902.6968235899985	274.087936					TIMEOUT	901.023330418	902.6968235899985	274.087936	TIMEOUT	901.004343323	902.5790328769945	10.911744					TIMEOUT	901.004343323	902.5790328769945	10.911744	TIMEOUT	901.003862474	902.5118534780049	12.767232					TIMEOUT	901.003862474	902.5118534780049	12.767232												</t>
  </si>
  <si>
    <t xml:space="preserve">openpsa/ccf/ccf1-ft-openpsa-400-05.xml													TIMEOUT	900.691046674	901.0143858340016	33.964032					TIMEOUT	900.691046674	901.0143858340016	33.964032	TIMEOUT	900.710026016	901.0249400500034	23.904256					TIMEOUT	900.710026016	901.0249400500034	23.904256	TIMEOUT	900.715644063	901.0113625680096	60.186624					TIMEOUT	900.715644063	901.0113625680096	60.186624	TIMEOUT	900.665144742	901.0286536750209	33.943552					TIMEOUT	900.665144742	901.0286536750209	33.943552	TIMEOUT	900.7200533	901.0341709970089	23.900160					TIMEOUT	900.7200533	901.0341709970089	23.900160	TIMEOUT	900.719659712	901.0320036600169	60.211200					TIMEOUT	900.719659712	901.0320036600169	60.211200												</t>
  </si>
  <si>
    <t xml:space="preserve">openpsa/ccf/ccf1-ft-openpsa-500-05.xml													OUT OF MEMORY	491.423767108	491.8059443480015	16000.000000					OUT OF MEMORY	491.423767108	491.8059443480015	16000.000000	TIMEOUT	900.630134459	901.1068706180085	1022.107648					TIMEOUT	900.630134459	901.1068706180085	1022.107648	TIMEOUT	900.672980544	901.0816268009949	1198.317568					TIMEOUT	900.672980544	901.0816268009949	1198.317568	OUT OF MEMORY	490.563774398	491.10357495900826	16000.000000					OUT OF MEMORY	490.563774398	491.10357495900826	16000.000000	TIMEOUT	900.64535636	901.1253106090007	1022.095360					TIMEOUT	900.64535636	901.1253106090007	1022.095360	TIMEOUT	900.720242781	901.1280753169849	1198.280704					TIMEOUT	900.720242781	901.1280753169849	1198.280704												</t>
  </si>
  <si>
    <t xml:space="preserve">openpsa/ccf/ccf1-ft-openpsa-600-05.xml													OUT OF MEMORY	342.21485432	342.5709430179995	16000.000000					OUT OF MEMORY	342.21485432	342.5709430179995	16000.000000	TIMEOUT	900.720217534	901.0318630900001	98.742272					TIMEOUT	900.720217534	901.0318630900001	98.742272	TIMEOUT	900.70583346	901.0312425220036	325.763072					TIMEOUT	900.70583346	901.0312425220036	325.763072	OUT OF MEMORY	342.524066185	342.7731213629886	16000.000000					OUT OF MEMORY	342.524066185	342.7731213629886	16000.000000	TIMEOUT	900.719063239	901.0441821109853	98.705408					TIMEOUT	900.719063239	901.0441821109853	98.705408	TIMEOUT	900.763948564	901.0651761020126	325.758976					TIMEOUT	900.763948564	901.0651761020126	325.758976												</t>
  </si>
  <si>
    <t xml:space="preserve">openpsa/ccf/ccf1-ft-openpsa-700-05.xml													OUT OF MEMORY	280.683791943	280.93979958198906	16000.000000					OUT OF MEMORY	280.683791943	280.93979958198906	16000.000000	TIMEOUT	901.023647855	901.5777535889938	10475.388928					TIMEOUT	901.023647855	901.5777535889938	10475.388928	OUT OF MEMORY	518.667208722	519.012957496001	16000.000000					OUT OF MEMORY	518.667208722	519.012957496001	16000.000000	OUT OF MEMORY	278.685181356	278.96287555102026	16000.000000					OUT OF MEMORY	278.685181356	278.96287555102026	16000.000000	TIMEOUT	900.90000784	901.6070614790078	10475.364352					TIMEOUT	900.90000784	901.6070614790078	10475.364352	OUT OF MEMORY	519.077574472	519.4655201729911	16000.000000					OUT OF MEMORY	519.077574472	519.4655201729911	16000.000000												</t>
  </si>
  <si>
    <t xml:space="preserve">openpsa/ccf/ccf1-ft-openpsa-800-05.xml													TIMEOUT	900.616967243	901.0647893870046	731.828224					TIMEOUT	900.616967243	901.0647893870046	731.828224	TIMEOUT	900.531044532	901.0545225289825	48.050176					TIMEOUT	900.531044532	901.0545225289825	48.050176	TIMEOUT	900.636664687	901.0176535950013	154.243072					TIMEOUT	900.636664687	901.0176535950013	154.243072	TIMEOUT	900.620721935	901.1029201830097	731.877376					TIMEOUT	900.620721935	901.1029201830097	731.877376	TIMEOUT	900.630517716	901.0735445159953	48.021504					TIMEOUT	900.630517716	901.0735445159953	48.021504	TIMEOUT	900.642340586	901.0743045370036	154.333184					TIMEOUT	900.642340586	901.0743045370036	154.333184												</t>
  </si>
  <si>
    <t xml:space="preserve">openpsa/ccf/ccf1-ft-openpsa-900-05.xml													OUT OF MEMORY	354.458392521	354.7113143840106	16000.000000					OUT OF MEMORY	354.458392521	354.7113143840106	16000.000000	TIMEOUT	901.43544732	901.9080801499949	15146.885120					TIMEOUT	901.43544732	901.9080801499949	15146.885120	OUT OF MEMORY	500.846350993	501.1348657859926	16000.000000					OUT OF MEMORY	500.846350993	501.1348657859926	16000.000000	OUT OF MEMORY	354.911952059	355.3061411709932	16000.000000					OUT OF MEMORY	354.911952059	355.3061411709932	16000.000000	TIMEOUT	901.481882048	901.997827707004	15146.831872					TIMEOUT	901.481882048	901.997827707004	15146.831872	OUT OF MEMORY	500.561231382	501.01130163201015	16000.000000					OUT OF MEMORY	500.561231382	501.01130163201015	16000.000000												</t>
  </si>
  <si>
    <t xml:space="preserve">openpsa/ccf/ccf2-ft-openpsa-100-05.xml													done	2.323184823	2.338441107000108	6.688768					done	2.323184823	2.338441107000108	6.688768	done	2.51987085	2.557949970010668	6.602752					done	2.51987085	2.557949970010668	6.602752	done	2.307337622	2.315961738000624	6.557696					done	2.307337622	2.315961738000624	6.557696	done	2.84156977	2.8762176710006315	6.696960					done	2.84156977	2.8762176710006315	6.696960	done	3.100633812	3.143565247009974	6.598656					done	3.100633812	3.143565247009974	6.598656	done	2.896866348	2.933312488021329	6.561792					done	2.896866348	2.933312488021329	6.561792												</t>
  </si>
  <si>
    <t xml:space="preserve">openpsa/ccf/ccf2-ft-openpsa-1000-05.xml													OUT OF MEMORY	319.530614616	319.77860361700004	16000.000000					OUT OF MEMORY	319.530614616	319.77860361700004	16000.000000	OUT OF MEMORY	628.077866001	628.5309884300223	16000.000000					OUT OF MEMORY	628.077866001	628.5309884300223	16000.000000	OUT OF MEMORY	310.469579034	310.6802418920124	16000.000000					OUT OF MEMORY	310.469579034	310.6802418920124	16000.000000	OUT OF MEMORY	321.826995957	322.1333630410081	16000.000000					OUT OF MEMORY	321.826995957	322.1333630410081	16000.000000	OUT OF MEMORY	632.777657773	633.2572070529859	16000.000000					OUT OF MEMORY	632.777657773	633.2572070529859	16000.000000	OUT OF MEMORY	311.880320489	312.1066503880138	16000.000000					OUT OF MEMORY	311.880320489	312.1066503880138	16000.000000												</t>
  </si>
  <si>
    <t xml:space="preserve">openpsa/ccf/ccf2-ft-openpsa-200-05.xml													done	14.18923755	14.251391930010868	13.025280					done	14.18923755	14.251391930010868	13.025280	done	14.070816247	14.11181622100412	7.569408					done	14.070816247	14.11181622100412	7.569408	done	15.064247107	15.113249243004248	7.684096					done	15.064247107	15.113249243004248	7.684096	done	16.807068467	16.872276566980872	13.021184					done	16.807068467	16.872276566980872	13.021184	done	16.816384222	16.875801084010163	7.516160					done	16.816384222	16.875801084010163	7.516160	done	17.221681088	17.282802385976538	7.651328					done	17.221681088	17.282802385976538	7.651328												</t>
  </si>
  <si>
    <t xml:space="preserve">openpsa/ccf/ccf2-ft-openpsa-300-05.xml													TIMEOUT	900.574808725	901.0370762960083	275.922944					TIMEOUT	900.574808725	901.0370762960083	275.922944	TIMEOUT	900.498362936	901.0315771579917	11.321344					TIMEOUT	900.498362936	901.0315771579917	11.321344	TIMEOUT	900.743991032	901.0298838440067	13.021184					TIMEOUT	900.743991032	901.0298838440067	13.021184	TIMEOUT	900.554850277	901.0509551120049	275.955712					TIMEOUT	900.554850277	901.0509551120049	275.955712	TIMEOUT	900.488247935	901.0392376249947	11.321344					TIMEOUT	900.488247935	901.0392376249947	11.321344	TIMEOUT	900.7565667	901.0346803920111	13.156352					TIMEOUT	900.7565667	901.0346803920111	13.156352												</t>
  </si>
  <si>
    <t xml:space="preserve">openpsa/ccf/ccf2-ft-openpsa-400-05.xml													TIMEOUT	900.51418279	901.0627165089973	561.299456					TIMEOUT	900.51418279	901.0627165089973	561.299456	TIMEOUT	900.738079328	901.0541918539966	281.456640					TIMEOUT	900.738079328	901.0541918539966	281.456640	TIMEOUT	900.643672916	901.0650098749902	768.126976					TIMEOUT	900.643672916	901.0650098749902	768.126976	TIMEOUT	900.76302213	901.0815334070066	561.295360					TIMEOUT	900.76302213	901.0815334070066	561.295360	TIMEOUT	900.741583894	901.0655071439978	281.456640					TIMEOUT	900.741583894	901.0655071439978	281.456640	TIMEOUT	900.416483575	901.0982248529908	768.102400					TIMEOUT	900.416483575	901.0982248529908	768.102400												</t>
  </si>
  <si>
    <t xml:space="preserve">openpsa/ccf/ccf2-ft-openpsa-500-05.xml													TIMEOUT	900.762644183	901.0588429700001	621.989888					TIMEOUT	900.762644183	901.0588429700001	621.989888	TIMEOUT	900.709019161	901.0331061000179	76.333056					TIMEOUT	900.709019161	901.0331061000179	76.333056	TIMEOUT	900.700171728	901.0205330290046	144.965632					TIMEOUT	900.700171728	901.0205330290046	144.965632	TIMEOUT	900.513904839	901.0812935350114	621.981696					TIMEOUT	900.513904839	901.0812935350114	621.981696	TIMEOUT	900.716104697	901.0385505539889	76.353536					TIMEOUT	900.716104697	901.0385505539889	76.353536	TIMEOUT	900.695699009	901.0499296619964	145.018880					TIMEOUT	900.695699009	901.0499296619964	145.018880												</t>
  </si>
  <si>
    <t xml:space="preserve">openpsa/ccf/ccf2-ft-openpsa-600-05.xml													OUT OF MEMORY	471.752902489	472.13405296899145	16000.000000					OUT OF MEMORY	471.752902489	472.13405296899145	16000.000000	TIMEOUT	900.674066148	901.2654606779979	3908.485120					TIMEOUT	900.674066148	901.2654606779979	3908.485120	TIMEOUT	901.261856429	901.7793752709986	14566.961152					TIMEOUT	901.261856429	901.7793752709986	14566.961152	OUT OF MEMORY	471.003200426	471.3696401829948	16000.000000					OUT OF MEMORY	471.003200426	471.3696401829948	16000.000000	TIMEOUT	900.641491882	901.2905605449923	3908.513792					TIMEOUT	900.641491882	901.2905605449923	3908.513792	TIMEOUT	901.318782771	901.8493543670047	14566.998016					TIMEOUT	901.318782771	901.8493543670047	14566.998016												</t>
  </si>
  <si>
    <t xml:space="preserve">openpsa/ccf/ccf2-ft-openpsa-700-05.xml													OUT OF MEMORY	272.018165245	272.215120584995	16000.000000					OUT OF MEMORY	272.018165245	272.215120584995	16000.000000	TIMEOUT	900.933650409	901.5614115890057	8886.165504					TIMEOUT	900.933650409	901.5614115890057	8886.165504	OUT OF MEMORY	462.768789607	463.10757977500907	16000.000000					OUT OF MEMORY	462.768789607	463.10757977500907	16000.000000	OUT OF MEMORY	270.873135838	271.0963186119916	16000.000000					OUT OF MEMORY	270.873135838	271.0963186119916	16000.000000	TIMEOUT	900.949334015	901.5815016179986	8886.202368					TIMEOUT	900.949334015	901.5815016179986	8886.202368	OUT OF MEMORY	464.697824477	465.05055358598474	16000.000000					OUT OF MEMORY	464.697824477	465.05055358598474	16000.000000												</t>
  </si>
  <si>
    <t xml:space="preserve">openpsa/ccf/ccf2-ft-openpsa-800-05.xml													TIMEOUT	901.074878144	901.487261998991	8639.533056					TIMEOUT	901.074878144	901.487261998991	8639.533056	TIMEOUT	900.714964684	901.0949652839918	478.416896					TIMEOUT	900.714964684	901.0949652839918	478.416896	TIMEOUT	900.773194737	901.111906643011	1472.249856					TIMEOUT	900.773194737	901.111906643011	1472.249856	TIMEOUT	901.096295458	901.5219575439987	8639.545344					TIMEOUT	901.096295458	901.5219575439987	8639.545344	TIMEOUT	900.737510563	901.1069163450156	478.306304					TIMEOUT	900.737510563	901.1069163450156	478.306304	TIMEOUT	900.787783003	901.1620592289837	1472.249856					TIMEOUT	900.787783003	901.1620592289837	1472.249856												</t>
  </si>
  <si>
    <t xml:space="preserve">openpsa/ccf/ccf2-ft-openpsa-900-05.xml													OUT OF MEMORY	309.398329186	309.5794966950052	16000.000000					OUT OF MEMORY	309.398329186	309.5794966950052	16000.000000	OUT OF MEMORY	545.136005261	545.4418768320174	16000.000000					OUT OF MEMORY	545.136005261	545.4418768320174	16000.000000	OUT OF MEMORY	443.459731883	443.797487525997	16000.000000					OUT OF MEMORY	443.459731883	443.797487525997	16000.000000	OUT OF MEMORY	303.538618259	304.2232751410047	16000.000000					OUT OF MEMORY	303.538618259	304.2232751410047	16000.000000	OUT OF MEMORY	545.405622508	545.7256606490118	16000.000000					OUT OF MEMORY	545.405622508	545.7256606490118	16000.000000	OUT OF MEMORY	446.094517526	446.4745215709845	16000.000000					OUT OF MEMORY	446.094517526	446.4745215709845	16000.000000												</t>
  </si>
  <si>
    <t xml:space="preserve">openpsa/ccf/ccf3-ft-openpsa-100-05.xml													done	39.900944892	39.98706431200844	6.991872					done	39.900944892	39.98706431200844	6.991872	done	39.355989867	39.42814119398827	6.868992					done	39.355989867	39.42814119398827	6.868992	done	39.195691803	39.270434821999515	6.930432					done	39.195691803	39.270434821999515	6.930432	done	48.33334821	48.455456413008505	6.991872					done	48.33334821	48.455456413008505	6.991872	done	49.136650009	49.23141995302285	6.856704					done	49.136650009	49.23141995302285	6.856704	done	48.459245587	48.572062658000505	6.901760					done	48.459245587	48.572062658000505	6.901760												</t>
  </si>
  <si>
    <t xml:space="preserve">openpsa/ccf/ccf3-ft-openpsa-1000-05.xml													OUT OF MEMORY	413.780715204	414.1106757870002	16000.000000					OUT OF MEMORY	413.780715204	414.1106757870002	16000.000000	OUT OF MEMORY	863.798243342	864.3883620559936	16000.000000					OUT OF MEMORY	863.798243342	864.3883620559936	16000.000000	OUT OF MEMORY	299.924221458	300.19722589199955	16000.000000					OUT OF MEMORY	299.924221458	300.19722589199955	16000.000000	OUT OF MEMORY	419.724272433	420.17174039199017	16000.000000					OUT OF MEMORY	419.724272433	420.17174039199017	16000.000000	OUT OF MEMORY	866.091384555	866.6502739729767	16000.000000					OUT OF MEMORY	866.091384555	866.6502739729767	16000.000000	OUT OF MEMORY	298.544725721	298.7625546469935	16000.000000					OUT OF MEMORY	298.544725721	298.7625546469935	16000.000000												</t>
  </si>
  <si>
    <t xml:space="preserve">openpsa/ccf/ccf3-ft-openpsa-200-05.xml													done	126.474966369	126.72853575200133	78.938112					done	126.474966369	126.72853575200133	78.938112	done	127.132177143	127.39022543097963	8.433664					done	127.132177143	127.39022543097963	8.433664	done	124.828229689	125.06513363200065	8.499200					done	124.828229689	125.06513363200065	8.499200	done	152.107668872	152.43394262198126	78.917632					done	152.107668872	152.43394262198126	78.917632	done	149.539492276	149.85494801099412	8.302592					done	149.539492276	149.85494801099412	8.302592	done	149.645325293	149.94970838699373	8.695808					done	149.645325293	149.94970838699373	8.695808												</t>
  </si>
  <si>
    <t xml:space="preserve">openpsa/ccf/ccf3-ft-openpsa-300-05.xml													TIMEOUT	900.564163378	901.1815043660026	1038.368768					TIMEOUT	900.564163378	901.1815043660026	1038.368768	TIMEOUT	900.458030513	901.0357064979908	20.889600					TIMEOUT	900.458030513	901.0357064979908	20.889600	TIMEOUT	900.68039624	901.0128268690023	27.934720					TIMEOUT	900.68039624	901.0128268690023	27.934720	TIMEOUT	900.606716191	901.0890516609943	1038.348288					TIMEOUT	900.606716191	901.0890516609943	1038.348288	TIMEOUT	900.458663722	901.0401017419936	20.889600					TIMEOUT	900.458663722	901.0401017419936	20.889600	TIMEOUT	900.72519436	901.0337172550207	27.967488					TIMEOUT	900.72519436	901.0337172550207	27.967488												</t>
  </si>
  <si>
    <t xml:space="preserve">openpsa/ccf/ccf3-ft-openpsa-400-05.xml													TIMEOUT	900.514695077	901.1558320850017	2480.672768					TIMEOUT	900.514695077	901.1558320850017	2480.672768	TIMEOUT	900.673218894	901.1734071949904	2054.750208					TIMEOUT	900.673218894	901.1734071949904	2054.750208	TIMEOUT	901.013814334	901.4941308050038	9165.910016					TIMEOUT	901.013814334	901.4941308050038	9165.910016	TIMEOUT	900.671876157	901.1803041690146	2480.324608					TIMEOUT	900.671876157	901.1803041690146	2480.324608	TIMEOUT	900.626565423	901.2061829070153	2054.598656					TIMEOUT	900.626565423	901.2061829070153	2054.598656	TIMEOUT	901.083921369	901.5528165040014	9165.852672					TIMEOUT	901.083921369	901.5528165040014	9165.852672												</t>
  </si>
  <si>
    <t xml:space="preserve">openpsa/ccf/ccf3-ft-openpsa-500-05.xml													OUT OF MEMORY	708.706384998	709.2117824330053	16000.000000					OUT OF MEMORY	708.706384998	709.2117824330053	16000.000000	TIMEOUT	900.627372829	901.25678852899	3702.308864					TIMEOUT	900.627372829	901.25678852899	3702.308864	TIMEOUT	900.844155857	901.2670823039953	3783.176192					TIMEOUT	900.844155857	901.2670823039953	3783.176192	OUT OF MEMORY	712.817150301	713.4108572019904	16000.000000					OUT OF MEMORY	712.817150301	713.4108572019904	16000.000000	TIMEOUT	900.728093034	901.2923877729918	3702.435840					TIMEOUT	900.728093034	901.2923877729918	3702.435840	TIMEOUT	900.646982023	901.323673884006	3783.180288					TIMEOUT	900.646982023	901.323673884006	3783.180288												</t>
  </si>
  <si>
    <t xml:space="preserve">openpsa/ccf/ccf3-ft-openpsa-600-05.xml													OUT OF MEMORY	244.441025335	244.684602163994	16000.000000					OUT OF MEMORY	244.441025335	244.684602163994	16000.000000	TIMEOUT	900.86456307	901.4711265229853	8457.764864					TIMEOUT	900.86456307	901.4711265229853	8457.764864	OUT OF MEMORY	246.235814104	246.41775812899868	16000.000000					OUT OF MEMORY	246.235814104	246.41775812899868	16000.000000	OUT OF MEMORY	243.255597913	243.4601446360175	16000.000000					OUT OF MEMORY	243.255597913	243.4601446360175	16000.000000	TIMEOUT	900.886692755	901.4919112009811	8457.699328					TIMEOUT	900.886692755	901.4919112009811	8457.699328	OUT OF MEMORY	254.812579943	255.0224349850032	16000.000000					OUT OF MEMORY	254.812579943	255.0224349850032	16000.000000												</t>
  </si>
  <si>
    <t xml:space="preserve">openpsa/ccf/ccf3-ft-openpsa-700-05.xml													OUT OF MEMORY	287.376661159	287.7262487590051	16000.000000					OUT OF MEMORY	287.376661159	287.7262487590051	16000.000000	TIMEOUT	901.232089036	901.8661793829815	15393.222656					TIMEOUT	901.232089036	901.8661793829815	15393.222656	OUT OF MEMORY	219.943664336	220.1069632689905	16000.000000					OUT OF MEMORY	219.943664336	220.1069632689905	16000.000000	OUT OF MEMORY	287.843376154	288.0874982759997	16000.000000					OUT OF MEMORY	287.843376154	288.0874982759997	16000.000000	TIMEOUT	901.290022941	901.921845475008	15393.263616					TIMEOUT	901.290022941	901.921845475008	15393.263616	OUT OF MEMORY	212.691106636	212.88343041500775	16000.000000					OUT OF MEMORY	212.691106636	212.88343041500775	16000.000000												</t>
  </si>
  <si>
    <t xml:space="preserve">openpsa/ccf/ccf3-ft-openpsa-800-05.xml													OUT OF MEMORY	430.21100994	430.53841024800204	16000.000000					OUT OF MEMORY	430.21100994	430.53841024800204	16000.000000	TIMEOUT	900.955549523	901.5886298059777	9994.088448					TIMEOUT	900.955549523	901.5886298059777	9994.088448	OUT OF MEMORY	228.174375528	228.33374944400566	16000.000000					OUT OF MEMORY	228.174375528	228.33374944400566	16000.000000	OUT OF MEMORY	431.282301807	431.851154331991	16000.000000					OUT OF MEMORY	431.282301807	431.851154331991	16000.000000	TIMEOUT	901.017874474	901.624148404022	9994.088448					TIMEOUT	901.017874474	901.624148404022	9994.088448	OUT OF MEMORY	226.506359292	226.72359075400163	16000.000000					OUT OF MEMORY	226.506359292	226.72359075400163	16000.000000												</t>
  </si>
  <si>
    <t xml:space="preserve">openpsa/ccf/ccf3-ft-openpsa-900-05.xml													OUT OF MEMORY	360.105784163	360.30534808000084	16000.000000					OUT OF MEMORY	360.105784163	360.30534808000084	16000.000000	OUT OF MEMORY	596.92024737	597.4170167249977	16000.000000					OUT OF MEMORY	596.92024737	597.4170167249977	16000.000000	OUT OF MEMORY	514.90375027	515.3221004799998	16000.000000					OUT OF MEMORY	514.90375027	515.3221004799998	16000.000000	OUT OF MEMORY	359.89189753	360.12028708300204	16000.000000					OUT OF MEMORY	359.89189753	360.12028708300204	16000.000000	OUT OF MEMORY	596.269176779	596.6974116250058	16000.000000					OUT OF MEMORY	596.269176779	596.6974116250058	16000.000000	OUT OF MEMORY	512.508951253	512.8558070709987	16000.000000					OUT OF MEMORY	512.508951253	512.8558070709987	16000.000000												</t>
  </si>
  <si>
    <t xml:space="preserve">openpsa/ccf/ccf4-ft-openpsa-100-05.xml													TIMEOUT	900.975830127	903.4082957950013	7.196672					TIMEOUT	900.975830127	903.4082957950013	7.196672	TIMEOUT	901.003349885	902.7581670209765	7.258112					TIMEOUT	901.003349885	902.7581670209765	7.258112	TIMEOUT	901.002205374	903.4928671730013	7.270400					TIMEOUT	901.002205374	903.4928671730013	7.270400	TIMEOUT	901.000275039	902.6326471350039	7.323648					TIMEOUT	901.000275039	902.6326471350039	7.323648	TIMEOUT	901.001573901	902.2620894419961	7.254016					TIMEOUT	901.001573901	902.2620894419961	7.254016	TIMEOUT	901.002709106	902.5245854709938	7.254016					TIMEOUT	901.002709106	902.5245854709938	7.254016												</t>
  </si>
  <si>
    <t xml:space="preserve">openpsa/ccf/ccf4-ft-openpsa-1000-05.xml													OUT OF MEMORY	241.749887038	242.03545355300594	16000.000000					OUT OF MEMORY	241.749887038	242.03545355300594	16000.000000	OUT OF MEMORY	849.412256673	850.0038227110053	16000.000000					OUT OF MEMORY	849.412256673	850.0038227110053	16000.000000	OUT OF MEMORY	310.321124837	310.5333028749883	16000.000000					OUT OF MEMORY	310.321124837	310.5333028749883	16000.000000	OUT OF MEMORY	242.124329236	242.39160644399817	16000.000000					OUT OF MEMORY	242.124329236	242.39160644399817	16000.000000	OUT OF MEMORY	849.961041641	850.6826441609883	16000.000000					OUT OF MEMORY	849.961041641	850.6826441609883	16000.000000	OUT OF MEMORY	309.507880027	309.7362097759906	16000.000000					OUT OF MEMORY	309.507880027	309.7362097759906	16000.000000												</t>
  </si>
  <si>
    <t xml:space="preserve">openpsa/ccf/ccf4-ft-openpsa-200-05.xml													TIMEOUT	901.019930612	903.2265607199952	101.629952					TIMEOUT	901.019930612	903.2265607199952	101.629952	TIMEOUT	901.01554023	903.3038252480037	9.236480					TIMEOUT	901.01554023	903.3038252480037	9.236480	TIMEOUT	901.009010588	902.8011566770001	9.502720					TIMEOUT	901.009010588	902.8011566770001	9.502720	TIMEOUT	901.012056399	902.2980248300009	101.765120					TIMEOUT	901.012056399	902.2980248300009	101.765120	TIMEOUT	900.407657342	901.0399127360142	9.351168					TIMEOUT	900.407657342	901.0399127360142	9.351168	TIMEOUT	900.457205422	901.0467821870116	9.482240					TIMEOUT	900.457205422	901.0467821870116	9.482240												</t>
  </si>
  <si>
    <t xml:space="preserve">openpsa/ccf/ccf4-ft-openpsa-300-05.xml													OUT OF MEMORY	349.837298102	350.09724382498825	16000.000000					OUT OF MEMORY	349.837298102	350.09724382498825	16000.000000	TIMEOUT	900.622116149	901.1440673810139	1349.570560					TIMEOUT	900.622116149	901.1440673810139	1349.570560	TIMEOUT	900.658697834	901.1582540539966	1974.145024					TIMEOUT	900.658697834	901.1582540539966	1974.145024	OUT OF MEMORY	352.251891931	352.53378224899643	16000.000000					OUT OF MEMORY	352.251891931	352.53378224899643	16000.000000	TIMEOUT	900.54871417	901.1523883279879	1352.183808					TIMEOUT	900.54871417	901.1523883279879	1352.183808	TIMEOUT	900.770324495	901.2067488390021	2248.716288					TIMEOUT	900.770324495	901.2067488390021	2248.716288												</t>
  </si>
  <si>
    <t xml:space="preserve">openpsa/ccf/ccf4-ft-openpsa-400-05.xml													TIMEOUT	900.755007474	901.4525195330061	8407.797760					TIMEOUT	900.755007474	901.4525195330061	8407.797760	TIMEOUT	900.383607594	901.2031344439893	2128.146432					TIMEOUT	900.383607594	901.2031344439893	2128.146432	TIMEOUT	901.228565269	901.6252997040137	10449.510400					TIMEOUT	901.228565269	901.6252997040137	10449.510400	TIMEOUT	901.01818298	902.1051724400022	8407.793664					TIMEOUT	901.01818298	902.1051724400022	8407.793664	TIMEOUT	900.671749801	901.1931300900178	2128.134144					TIMEOUT	900.671749801	901.1931300900178	2128.134144	TIMEOUT	901.279958327	901.6775405740191	10449.317888					TIMEOUT	901.279958327	901.6775405740191	10449.317888												</t>
  </si>
  <si>
    <t xml:space="preserve">openpsa/ccf/ccf4-ft-openpsa-500-05.xml													OUT OF MEMORY	297.515190101	297.7518403360009	16000.000000					OUT OF MEMORY	297.515190101	297.7518403360009	16000.000000	OUT OF MEMORY	480.536950904	480.9916047770239	16000.000000					OUT OF MEMORY	480.536950904	480.9916047770239	16000.000000	OUT OF MEMORY	336.755233487	337.11610649499926	16000.000000					OUT OF MEMORY	336.755233487	337.11610649499926	16000.000000	OUT OF MEMORY	296.790908234	297.04132865500287	16000.000000					OUT OF MEMORY	296.790908234	297.04132865500287	16000.000000	OUT OF MEMORY	479.187243267	479.5206434870197	16000.000000					OUT OF MEMORY	479.187243267	479.5206434870197	16000.000000	OUT OF MEMORY	337.846403464	338.18258501400123	16000.000000					OUT OF MEMORY	337.846403464	338.18258501400123	16000.000000												</t>
  </si>
  <si>
    <t xml:space="preserve">openpsa/ccf/ccf4-ft-openpsa-600-05.xml													OUT OF MEMORY	254.86735658	255.085218548993	16000.000000					OUT OF MEMORY	254.86735658	255.085218548993	16000.000000	TIMEOUT	901.319551756	901.9051559579966	15177.928704					TIMEOUT	901.319551756	901.9051559579966	15177.928704	OUT OF MEMORY	261.273235132	261.4946206099994	16000.000000					OUT OF MEMORY	261.273235132	261.4946206099994	16000.000000	OUT OF MEMORY	251.467319568	251.6883565110038	16000.000000					OUT OF MEMORY	251.467319568	251.6883565110038	16000.000000	TIMEOUT	901.347833658	901.9567565899924	15177.928704					TIMEOUT	901.347833658	901.9567565899924	15177.928704	OUT OF MEMORY	262.107467868	262.40385970598436	16000.000000					OUT OF MEMORY	262.107467868	262.40385970598436	16000.000000												</t>
  </si>
  <si>
    <t xml:space="preserve">openpsa/ccf/ccf4-ft-openpsa-700-05.xml													OUT OF MEMORY	335.787744471	336.0923761890008	16000.000000					OUT OF MEMORY	335.787744471	336.0923761890008	16000.000000	TIMEOUT	901.167628694	901.8836580370262	14962.630656					TIMEOUT	901.167628694	901.8836580370262	14962.630656	OUT OF MEMORY	215.740197202	215.8765659250057	16000.000000					OUT OF MEMORY	215.740197202	215.8765659250057	16000.000000	OUT OF MEMORY	333.978652975	334.3904850629915	16000.000000					OUT OF MEMORY	333.978652975	334.3904850629915	16000.000000	TIMEOUT	901.239502962	901.8963115579973	14962.647040					TIMEOUT	901.239502962	901.8963115579973	14962.647040	OUT OF MEMORY	214.802582249	214.95422607299406	16000.000000					OUT OF MEMORY	214.802582249	214.95422607299406	16000.000000												</t>
  </si>
  <si>
    <t xml:space="preserve">openpsa/ccf/ccf4-ft-openpsa-800-05.xml													OUT OF MEMORY	250.428440122	250.70236410599318	16000.000000					OUT OF MEMORY	250.428440122	250.70236410599318	16000.000000	TIMEOUT	901.300851675	901.8977874440025	15149.355008					TIMEOUT	901.300851675	901.8977874440025	15149.355008	OUT OF MEMORY	318.885238035	319.180342467007	16000.000000					OUT OF MEMORY	318.885238035	319.180342467007	16000.000000	OUT OF MEMORY	251.522484069	251.7725298430014	16000.000000					OUT OF MEMORY	251.522484069	251.7725298430014	16000.000000	TIMEOUT	901.249074845	901.8664848229964	15149.326336					TIMEOUT	901.249074845	901.8664848229964	15149.326336	OUT OF MEMORY	317.280583194	317.6585750929953	16000.000000					OUT OF MEMORY	317.280583194	317.6585750929953	16000.000000												</t>
  </si>
  <si>
    <t xml:space="preserve">openpsa/ccf/ccf4-ft-openpsa-900-05.xml													OUT OF MEMORY	371.684592614	372.04451217799215	16000.000000					OUT OF MEMORY	371.684592614	372.04451217799215	16000.000000	OUT OF MEMORY	652.214963794	652.6710599419894	16000.000000					OUT OF MEMORY	652.214963794	652.6710599419894	16000.000000	OUT OF MEMORY	696.113657753	696.5698767229915	16000.000000					OUT OF MEMORY	696.113657753	696.5698767229915	16000.000000	OUT OF MEMORY	373.594355168	373.99957198800985	16000.000000					OUT OF MEMORY	373.594355168	373.99957198800985	16000.000000	OUT OF MEMORY	654.16382123	654.7908344460011	16000.000000					OUT OF MEMORY	654.16382123	654.7908344460011	16000.000000	OUT OF MEMORY	706.232287523	706.721288462024	16000.000000					OUT OF MEMORY	706.232287523	706.721288462024	16000.000000												</t>
  </si>
  <si>
    <t xml:space="preserve">openpsa/ccf/ccf5-ft-openpsa-100-05.xml													TIMEOUT	901.001447741	903.4221455369989	7.884800					TIMEOUT	901.001447741	903.4221455369989	7.884800	TIMEOUT	900.996872816	902.9111027219915	7.516160					TIMEOUT	900.996872816	902.9111027219915	7.516160	TIMEOUT	900.994375413	902.7554006579885	7.524352					TIMEOUT	900.994375413	902.7554006579885	7.524352	TIMEOUT	901.002633831	902.4479993900168	7.913472					TIMEOUT	901.002633831	902.4479993900168	7.913472	TIMEOUT	901.00181766	902.1858566190058	7.516160					TIMEOUT	901.00181766	902.1858566190058	7.516160	TIMEOUT	900.997250932	902.2219534140022	7.598080					TIMEOUT	900.997250932	902.2219534140022	7.598080												</t>
  </si>
  <si>
    <t xml:space="preserve">openpsa/ccf/ccf5-ft-openpsa-1000-05.xml													OUT OF MEMORY	235.470483729	235.72283694198995	16000.000000					OUT OF MEMORY	235.470483729	235.72283694198995	16000.000000	TIMEOUT	901.215326075	901.9232775460114	15091.232768					TIMEOUT	901.215326075	901.9232775460114	15091.232768	OUT OF MEMORY	320.441846735	320.7184177330055	16000.000000					OUT OF MEMORY	320.441846735	320.7184177330055	16000.000000	OUT OF MEMORY	234.640918658	234.92349180902238	16000.000000					OUT OF MEMORY	234.640918658	234.92349180902238	16000.000000	TIMEOUT	901.190045374	901.9054249409819	15094.214656					TIMEOUT	901.190045374	901.9054249409819	15094.214656	OUT OF MEMORY	322.561218764	322.8721918250085	16000.000000					OUT OF MEMORY	322.561218764	322.8721918250085	16000.000000												</t>
  </si>
  <si>
    <t xml:space="preserve">openpsa/ccf/ccf5-ft-openpsa-200-05.xml													TIMEOUT	901.013632549	902.3209441840008	31.805440					TIMEOUT	901.013632549	902.3209441840008	31.805440	TIMEOUT	901.008146264	902.6981083319988	9.359360					TIMEOUT	901.008146264	902.6981083319988	9.359360	TIMEOUT	901.007644011	902.3553392100002	12.754944					TIMEOUT	901.007644011	902.3553392100002	12.754944	TIMEOUT	900.498368326	901.0476313740073	31.772672					TIMEOUT	900.498368326	901.0476313740073	31.772672	TIMEOUT	900.557800813	901.0824586370145	9.445376					TIMEOUT	900.557800813	901.0824586370145	9.445376	TIMEOUT	900.335190871	901.0732274909969	12.763136					TIMEOUT	900.335190871	901.0732274909969	12.763136												</t>
  </si>
  <si>
    <t xml:space="preserve">openpsa/ccf/ccf5-ft-openpsa-300-05.xml													OUT OF MEMORY	336.327040774	336.6007560059952	16000.000000					OUT OF MEMORY	336.327040774	336.6007560059952	16000.000000	TIMEOUT	900.695477678	901.2408853880188	1870.311424					TIMEOUT	900.695477678	901.2408853880188	1870.311424	TIMEOUT	900.723248052	901.205497597999	2290.270208					TIMEOUT	900.723248052	901.205497597999	2290.270208	OUT OF MEMORY	363.073521794	363.4159093349881	16000.000000					OUT OF MEMORY	363.073521794	363.4159093349881	16000.000000	TIMEOUT	900.72441632	901.1979064350016	1870.315520					TIMEOUT	900.72441632	901.1979064350016	1870.315520	TIMEOUT	900.702116553	901.2392065360036	2290.270208					TIMEOUT	900.702116553	901.2392065360036	2290.270208												</t>
  </si>
  <si>
    <t xml:space="preserve">openpsa/ccf/ccf5-ft-openpsa-400-05.xml													TIMEOUT	901.055586146	901.5241304299998	8426.803200					TIMEOUT	901.055586146	901.5241304299998	8426.803200	TIMEOUT	900.667920279	901.2585251980054	2066.927616					TIMEOUT	900.667920279	901.2585251980054	2066.927616	TIMEOUT	901.058069138	901.6992491650017	10101.506048					TIMEOUT	901.058069138	901.6992491650017	10101.506048	TIMEOUT	900.952907567	901.5350811580138	8426.795008					TIMEOUT	900.952907567	901.5350811580138	8426.795008	TIMEOUT	900.692187343	901.2388550659816	2066.923520					TIMEOUT	900.692187343	901.2388550659816	2066.923520	TIMEOUT	901.082885584	901.6750911860145	10101.583872					TIMEOUT	901.082885584	901.6750911860145	10101.583872												</t>
  </si>
  <si>
    <t xml:space="preserve">openpsa/ccf/ccf5-ft-openpsa-500-05.xml													OUT OF MEMORY	316.820366935	317.0537686519965	16000.000000					OUT OF MEMORY	316.820366935	317.0537686519965	16000.000000	TIMEOUT	900.849483792	901.5781458800193	9062.400000					TIMEOUT	900.849483792	901.5781458800193	9062.400000	TIMEOUT	901.187950627	901.8948040820105	15237.394432					TIMEOUT	901.187950627	901.8948040820105	15237.394432	OUT OF MEMORY	328.853566465	329.16894170999876	16000.000000					OUT OF MEMORY	328.853566465	329.16894170999876	16000.000000	TIMEOUT	900.880557744	901.5773772569955	9062.559744					TIMEOUT	900.880557744	901.5773772569955	9062.559744	TIMEOUT	901.325960996	902.076484958001	15237.427200					TIMEOUT	901.325960996	902.076484958001	15237.427200												</t>
  </si>
  <si>
    <t xml:space="preserve">openpsa/ccf/ccf5-ft-openpsa-600-05.xml													OUT OF MEMORY	269.981963239	270.33535679899796	16000.000000					OUT OF MEMORY	269.981963239	270.33535679899796	16000.000000	TIMEOUT	901.052113655	901.6628434590239	10643.558400					TIMEOUT	901.052113655	901.6628434590239	10643.558400	OUT OF MEMORY	290.867385059	291.2160592539876	16000.000000					OUT OF MEMORY	290.867385059	291.2160592539876	16000.000000	OUT OF MEMORY	266.973749787	267.19124452001415	16000.000000					OUT OF MEMORY	266.973749787	267.19124452001415	16000.000000	TIMEOUT	900.908409588	901.7066004980006	10642.460672					TIMEOUT	900.908409588	901.7066004980006	10642.460672	OUT OF MEMORY	283.349060114	283.69671904400457	16000.000000					OUT OF MEMORY	283.349060114	283.69671904400457	16000.000000												</t>
  </si>
  <si>
    <t xml:space="preserve">openpsa/ccf/ccf5-ft-openpsa-700-05.xml													OUT OF MEMORY	409.905177447	410.3701745300059	16000.000000					OUT OF MEMORY	409.905177447	410.3701745300059	16000.000000	TIMEOUT	901.225724785	901.8535576389986	15203.647488					TIMEOUT	901.225724785	901.8535576389986	15203.647488	OUT OF MEMORY	220.424222189	220.77572687999054	16000.000000					OUT OF MEMORY	220.424222189	220.77572687999054	16000.000000	OUT OF MEMORY	410.317329456	410.73634005800704	16000.000000					OUT OF MEMORY	410.317329456	410.73634005800704	16000.000000	TIMEOUT	901.317503073	901.869892845978	15203.602432					TIMEOUT	901.317503073	901.869892845978	15203.602432	OUT OF MEMORY	219.961516725	220.15876043299795	16000.000000					OUT OF MEMORY	219.961516725	220.15876043299795	16000.000000												</t>
  </si>
  <si>
    <t xml:space="preserve">openpsa/ccf/ccf5-ft-openpsa-800-05.xml													OUT OF MEMORY	256.455547767	256.70137950300705	16000.000000					OUT OF MEMORY	256.455547767	256.70137950300705	16000.000000	TIMEOUT	901.032439778	901.7201765259961	10576.379904					TIMEOUT	901.032439778	901.7201765259961	10576.379904	OUT OF MEMORY	428.963111018	429.24242898599186	16000.000000					OUT OF MEMORY	428.963111018	429.24242898599186	16000.000000	OUT OF MEMORY	256.719657473	257.0209789070068	16000.000000					OUT OF MEMORY	256.719657473	257.0209789070068	16000.000000	TIMEOUT	900.896043317	901.7423700660001	10576.355328					TIMEOUT	900.896043317	901.7423700660001	10576.355328	OUT OF MEMORY	440.742819518	441.1882412590203	16000.000000					OUT OF MEMORY	440.742819518	441.1882412590203	16000.000000												</t>
  </si>
  <si>
    <t xml:space="preserve">openpsa/ccf/ccf5-ft-openpsa-900-05.xml													OUT OF MEMORY	325.369310355	326.4507707110024	16000.000000					OUT OF MEMORY	325.369310355	326.4507707110024	16000.000000	TIMEOUT	900.927324546	901.5964994860115	8891.580416					TIMEOUT	900.927324546	901.5964994860115	8891.580416	OUT OF MEMORY	381.762466066	382.08518761300365	16000.000000					OUT OF MEMORY	381.762466066	382.08518761300365	16000.000000	OUT OF MEMORY	337.083586619	337.50415909398	16000.000000					OUT OF MEMORY	337.083586619	337.50415909398	16000.000000	TIMEOUT	900.821877154	901.5983553990081	8891.551744					TIMEOUT	900.821877154	901.5983553990081	8891.551744	OUT OF MEMORY	383.041463875	383.3562353000161	16000.000000					OUT OF MEMORY	383.041463875	383.3562353000161	16000.000000												</t>
  </si>
  <si>
    <t xml:space="preserve">openpsa/ccf/ccf6-ft-openpsa-100-05.xml													TIMEOUT	900.508113357	901.0234175180085	8.437760					TIMEOUT	900.508113357	901.0234175180085	8.437760	TIMEOUT	900.573278156	901.0658639699977	7.917568					TIMEOUT	900.573278156	901.0658639699977	7.917568	TIMEOUT	900.59151442	901.013259386993	7.954432					TIMEOUT	900.59151442	901.013259386993	7.954432	TIMEOUT	900.463857914	901.0318657979951	8.372224					TIMEOUT	900.463857914	901.0318657979951	8.372224	TIMEOUT	900.606204617	901.0482590050087	7.917568					TIMEOUT	900.606204617	901.0482590050087	7.917568	TIMEOUT	900.627247873	901.040678506979	7.913472					TIMEOUT	900.627247873	901.040678506979	7.913472												</t>
  </si>
  <si>
    <t xml:space="preserve">openpsa/ccf/ccf6-ft-openpsa-1000-05.xml													OUT OF MEMORY	265.831690744	266.15002433699556	16000.000000					OUT OF MEMORY	265.831690744	266.15002433699556	16000.000000	TIMEOUT	901.100277595	901.8558035579917	15330.701312					TIMEOUT	901.100277595	901.8558035579917	15330.701312	OUT OF MEMORY	304.059398515	304.29313078999985	16000.000000					OUT OF MEMORY	304.059398515	304.29313078999985	16000.000000	OUT OF MEMORY	247.617721007	247.86928189502214	16000.000000					OUT OF MEMORY	247.617721007	247.86928189502214	16000.000000	TIMEOUT	901.034198058	901.8583369769913	15324.725248					TIMEOUT	901.034198058	901.8583369769913	15324.725248	OUT OF MEMORY	314.393429568	314.7548134189856	16000.000000					OUT OF MEMORY	314.393429568	314.7548134189856	16000.000000												</t>
  </si>
  <si>
    <t xml:space="preserve">openpsa/ccf/ccf6-ft-openpsa-200-05.xml													TIMEOUT	900.55491693	901.0541143549926	51.171328					TIMEOUT	900.55491693	901.0541143549926	51.171328	TIMEOUT	900.458300304	901.0723910529923	12.369920					TIMEOUT	900.458300304	901.0723910529923	12.369920	TIMEOUT	900.545139148	901.0572198129958	38.453248					TIMEOUT	900.545139148	901.0572198129958	38.453248	TIMEOUT	900.646084916	901.038072403986	51.163136					TIMEOUT	900.646084916	901.038072403986	51.163136	TIMEOUT	900.574939537	901.0695520009904	12.402688					TIMEOUT	900.574939537	901.0695520009904	12.402688	TIMEOUT	900.556944878	901.064921807003	38.412288					TIMEOUT	900.556944878	901.064921807003	38.412288												</t>
  </si>
  <si>
    <t xml:space="preserve">openpsa/ccf/ccf6-ft-openpsa-300-05.xml													OUT OF MEMORY	487.656604202	488.31646492899745	16000.000000					OUT OF MEMORY	487.656604202	488.31646492899745	16000.000000	TIMEOUT	900.807948514	901.4684149909881	7639.195648					TIMEOUT	900.807948514	901.4684149909881	7639.195648	TIMEOUT	901.249153246	901.8717812240066	15190.364160					TIMEOUT	901.249153246	901.8717812240066	15190.364160	OUT OF MEMORY	504.896037838	505.45033972201054	16000.000000					OUT OF MEMORY	504.896037838	505.45033972201054	16000.000000	TIMEOUT	900.882873455	901.5379750669817	7639.248896					TIMEOUT	900.882873455	901.5379750669817	7639.248896	TIMEOUT	901.326780595	901.9973120979848	15190.368256					TIMEOUT	901.326780595	901.9973120979848	15190.368256												</t>
  </si>
  <si>
    <t xml:space="preserve">openpsa/ccf/ccf6-ft-openpsa-400-05.xml													OUT OF MEMORY	264.886432474	265.131094537006	16000.000000					OUT OF MEMORY	264.886432474	265.131094537006	16000.000000	OUT OF MEMORY	649.877450376	650.4160896390094	16000.000000					OUT OF MEMORY	649.877450376	650.4160896390094	16000.000000	OUT OF MEMORY	255.77955551	256.06793985200056	16000.000000					OUT OF MEMORY	255.77955551	256.06793985200056	16000.000000	OUT OF MEMORY	266.272871834	266.5693856360158	16000.000000					OUT OF MEMORY	266.272871834	266.5693856360158	16000.000000	OUT OF MEMORY	668.347482244	668.9719546870037	16000.000000					OUT OF MEMORY	668.347482244	668.9719546870037	16000.000000	OUT OF MEMORY	256.787636823	257.0338830050023	16000.000000					OUT OF MEMORY	256.787636823	257.0338830050023	16000.000000												</t>
  </si>
  <si>
    <t xml:space="preserve">openpsa/ccf/ccf6-ft-openpsa-500-05.xml													OUT OF MEMORY	257.755616007	258.088714677011	16000.000000					OUT OF MEMORY	257.755616007	258.088714677011	16000.000000	TIMEOUT	901.13017994	901.7611371729872	14989.307904					TIMEOUT	901.13017994	901.7611371729872	14989.307904	OUT OF MEMORY	314.379312113	314.6629947600013	16000.000000					OUT OF MEMORY	314.379312113	314.6629947600013	16000.000000	OUT OF MEMORY	257.000315123	257.3370879800059	16000.000000					OUT OF MEMORY	257.000315123	257.3370879800059	16000.000000	TIMEOUT	901.256588964	901.8086946810072	14989.443072					TIMEOUT	901.256588964	901.8086946810072	14989.443072	OUT OF MEMORY	314.085822671	314.37616109097144	16000.000000					OUT OF MEMORY	314.085822671	314.37616109097144	16000.000000												</t>
  </si>
  <si>
    <t xml:space="preserve">openpsa/ccf/ccf6-ft-openpsa-600-05.xml													OUT OF MEMORY	264.877901665	265.15553467300197	16000.000000					OUT OF MEMORY	264.877901665	265.15553467300197	16000.000000	TIMEOUT	901.07736842	901.8245518119948	15242.727424					TIMEOUT	901.07736842	901.8245518119948	15242.727424	OUT OF MEMORY	359.249365834	359.54510928399395	16000.000000					OUT OF MEMORY	359.249365834	359.54510928399395	16000.000000	OUT OF MEMORY	266.993917163	267.27878476597834	16000.000000					OUT OF MEMORY	266.993917163	267.27878476597834	16000.000000	TIMEOUT	901.012501771	901.8493223609985	15242.670080					TIMEOUT	901.012501771	901.8493223609985	15242.670080	OUT OF MEMORY	363.613193996	363.931482407992	16000.000000					OUT OF MEMORY	363.613193996	363.931482407992	16000.000000												</t>
  </si>
  <si>
    <t xml:space="preserve">openpsa/ccf/ccf6-ft-openpsa-700-05.xml													OUT OF MEMORY	336.102927835	336.4224820119998	16000.000000					OUT OF MEMORY	336.102927835	336.4224820119998	16000.000000	TIMEOUT	901.084661518	901.8600973279972	15032.041472					TIMEOUT	901.084661518	901.8600973279972	15032.041472	OUT OF MEMORY	230.180618744	230.3738629020081	16000.000000					OUT OF MEMORY	230.180618744	230.3738629020081	16000.000000	OUT OF MEMORY	336.015086366	336.2881791520049	16000.000000					OUT OF MEMORY	336.015086366	336.2881791520049	16000.000000	TIMEOUT	901.051618788	901.8902849820151	15032.041472					TIMEOUT	901.051618788	901.8902849820151	15032.041472	OUT OF MEMORY	233.11989704	233.35775718698278	16000.000000					OUT OF MEMORY	233.11989704	233.35775718698278	16000.000000												</t>
  </si>
  <si>
    <t xml:space="preserve">openpsa/ccf/ccf6-ft-openpsa-800-05.xml													OUT OF MEMORY	294.90320079	295.1300003119977	16000.000000					OUT OF MEMORY	294.90320079	295.1300003119977	16000.000000	TIMEOUT	901.324007939	901.8889670950011	15416.733696					TIMEOUT	901.324007939	901.8889670950011	15416.733696	OUT OF MEMORY	226.602622788	226.86240806999558	16000.000000					OUT OF MEMORY	226.602622788	226.86240806999558	16000.000000	OUT OF MEMORY	299.471250269	299.80566430900944	16000.000000					OUT OF MEMORY	299.471250269	299.80566430900944	16000.000000	TIMEOUT	901.334465919	901.9158672610065	15416.770560					TIMEOUT	901.334465919	901.9158672610065	15416.770560	OUT OF MEMORY	226.535614423	226.82791121301125	16000.000000					OUT OF MEMORY	226.535614423	226.82791121301125	16000.000000												</t>
  </si>
  <si>
    <t xml:space="preserve">openpsa/ccf/ccf6-ft-openpsa-900-05.xml													OUT OF MEMORY	329.533908275	329.9372371889913	16000.000000					OUT OF MEMORY	329.533908275	329.9372371889913	16000.000000	TIMEOUT	900.908505994	901.6566514039878	10250.678272					TIMEOUT	900.908505994	901.6566514039878	10250.678272	OUT OF MEMORY	655.318531116	655.8339051499934	16000.000000					OUT OF MEMORY	655.318531116	655.8339051499934	16000.000000	OUT OF MEMORY	337.747878101	338.1410323930031	16000.000000					OUT OF MEMORY	337.747878101	338.1410323930031	16000.000000	TIMEOUT	900.815051284	901.6113366979989	10250.682368					TIMEOUT	900.815051284	901.6113366979989	10250.682368	OUT OF MEMORY	629.903723261	630.4218135499978	16000.000000					OUT OF MEMORY	629.903723261	630.4218135499978	16000.000000												</t>
  </si>
  <si>
    <t xml:space="preserve">openpsa/ccf/ccf7-ft-openpsa-100-05.xml													TIMEOUT	900.238029342	901.0244776760082	8.826880					TIMEOUT	900.238029342	901.0244776760082	8.826880	TIMEOUT	900.568541981	901.0317766420194	8.536064					TIMEOUT	900.568541981	901.0317766420194	8.536064	TIMEOUT	900.557799949	901.0122586729995	8.523776					TIMEOUT	900.557799949	901.0122586729995	8.523776	TIMEOUT	900.317365827	901.0322279100074	8.826880					TIMEOUT	900.317365827	901.0322279100074	8.826880	TIMEOUT	900.573904629	901.0444557839946	8.474624					TIMEOUT	900.573904629	901.0444557839946	8.474624	TIMEOUT	900.587552964	901.0347164059931	8.527872					TIMEOUT	900.587552964	901.0347164059931	8.527872												</t>
  </si>
  <si>
    <t xml:space="preserve">openpsa/ccf/ccf7-ft-openpsa-1000-05.xml													OUT OF MEMORY	296.865441879	297.10383634299797	16000.000000					OUT OF MEMORY	296.865441879	297.10383634299797	16000.000000	TIMEOUT	900.958235876	901.7425106470182	15272.030208					TIMEOUT	900.958235876	901.7425106470182	15272.030208	OUT OF MEMORY	222.460107368	222.71129644899338	16000.000000					OUT OF MEMORY	222.460107368	222.71129644899338	16000.000000	OUT OF MEMORY	304.766530162	305.06724038897664	16000.000000					OUT OF MEMORY	304.766530162	305.06724038897664	16000.000000	TIMEOUT	901.031423777	901.842333122011	15272.034304					TIMEOUT	901.031423777	901.842333122011	15272.034304	OUT OF MEMORY	228.695280676	228.90606669301633	16000.000000					OUT OF MEMORY	228.695280676	228.90606669301633	16000.000000												</t>
  </si>
  <si>
    <t xml:space="preserve">openpsa/ccf/ccf7-ft-openpsa-200-05.xml													TIMEOUT	900.492051662	901.0547465810087	421.171200					TIMEOUT	900.492051662	901.0547465810087	421.171200	TIMEOUT	900.58715135	901.0322689329914	17.264640					TIMEOUT	900.58715135	901.0322689329914	17.264640	TIMEOUT	900.57681414	901.0172487020027	59.875328					TIMEOUT	900.57681414	901.0172487020027	59.875328	TIMEOUT	900.650550789	901.0738900260185	421.048320					TIMEOUT	900.650550789	901.0738900260185	421.048320	TIMEOUT	900.28162654	901.0425429249881	17.334272					TIMEOUT	900.28162654	901.0425429249881	17.334272	TIMEOUT	900.288670232	901.0384889940033	59.817984					TIMEOUT	900.288670232	901.0384889940033	59.817984												</t>
  </si>
  <si>
    <t xml:space="preserve">openpsa/ccf/ccf7-ft-openpsa-300-05.xml													OUT OF MEMORY	332.507556701	332.7772501580039	16000.000000					OUT OF MEMORY	332.507556701	332.7772501580039	16000.000000	OUT OF MEMORY	615.806782291	616.1982525390049	16000.000000					OUT OF MEMORY	615.806782291	616.1982525390049	16000.000000	OUT OF MEMORY	218.339069762	218.50296498100215	16000.000000					OUT OF MEMORY	218.339069762	218.50296498100215	16000.000000	OUT OF MEMORY	341.687123854	342.04875965000247	16000.000000					OUT OF MEMORY	341.687123854	342.04875965000247	16000.000000	OUT OF MEMORY	623.106254508	623.5505304170074	16000.000000					OUT OF MEMORY	623.106254508	623.5505304170074	16000.000000	OUT OF MEMORY	230.396954305	230.63900321300025	16000.000000					OUT OF MEMORY	230.396954305	230.63900321300025	16000.000000												</t>
  </si>
  <si>
    <t xml:space="preserve">openpsa/ccf/ccf7-ft-openpsa-400-05.xml													OUT OF MEMORY	340.047196076	340.3551897330035	16000.000000					OUT OF MEMORY	340.047196076	340.3551897330035	16000.000000	OUT OF MEMORY	650.046985829	650.6363327490108	16000.000000					OUT OF MEMORY	650.046985829	650.6363327490108	16000.000000	OUT OF MEMORY	281.851322614	282.13746895399527	16000.000000					OUT OF MEMORY	281.851322614	282.13746895399527	16000.000000	OUT OF MEMORY	307.442543132	307.6726539040101	16000.000000					OUT OF MEMORY	307.442543132	307.6726539040101	16000.000000	OUT OF MEMORY	654.710626341	655.4559883530019	16000.000000					OUT OF MEMORY	654.710626341	655.4559883530019	16000.000000	OUT OF MEMORY	285.334208423	285.57994982399396	16000.000000					OUT OF MEMORY	285.334208423	285.57994982399396	16000.000000												</t>
  </si>
  <si>
    <t xml:space="preserve">openpsa/ccf/ccf7-ft-openpsa-500-05.xml													OUT OF MEMORY	287.036539468	287.26659883999673	16000.000000					OUT OF MEMORY	287.036539468	287.26659883999673	16000.000000	TIMEOUT	901.156475582	901.8457409119874	15315.537920					TIMEOUT	901.156475582	901.8457409119874	15315.537920	OUT OF MEMORY	317.27261287	317.61783742599073	16000.000000					OUT OF MEMORY	317.27261287	317.61783742599073	16000.000000	OUT OF MEMORY	294.535845241	294.8633474590024	16000.000000					OUT OF MEMORY	294.535845241	294.8633474590024	16000.000000	TIMEOUT	900.979584709	901.8402275019907	15025.561600					TIMEOUT	900.979584709	901.8402275019907	15025.561600	OUT OF MEMORY	319.30130795	319.60212654501083	16000.000000					OUT OF MEMORY	319.30130795	319.60212654501083	16000.000000												</t>
  </si>
  <si>
    <t xml:space="preserve">openpsa/ccf/ccf7-ft-openpsa-600-05.xml													OUT OF MEMORY	341.041134559	341.31440123599896	16000.000000					OUT OF MEMORY	341.041134559	341.31440123599896	16000.000000	TIMEOUT	901.127516875	901.8196518420009	15245.971456					TIMEOUT	901.127516875	901.8196518420009	15245.971456	OUT OF MEMORY	461.74898857	462.0886746210017	16000.000000					OUT OF MEMORY	461.74898857	462.0886746210017	16000.000000	OUT OF MEMORY	356.907213159	357.2611575189803	16000.000000					OUT OF MEMORY	356.907213159	357.2611575189803	16000.000000	OUT OF MEMORY	862.447013356	863.034942733997	16000.000000					OUT OF MEMORY	862.447013356	863.034942733997	16000.000000	OUT OF MEMORY	472.684061867	473.19433368797763	16000.000000					OUT OF MEMORY	472.684061867	473.19433368797763	16000.000000												</t>
  </si>
  <si>
    <t xml:space="preserve">openpsa/ccf/ccf7-ft-openpsa-700-05.xml													OUT OF MEMORY	243.554444375	243.77441382899997	16000.000000					OUT OF MEMORY	243.554444375	243.77441382899997	16000.000000	OUT OF MEMORY	695.972687111	696.5184506659862	16000.000000					OUT OF MEMORY	695.972687111	696.5184506659862	16000.000000	OUT OF MEMORY	253.868116135	254.0838839920034	16000.000000					OUT OF MEMORY	253.868116135	254.0838839920034	16000.000000	OUT OF MEMORY	250.434103461	250.7028635930037	16000.000000					OUT OF MEMORY	250.434103461	250.7028635930037	16000.000000	OUT OF MEMORY	720.234458941	720.9086609460064	16000.000000					OUT OF MEMORY	720.234458941	720.9086609460064	16000.000000	OUT OF MEMORY	258.479900104	258.718517781992	16000.000000					OUT OF MEMORY	258.479900104	258.718517781992	16000.000000												</t>
  </si>
  <si>
    <t xml:space="preserve">openpsa/ccf/ccf7-ft-openpsa-800-05.xml													OUT OF MEMORY	450.681151087	451.1648697859928	16000.000000					OUT OF MEMORY	450.681151087	451.1648697859928	16000.000000	OUT OF MEMORY	537.110273569	537.5523012730118	16000.000000					OUT OF MEMORY	537.110273569	537.5523012730118	16000.000000	OUT OF MEMORY	308.634900815	308.86480581900105	16000.000000					OUT OF MEMORY	308.634900815	308.86480581900105	16000.000000	OUT OF MEMORY	439.189189351	439.5129123129882	16000.000000					OUT OF MEMORY	439.189189351	439.5129123129882	16000.000000	OUT OF MEMORY	536.743463516	537.2216818260204	16000.000000					OUT OF MEMORY	536.743463516	537.2216818260204	16000.000000	OUT OF MEMORY	303.217400382	303.54226867400575	16000.000000					OUT OF MEMORY	303.217400382	303.54226867400575	16000.000000												</t>
  </si>
  <si>
    <t xml:space="preserve">openpsa/ccf/ccf7-ft-openpsa-900-05.xml													OUT OF MEMORY	325.694343598	325.93309619701176	16000.000000					OUT OF MEMORY	325.694343598	325.93309619701176	16000.000000	TIMEOUT	900.78460133	901.5549985380203	9273.294848					TIMEOUT	900.78460133	901.5549985380203	9273.294848	OUT OF MEMORY	638.975840697	639.4394497989997	16000.000000					OUT OF MEMORY	638.975840697	639.4394497989997	16000.000000	OUT OF MEMORY	330.612887927	330.91231845199945	16000.000000					OUT OF MEMORY	330.612887927	330.91231845199945	16000.000000	TIMEOUT	900.763172461	901.5497599430091	9273.307136					TIMEOUT	900.763172461	901.5497599430091	9273.307136	OUT OF MEMORY	632.808069546	633.3581280370126	16000.000000					OUT OF MEMORY	632.808069546	633.3581280370126	16000.000000												</t>
  </si>
  <si>
    <t xml:space="preserve">openpsa/ccf/ccf8-ft-openpsa-100-05.xml													TIMEOUT	900.535066414	901.0266328489961	10.100736					TIMEOUT	900.535066414	901.0266328489961	10.100736	TIMEOUT	900.576861529	901.0290137710108	8.830976					TIMEOUT	900.576861529	901.0290137710108	8.830976	TIMEOUT	900.558861315	901.0119392589986	8.921088					TIMEOUT	900.558861315	901.0119392589986	8.921088	TIMEOUT	900.564154087	901.034837587009	10.018816					TIMEOUT	900.564154087	901.034837587009	10.018816	TIMEOUT	900.559804944	901.0397337000177	8.826880					TIMEOUT	900.559804944	901.0397337000177	8.826880	TIMEOUT	900.593005221	901.0346885660256	8.962048					TIMEOUT	900.593005221	901.0346885660256	8.962048												</t>
  </si>
  <si>
    <t xml:space="preserve">openpsa/ccf/ccf8-ft-openpsa-1000-05.xml													OUT OF MEMORY	295.202724128	295.4336446310044	16000.000000					OUT OF MEMORY	295.202724128	295.4336446310044	16000.000000	TIMEOUT	901.070109649	901.8003185449925	15088.021504					TIMEOUT	901.070109649	901.8003185449925	15088.021504	OUT OF MEMORY	222.225387648	222.47737163299462	16000.000000					OUT OF MEMORY	222.225387648	222.47737163299462	16000.000000	OUT OF MEMORY	304.895739668	305.17846339798416	16000.000000					OUT OF MEMORY	304.895739668	305.17846339798416	16000.000000	TIMEOUT	900.871430344	901.8401213169855	15088.009216					TIMEOUT	900.871430344	901.8401213169855	15088.009216	OUT OF MEMORY	228.7119832	229.07341438200092	16000.000000					OUT OF MEMORY	228.7119832	229.07341438200092	16000.000000												</t>
  </si>
  <si>
    <t xml:space="preserve">openpsa/ccf/ccf8-ft-openpsa-200-05.xml													TIMEOUT	900.867203798	901.4092609429936	7845.855232					TIMEOUT	900.867203798	901.4092609429936	7845.855232	TIMEOUT	900.566950765	901.0352198650071	76.337152					TIMEOUT	900.566950765	901.0352198650071	76.337152	TIMEOUT	900.515758212	901.0660831880086	707.178496					TIMEOUT	900.515758212	901.0660831880086	707.178496	TIMEOUT	900.946698343	901.4497542819881	7845.752832					TIMEOUT	900.946698343	901.4497542819881	7845.752832	TIMEOUT	900.51202772	901.0496390370245	76.333056					TIMEOUT	900.51202772	901.0496390370245	76.333056	TIMEOUT	900.607260833	901.0945256940031	707.047424					TIMEOUT	900.607260833	901.0945256940031	707.047424												</t>
  </si>
  <si>
    <t xml:space="preserve">openpsa/ccf/ccf8-ft-openpsa-300-05.xml													OUT OF MEMORY	271.284135652	271.5222815669986	16000.000000					OUT OF MEMORY	271.284135652	271.5222815669986	16000.000000	OUT OF MEMORY	721.744954342	722.3511822869768	16000.000000					OUT OF MEMORY	721.744954342	722.3511822869768	16000.000000	OUT OF MEMORY	236.942444826	237.20342525900924	16000.000000					OUT OF MEMORY	236.942444826	237.20342525900924	16000.000000	OUT OF MEMORY	269.393711213	269.6367173579929	16000.000000					OUT OF MEMORY	269.393711213	269.6367173579929	16000.000000	OUT OF MEMORY	727.035248108	727.7459578199778	16000.000000					OUT OF MEMORY	727.035248108	727.7459578199778	16000.000000	OUT OF MEMORY	238.998411701	239.21088997100014	16000.000000					OUT OF MEMORY	238.998411701	239.21088997100014	16000.000000												</t>
  </si>
  <si>
    <t xml:space="preserve">openpsa/ccf/ccf8-ft-openpsa-400-05.xml													OUT OF MEMORY	332.353043019	332.745852292006	16000.000000					OUT OF MEMORY	332.353043019	332.745852292006	16000.000000	OUT OF MEMORY	554.81335096	555.3606150640117	16000.000000					OUT OF MEMORY	554.81335096	555.3606150640117	16000.000000	OUT OF MEMORY	268.461904769	268.79392932700284	16000.000000					OUT OF MEMORY	268.461904769	268.79392932700284	16000.000000	OUT OF MEMORY	334.289585322	334.6090548110078	16000.000000					OUT OF MEMORY	334.289585322	334.6090548110078	16000.000000	OUT OF MEMORY	592.187026745	592.7227974809939	16000.000000					OUT OF MEMORY	592.187026745	592.7227974809939	16000.000000	OUT OF MEMORY	267.272990189	267.5017402230005	16000.000000					OUT OF MEMORY	267.272990189	267.5017402230005	16000.000000												</t>
  </si>
  <si>
    <t xml:space="preserve">openpsa/ccf/ccf8-ft-openpsa-500-05.xml													OUT OF MEMORY	330.528832422	330.81731057299476	16000.000000					OUT OF MEMORY	330.528832422	330.81731057299476	16000.000000	TIMEOUT	901.082691074	901.6492631669971	10883.739648					TIMEOUT	901.082691074	901.6492631669971	10883.739648	OUT OF MEMORY	312.823129989	313.2086066639895	16000.000000					OUT OF MEMORY	312.823129989	313.2086066639895	16000.000000	OUT OF MEMORY	331.311399192	331.6079135990003	16000.000000					OUT OF MEMORY	331.311399192	331.6079135990003	16000.000000	TIMEOUT	900.965606988	901.6634848679823	9435.791360					TIMEOUT	900.965606988	901.6634848679823	9435.791360	OUT OF MEMORY	312.207830924	312.4597216859984	16000.000000					OUT OF MEMORY	312.207830924	312.4597216859984	16000.000000												</t>
  </si>
  <si>
    <t xml:space="preserve">openpsa/ccf/ccf8-ft-openpsa-600-05.xml													OUT OF MEMORY	272.375239371	272.5972391710093	16000.000000					OUT OF MEMORY	272.375239371	272.5972391710093	16000.000000	TIMEOUT	901.07395988	901.8400251870044	15205.318656					TIMEOUT	901.07395988	901.8400251870044	15205.318656	OUT OF MEMORY	341.873258005	342.13928727500024	16000.000000					OUT OF MEMORY	341.873258005	342.13928727500024	16000.000000	OUT OF MEMORY	261.435006377	261.6708798370091	16000.000000					OUT OF MEMORY	261.435006377	261.6708798370091	16000.000000	TIMEOUT	901.217523594	901.9942541290075	15205.388288					TIMEOUT	901.217523594	901.9942541290075	15205.388288	OUT OF MEMORY	338.110760253	338.40821349600446	16000.000000					OUT OF MEMORY	338.110760253	338.40821349600446	16000.000000												</t>
  </si>
  <si>
    <t xml:space="preserve">openpsa/ccf/ccf8-ft-openpsa-700-05.xml													OUT OF MEMORY	256.666280878	256.87901874500676	16000.000000					OUT OF MEMORY	256.666280878	256.87901874500676	16000.000000	OUT OF MEMORY	807.81078171	808.519474701985	16000.000000					OUT OF MEMORY	807.81078171	808.519474701985	16000.000000	OUT OF MEMORY	263.445437793	263.6442837460054	16000.000000					OUT OF MEMORY	263.445437793	263.6442837460054	16000.000000	OUT OF MEMORY	251.798800135	252.00891335698543	16000.000000					OUT OF MEMORY	251.798800135	252.00891335698543	16000.000000	OUT OF MEMORY	785.901342331	786.6080259979935	16000.000000					OUT OF MEMORY	785.901342331	786.6080259979935	16000.000000	OUT OF MEMORY	266.159692933	266.4834728350106	16000.000000					OUT OF MEMORY	266.159692933	266.4834728350106	16000.000000												</t>
  </si>
  <si>
    <t xml:space="preserve">openpsa/ccf/ccf8-ft-openpsa-800-05.xml													OUT OF MEMORY	237.923316592	238.12333999598923	16000.000000					OUT OF MEMORY	237.923316592	238.12333999598923	16000.000000	TIMEOUT	901.102668601	901.6530203729926	9870.749696					TIMEOUT	901.102668601	901.6530203729926	9870.749696	OUT OF MEMORY	235.440769175	235.62293482100358	16000.000000					OUT OF MEMORY	235.440769175	235.62293482100358	16000.000000	OUT OF MEMORY	246.578385727	246.88597177399788	16000.000000					OUT OF MEMORY	246.578385727	246.88597177399788	16000.000000	TIMEOUT	900.897390071	901.5427500380029	9870.745600					TIMEOUT	900.897390071	901.5427500380029	9870.745600	OUT OF MEMORY	242.24597186	242.49564235599246	16000.000000					OUT OF MEMORY	242.24597186	242.49564235599246	16000.000000												</t>
  </si>
  <si>
    <t xml:space="preserve">openpsa/ccf/ccf8-ft-openpsa-900-05.xml													OUT OF MEMORY	330.628040149	330.881725284009	16000.000000					OUT OF MEMORY	330.628040149	330.881725284009	16000.000000	TIMEOUT	901.092826074	901.8431907799968	15334.289408					TIMEOUT	901.092826074	901.8431907799968	15334.289408	OUT OF MEMORY	691.976867711	692.5446059059905	16000.000000					OUT OF MEMORY	691.976867711	692.5446059059905	16000.000000	OUT OF MEMORY	343.756939081	344.05517374700867	16000.000000					OUT OF MEMORY	343.756939081	344.05517374700867	16000.000000	OUT OF MEMORY	894.888807051	895.8592657120025	16000.000000					OUT OF MEMORY	894.888807051	895.8592657120025	16000.000000	OUT OF MEMORY	694.866882812	695.5443324999942	16000.000000					OUT OF MEMORY	694.866882812	695.5443324999942	16000.000000												</t>
  </si>
  <si>
    <t xml:space="preserve">openpsa/ccf/ccf9-ft-openpsa-100-05.xml													TIMEOUT	900.502327595	901.0216739059979	9.711616					TIMEOUT	900.502327595	901.0216739059979	9.711616	TIMEOUT	900.624402716	901.0302241200116	9.179136					TIMEOUT	900.624402716	901.0302241200116	9.179136	TIMEOUT	900.329153983	901.0122501839942	9.175040					TIMEOUT	900.329153983	901.0122501839942	9.175040	TIMEOUT	900.499299239	901.0336973110097	9.625600					TIMEOUT	900.499299239	901.0336973110097	9.625600	TIMEOUT	900.488861399	901.0405906309898	9.224192					TIMEOUT	900.488861399	901.0405906309898	9.224192	TIMEOUT	900.625115219	901.0379853939812	9.240576					TIMEOUT	900.625115219	901.0379853939812	9.240576												</t>
  </si>
  <si>
    <t xml:space="preserve">openpsa/ccf/ccf9-ft-openpsa-1000-05.xml													OUT OF MEMORY	234.496312139	234.676045419008	16000.000000					OUT OF MEMORY	234.496312139	234.676045419008	16000.000000	TIMEOUT	901.083107963	901.8813240989984	15393.574912					TIMEOUT	901.083107963	901.8813240989984	15393.574912	OUT OF MEMORY	318.184676604	318.4512112819939	16000.000000					OUT OF MEMORY	318.184676604	318.4512112819939	16000.000000	OUT OF MEMORY	220.043643146	220.31758718698984	16000.000000					OUT OF MEMORY	220.043643146	220.31758718698984	16000.000000	TIMEOUT	901.205207992	901.9177117520012	15393.538048					TIMEOUT	901.205207992	901.9177117520012	15393.538048	OUT OF MEMORY	295.826990501	296.16867207401083	16000.000000					OUT OF MEMORY	295.826990501	296.16867207401083	16000.000000												</t>
  </si>
  <si>
    <t xml:space="preserve">openpsa/ccf/ccf9-ft-openpsa-200-05.xml													TIMEOUT	900.513820685	901.0667726609972	725.401600					TIMEOUT	900.513820685	901.0667726609972	725.401600	TIMEOUT	900.576849546	901.0305941849947	33.480704					TIMEOUT	900.576849546	901.0305941849947	33.480704	TIMEOUT	900.643950182	901.0441673340101	397.430784					TIMEOUT	900.643950182	901.0441673340101	397.430784	TIMEOUT	900.421874224	901.086586838006	725.405696					TIMEOUT	900.421874224	901.086586838006	725.405696	TIMEOUT	900.439999989	901.0455001429946	33.501184					TIMEOUT	900.439999989	901.0455001429946	33.501184	TIMEOUT	900.639866429	901.0725443300034	397.545472					TIMEOUT	900.639866429	901.0725443300034	397.545472												</t>
  </si>
  <si>
    <t xml:space="preserve">openpsa/ccf/ccf9-ft-openpsa-300-05.xml													OUT OF MEMORY	304.500886352	304.74091965099797	16000.000000					OUT OF MEMORY	304.500886352	304.74091965099797	16000.000000	OUT OF MEMORY	390.340305673	390.7069742989843	16000.000000					OUT OF MEMORY	390.340305673	390.7069742989843	16000.000000	OUT OF MEMORY	254.327695115	254.54279674199643	16000.000000					OUT OF MEMORY	254.327695115	254.54279674199643	16000.000000	OUT OF MEMORY	316.086271892	316.46380976901855	16000.000000					OUT OF MEMORY	316.086271892	316.46380976901855	16000.000000	OUT OF MEMORY	408.107580496	408.46630562999053	16000.000000					OUT OF MEMORY	408.107580496	408.46630562999053	16000.000000	OUT OF MEMORY	257.444401004	257.8511495020066	16000.000000					OUT OF MEMORY	257.444401004	257.8511495020066	16000.000000												</t>
  </si>
  <si>
    <t xml:space="preserve">openpsa/ccf/ccf9-ft-openpsa-400-05.xml													OUT OF MEMORY	453.762609678	454.251851220004	16000.000000					OUT OF MEMORY	453.762609678	454.251851220004	16000.000000	OUT OF MEMORY	818.984041557	819.6672174650012	16000.000000					OUT OF MEMORY	818.984041557	819.6672174650012	16000.000000	OUT OF MEMORY	219.332653514	219.46494877999066	16000.000000					OUT OF MEMORY	219.332653514	219.46494877999066	16000.000000	OUT OF MEMORY	466.617252501	466.99158158301725	16000.000000					OUT OF MEMORY	466.617252501	466.99158158301725	16000.000000	OUT OF MEMORY	803.986576768	804.6835830179916	16000.000000					OUT OF MEMORY	803.986576768	804.6835830179916	16000.000000	OUT OF MEMORY	247.22610993	247.50951433600858	16000.000000					OUT OF MEMORY	247.22610993	247.50951433600858	16000.000000												</t>
  </si>
  <si>
    <t xml:space="preserve">openpsa/ccf/ccf9-ft-openpsa-500-05.xml													OUT OF MEMORY	254.531567116	254.74758506199578	16000.000000					OUT OF MEMORY	254.531567116	254.74758506199578	16000.000000	OUT OF MEMORY	633.56589409	634.2470012099948	16000.000000					OUT OF MEMORY	633.56589409	634.2470012099948	16000.000000	OUT OF MEMORY	327.994871771	328.2646449760068	16000.000000					OUT OF MEMORY	327.994871771	328.2646449760068	16000.000000	OUT OF MEMORY	250.724382632	250.95631717698416	16000.000000					OUT OF MEMORY	250.724382632	250.95631717698416	16000.000000	OUT OF MEMORY	617.850738446	618.3972735409916	16000.000000					OUT OF MEMORY	617.850738446	618.3972735409916	16000.000000	OUT OF MEMORY	310.914317953	311.1611443480069	16000.000000					OUT OF MEMORY	310.914317953	311.1611443480069	16000.000000												</t>
  </si>
  <si>
    <t xml:space="preserve">openpsa/ccf/ccf9-ft-openpsa-600-05.xml													OUT OF MEMORY	279.387170311	279.6229951229907	16000.000000					OUT OF MEMORY	279.387170311	279.6229951229907	16000.000000	OUT OF MEMORY	713.793470717	714.3503981049871	16000.000000					OUT OF MEMORY	713.793470717	714.3503981049871	16000.000000	OUT OF MEMORY	258.733714335	258.91664565600513	16000.000000					OUT OF MEMORY	258.733714335	258.91664565600513	16000.000000	OUT OF MEMORY	287.663836009	287.9360237949877	16000.000000					OUT OF MEMORY	287.663836009	287.9360237949877	16000.000000	OUT OF MEMORY	725.231264528	725.9159616260149	16000.000000					OUT OF MEMORY	725.231264528	725.9159616260149	16000.000000	OUT OF MEMORY	258.911021456	259.13310333300615	16000.000000					OUT OF MEMORY	258.911021456	259.13310333300615	16000.000000												</t>
  </si>
  <si>
    <t xml:space="preserve">openpsa/ccf/ccf9-ft-openpsa-700-05.xml													OUT OF MEMORY	263.840499416	264.06842241399863	16000.000000					OUT OF MEMORY	263.840499416	264.06842241399863	16000.000000	TIMEOUT	900.932320269	901.6701484730002	10296.012800					TIMEOUT	900.932320269	901.6701484730002	10296.012800	OUT OF MEMORY	306.124312863	306.3572241780057	16000.000000					OUT OF MEMORY	306.124312863	306.3572241780057	16000.000000	OUT OF MEMORY	258.181924256	258.4331735250016	16000.000000					OUT OF MEMORY	258.181924256	258.4331735250016	16000.000000	TIMEOUT	900.62184962	901.6110705359897	10296.008704					TIMEOUT	900.62184962	901.6110705359897	10296.008704	OUT OF MEMORY	319.378631216	319.7905198679946	16000.000000					OUT OF MEMORY	319.378631216	319.7905198679946	16000.000000												</t>
  </si>
  <si>
    <t xml:space="preserve">openpsa/ccf/ccf9-ft-openpsa-800-05.xml													OUT OF MEMORY	604.837165155	605.3887545189937	16000.000000					OUT OF MEMORY	604.837165155	605.3887545189937	16000.000000	TIMEOUT	901.029100436	901.7234227639856	10815.721472					TIMEOUT	901.029100436	901.7234227639856	10815.721472	OUT OF MEMORY	396.623662055	396.9817603039992	16000.000000					OUT OF MEMORY	396.623662055	396.9817603039992	16000.000000	OUT OF MEMORY	602.206889971	602.900436928001	16000.000000					OUT OF MEMORY	602.206889971	602.900436928001	16000.000000	TIMEOUT	900.948629779	901.737287447002	10815.721472					TIMEOUT	900.948629779	901.737287447002	10815.721472	OUT OF MEMORY	400.854669095	401.21618756998214	16000.000000					OUT OF MEMORY	400.854669095	401.21618756998214	16000.000000												</t>
  </si>
  <si>
    <t xml:space="preserve">openpsa/ccf/ccf9-ft-openpsa-900-05.xml													OUT OF MEMORY	259.76121802	259.9993028260069	16000.000000					OUT OF MEMORY	259.76121802	259.9993028260069	16000.000000	TIMEOUT	900.835106384	901.523189139989	8864.972800					TIMEOUT	900.835106384	901.523189139989	8864.972800	OUT OF MEMORY	379.292163655	379.64038357800746	16000.000000					OUT OF MEMORY	379.292163655	379.64038357800746	16000.000000	OUT OF MEMORY	259.85812766	260.1258260520117	16000.000000					OUT OF MEMORY	259.85812766	260.1258260520117	16000.000000	TIMEOUT	900.759857801	901.5709906520206	8864.911360					TIMEOUT	900.759857801	901.5709906520206	8864.911360	OUT OF MEMORY	385.056785034	385.5865227589966	16000.000000					OUT OF MEMORY	385.056785034	385.5865227589966	16000.000000												</t>
  </si>
  <si>
    <t xml:space="preserve">saphsolve/ft-saphsolve-100-01.JSInp					unknown	0.717105869	0.7210428630351089	4.096000	unknown	0.717105869	0.7210428630351089	4.096000																																																																																				</t>
  </si>
  <si>
    <t xml:space="preserve">saphsolve/ft-saphsolve-100-02.JSInp					unknown	0.772821539	0.7768525339779444	4.485120	unknown	0.772821539	0.7768525339779444	4.485120																																																																																				</t>
  </si>
  <si>
    <t xml:space="preserve">saphsolve/ft-saphsolve-100-03.JSInp					unknown	0.695870203	0.698321281990502	4.022272	unknown	0.695870203	0.698321281990502	4.022272																																																																																				</t>
  </si>
  <si>
    <t xml:space="preserve">saphsolve/ft-saphsolve-100-04.JSInp					unknown	0.726797371	0.728989712020848	4.145152	unknown	0.726797371	0.728989712020848	4.145152																																																																																				</t>
  </si>
  <si>
    <t xml:space="preserve">saphsolve/ft-saphsolve-100-05.JSInp					unknown	0.696027524	0.7020721070002764	4.042752	unknown	0.696027524	0.7020721070002764	4.042752																																																																																				</t>
  </si>
  <si>
    <t xml:space="preserve">saphsolve/ft-saphsolve-100-06.JSInp					unknown	0.726035285	0.7280014459975064	4.104192	unknown	0.726035285	0.7280014459975064	4.104192																																																																																				</t>
  </si>
  <si>
    <t xml:space="preserve">saphsolve/ft-saphsolve-100-07.JSInp					unknown	0.797317892	0.802131875010673	6.127616	unknown	0.797317892	0.802131875010673	6.127616																																																																																				</t>
  </si>
  <si>
    <t xml:space="preserve">saphsolve/ft-saphsolve-100-08.JSInp					unknown	2.049061081	2.0517553230165504	9.142272	unknown	2.049061081	2.0517553230165504	9.142272																																																																																				</t>
  </si>
  <si>
    <t xml:space="preserve">saphsolve/ft-saphsolve-100-09.JSInp					unknown	1.100666763	1.1054241789970547	5.214208	unknown	1.100666763	1.1054241789970547	5.214208																																																																																				</t>
  </si>
  <si>
    <t xml:space="preserve">saphsolve/ft-saphsolve-1000-01.JSInp					unknown	43.019294616	43.080467893974856	10.944512	unknown	43.019294616	43.080467893974856	10.944512																																																																																				</t>
  </si>
  <si>
    <t xml:space="preserve">saphsolve/ft-saphsolve-1000-02.JSInp					unknown	3.372955159	3.3812520779902115	10.846208	unknown	3.372955159	3.3812520779902115	10.846208																																																																																				</t>
  </si>
  <si>
    <t xml:space="preserve">saphsolve/ft-saphsolve-1000-03.JSInp					unknown	1.090108571	1.1008414429961704	7.528448	unknown	1.090108571	1.1008414429961704	7.528448																																																																																				</t>
  </si>
  <si>
    <t xml:space="preserve">saphsolve/ft-saphsolve-1000-04.JSInp					unknown	5.97072609	5.994881852995604	16.273408	unknown	5.97072609	5.994881852995604	16.273408																																																																																				</t>
  </si>
  <si>
    <t xml:space="preserve">saphsolve/ft-saphsolve-1000-05.JSInp					unknown	1.552260026	1.5590102089918219	9.170944	unknown	1.552260026	1.5590102089918219	9.170944																																																																																				</t>
  </si>
  <si>
    <t xml:space="preserve">saphsolve/ft-saphsolve-1000-06.JSInp					unknown	3.812843261	3.8196678109816276	10.911744	unknown	3.812843261	3.8196678109816276	10.911744																																																																																				</t>
  </si>
  <si>
    <t xml:space="preserve">saphsolve/ft-saphsolve-1000-07.JSInp					unknown	5.007643415	5.031285597011447	11.202560	unknown	5.007643415	5.031285597011447	11.202560																																																																																				</t>
  </si>
  <si>
    <t xml:space="preserve">saphsolve/ft-saphsolve-1000-08.JSInp					unknown	77.954111585	78.00663079600781	16.154624	unknown	77.954111585	78.00663079600781	16.154624																																																																																				</t>
  </si>
  <si>
    <t xml:space="preserve">saphsolve/ft-saphsolve-1000-09.JSInp					TIMEOUT	900.959393227	904.162312134984	4.751360	TIMEOUT	900.959393227	904.162312134984	4.751360																																																																																				</t>
  </si>
  <si>
    <t xml:space="preserve">saphsolve/ft-saphsolve-10000-01.JSInp					unknown	386.467626595	388.59300407598494	29.216768	unknown	386.467626595	388.59300407598494	29.216768																																																																																				</t>
  </si>
  <si>
    <t xml:space="preserve">saphsolve/ft-saphsolve-10000-02.JSInp					unknown	17.86886955	17.890533816011157	19.693568	unknown	17.86886955	17.890533816011157	19.693568																																																																																				</t>
  </si>
  <si>
    <t xml:space="preserve">saphsolve/ft-saphsolve-10000-03.JSInp					unknown	5.007215387	5.071431802993175	18.571264	unknown	5.007215387	5.071431802993175	18.571264																																																																																				</t>
  </si>
  <si>
    <t xml:space="preserve">saphsolve/ft-saphsolve-10000-04.JSInp					unknown	2.551812313	2.555247962998692	17.465344	unknown	2.551812313	2.555247962998692	17.465344																																																																																				</t>
  </si>
  <si>
    <t xml:space="preserve">saphsolve/ft-saphsolve-10000-05.JSInp					unknown	2.790646781	2.79321982502006	18.251776	unknown	2.790646781	2.79321982502006	18.251776																																																																																				</t>
  </si>
  <si>
    <t xml:space="preserve">saphsolve/ft-saphsolve-10000-06.JSInp					unknown	2.914731868	2.9182913310360163	18.407424	unknown	2.914731868	2.9182913310360163	18.407424																																																																																				</t>
  </si>
  <si>
    <t xml:space="preserve">saphsolve/ft-saphsolve-10000-07.JSInp					unknown	3.273803385	3.2791469400399365	19.509248	unknown	3.273803385	3.2791469400399365	19.509248																																																																																				</t>
  </si>
  <si>
    <t xml:space="preserve">saphsolve/ft-saphsolve-10000-08.JSInp					unknown	3.612849286	3.6195602939696983	20.844544	unknown	3.612849286	3.6195602939696983	20.844544																																																																																				</t>
  </si>
  <si>
    <t xml:space="preserve">saphsolve/ft-saphsolve-10000-09.JSInp					unknown	3.917083906	3.9221148780197836	21.270528	unknown	3.917083906	3.9221148780197836	21.270528																																																																																				</t>
  </si>
  <si>
    <t xml:space="preserve">saphsolve/ft-saphsolve-200-01.JSInp					unknown	0.754927076	0.7590583559940569	4.083712	unknown	0.754927076	0.7590583559940569	4.083712																																																																																				</t>
  </si>
  <si>
    <t xml:space="preserve">saphsolve/ft-saphsolve-200-02.JSInp					unknown	3.348871671	3.3525215930421837	9.367552	unknown	3.348871671	3.3525215930421837	9.367552																																																																																				</t>
  </si>
  <si>
    <t xml:space="preserve">saphsolve/ft-saphsolve-200-03.JSInp					unknown	9.242377499	9.253330322972033	11.325440	unknown	9.242377499	9.253330322972033	11.325440																																																																																				</t>
  </si>
  <si>
    <t xml:space="preserve">saphsolve/ft-saphsolve-200-04.JSInp					unknown	0.732960145	0.7351524999830872	4.317184	unknown	0.732960145	0.7351524999830872	4.317184																																																																																				</t>
  </si>
  <si>
    <t xml:space="preserve">saphsolve/ft-saphsolve-200-05.JSInp					unknown	4.584174842	4.5933396620093845	7.909376	unknown	4.584174842	4.5933396620093845	7.909376																																																																																				</t>
  </si>
  <si>
    <t xml:space="preserve">saphsolve/ft-saphsolve-200-06.JSInp					unknown	10.31567689	10.323483990970999	13.729792	unknown	10.31567689	10.323483990970999	13.729792																																																																																				</t>
  </si>
  <si>
    <t xml:space="preserve">saphsolve/ft-saphsolve-200-07.JSInp					unknown	4.129664578	4.136373850982636	8.937472	unknown	4.129664578	4.136373850982636	8.937472																																																																																				</t>
  </si>
  <si>
    <t xml:space="preserve">saphsolve/ft-saphsolve-200-08.JSInp					unknown	2.231864883	2.235307586961426	8.843264	unknown	2.231864883	2.235307586961426	8.843264																																																																																				</t>
  </si>
  <si>
    <t xml:space="preserve">saphsolve/ft-saphsolve-200-09.JSInp					unknown	7.900603077	7.909282587992493	10.399744	unknown	7.900603077	7.909282587992493	10.399744																																																																																				</t>
  </si>
  <si>
    <t xml:space="preserve">saphsolve/ft-saphsolve-2000-01.JSInp					TIMEOUT	901.002622368	903.6319963659626	5.541888	TIMEOUT	901.002622368	903.6319963659626	5.541888																																																																																				</t>
  </si>
  <si>
    <t xml:space="preserve">saphsolve/ft-saphsolve-2000-02.JSInp					unknown	19.129095319	19.142181887989864	13.742080	unknown	19.129095319	19.142181887989864	13.742080																																																																																				</t>
  </si>
  <si>
    <t xml:space="preserve">saphsolve/ft-saphsolve-2000-03.JSInp					unknown	8.536117155	8.544503652025014	11.784192	unknown	8.536117155	8.544503652025014	11.784192																																																																																				</t>
  </si>
  <si>
    <t xml:space="preserve">saphsolve/ft-saphsolve-2000-04.JSInp					unknown	3.423217831	3.458974829001818	9.887744	unknown	3.423217831	3.458974829001818	9.887744																																																																																				</t>
  </si>
  <si>
    <t xml:space="preserve">saphsolve/ft-saphsolve-2000-05.JSInp					unknown	36.860607317	36.89226301998133	14.761984	unknown	36.860607317	36.89226301998133	14.761984																																																																																				</t>
  </si>
  <si>
    <t xml:space="preserve">saphsolve/ft-saphsolve-2000-06.JSInp					unknown	6.654681437	6.660238020995166	10.014720	unknown	6.654681437	6.660238020995166	10.014720																																																																																				</t>
  </si>
  <si>
    <t xml:space="preserve">saphsolve/ft-saphsolve-2000-07.JSInp					unknown	10.140750429	10.178875803016126	11.948032	unknown	10.140750429	10.178875803016126	11.948032																																																																																				</t>
  </si>
  <si>
    <t xml:space="preserve">saphsolve/ft-saphsolve-2000-08.JSInp					unknown	3.310423097	3.315198623982724	15.798272	unknown	3.310423097	3.315198623982724	15.798272																																																																																				</t>
  </si>
  <si>
    <t xml:space="preserve">saphsolve/ft-saphsolve-2000-09.JSInp					unknown	1.422549985	1.4278421989874914	9.003008	unknown	1.422549985	1.4278421989874914	9.003008																																																																																				</t>
  </si>
  <si>
    <t xml:space="preserve">saphsolve/ft-saphsolve-300-01.JSInp					unknown	3.062582566	3.0775772069464438	9.220096	unknown	3.062582566	3.0775772069464438	9.220096																																																																																				</t>
  </si>
  <si>
    <t xml:space="preserve">saphsolve/ft-saphsolve-300-02.JSInp					unknown	17.992092994	18.003174385987222	10.727424	unknown	17.992092994	18.003174385987222	10.727424																																																																																				</t>
  </si>
  <si>
    <t xml:space="preserve">saphsolve/ft-saphsolve-300-03.JSInp					unknown	4.265725493	4.271968297951389	9.736192	unknown	4.265725493	4.271968297951389	9.736192																																																																																				</t>
  </si>
  <si>
    <t xml:space="preserve">saphsolve/ft-saphsolve-300-04.JSInp					unknown	19.000774071	19.06333980895579	11.747328	unknown	19.000774071	19.06333980895579	11.747328																																																																																				</t>
  </si>
  <si>
    <t xml:space="preserve">saphsolve/ft-saphsolve-300-05.JSInp					unknown	8.156593284	8.182949625013862	10.702848	unknown	8.156593284	8.182949625013862	10.702848																																																																																				</t>
  </si>
  <si>
    <t xml:space="preserve">saphsolve/ft-saphsolve-300-06.JSInp					unknown	2.352342396	2.3548773090005852	12.091392	unknown	2.352342396	2.3548773090005852	12.091392																																																																																				</t>
  </si>
  <si>
    <t xml:space="preserve">saphsolve/ft-saphsolve-300-07.JSInp					unknown	10.08853263	10.094135874998756	10.526720	unknown	10.08853263	10.094135874998756	10.526720																																																																																				</t>
  </si>
  <si>
    <t xml:space="preserve">saphsolve/ft-saphsolve-300-08.JSInp					unknown	6.0342138	6.040994254988618	10.387456	unknown	6.0342138	6.040994254988618	10.387456																																																																																				</t>
  </si>
  <si>
    <t xml:space="preserve">saphsolve/ft-saphsolve-300-09.JSInp					unknown	9.54085362	9.54929237900069	8.724480	unknown	9.54085362	9.54929237900069	8.724480																																																																																				</t>
  </si>
  <si>
    <t xml:space="preserve">saphsolve/ft-saphsolve-3000-01.JSInp					unknown	1.630637753	1.6349699730053544	11.206656	unknown	1.630637753	1.6349699730053544	11.206656																																																																																				</t>
  </si>
  <si>
    <t xml:space="preserve">saphsolve/ft-saphsolve-3000-02.JSInp					unknown	249.778788058	250.81996195804095	17.702912	unknown	249.778788058	250.81996195804095	17.702912																																																																																				</t>
  </si>
  <si>
    <t xml:space="preserve">saphsolve/ft-saphsolve-3000-03.JSInp					TIMEOUT	901.002857666	906.9063693810022	26.750976	TIMEOUT	901.002857666	906.9063693810022	26.750976																																																																																				</t>
  </si>
  <si>
    <t xml:space="preserve">saphsolve/ft-saphsolve-3000-04.JSInp					unknown	10.600816013	10.81065237801522	12.455936	unknown	10.600816013	10.81065237801522	12.455936																																																																																				</t>
  </si>
  <si>
    <t xml:space="preserve">saphsolve/ft-saphsolve-3000-05.JSInp					unknown	379.573301485	392.48726801300654	17.608704	unknown	379.573301485	392.48726801300654	17.608704																																																																																				</t>
  </si>
  <si>
    <t xml:space="preserve">saphsolve/ft-saphsolve-3000-06.JSInp					unknown	3.648799315	3.652208089013584	16.658432	unknown	3.648799315	3.652208089013584	16.658432																																																																																				</t>
  </si>
  <si>
    <t xml:space="preserve">saphsolve/ft-saphsolve-3000-07.JSInp					unknown	175.912336417	176.50328013597755	17.174528	unknown	175.912336417	176.50328013597755	17.174528																																																																																				</t>
  </si>
  <si>
    <t xml:space="preserve">saphsolve/ft-saphsolve-3000-08.JSInp					unknown	3.861547474	3.993375643971376	14.897152	unknown	3.861547474	3.993375643971376	14.897152																																																																																				</t>
  </si>
  <si>
    <t xml:space="preserve">saphsolve/ft-saphsolve-3000-09.JSInp					unknown	1.652311088	1.6547414759988897	8.519680	unknown	1.652311088	1.6547414759988897	8.519680																																																																																				</t>
  </si>
  <si>
    <t xml:space="preserve">saphsolve/ft-saphsolve-400-01.JSInp					unknown	1.681201311	1.6870703599997796	9.199616	unknown	1.681201311	1.6870703599997796	9.199616																																																																																				</t>
  </si>
  <si>
    <t xml:space="preserve">saphsolve/ft-saphsolve-400-02.JSInp					unknown	4.056021341	4.187326084007509	10.633216	unknown	4.056021341	4.187326084007509	10.633216																																																																																				</t>
  </si>
  <si>
    <t xml:space="preserve">saphsolve/ft-saphsolve-400-03.JSInp					unknown	208.610649356	209.93985265499214	17.006592	unknown	208.610649356	209.93985265499214	17.006592																																																																																				</t>
  </si>
  <si>
    <t xml:space="preserve">saphsolve/ft-saphsolve-400-04.JSInp					unknown	8.263691924	8.328156112984288	10.391552	unknown	8.263691924	8.328156112984288	10.391552																																																																																				</t>
  </si>
  <si>
    <t xml:space="preserve">saphsolve/ft-saphsolve-400-05.JSInp					unknown	22.167029886	22.28733789100079	10.354688	unknown	22.167029886	22.28733789100079	10.354688																																																																																				</t>
  </si>
  <si>
    <t xml:space="preserve">saphsolve/ft-saphsolve-400-06.JSInp					unknown	23.186125045	23.486104395007715	9.281536	unknown	23.186125045	23.486104395007715	9.281536																																																																																				</t>
  </si>
  <si>
    <t xml:space="preserve">saphsolve/ft-saphsolve-400-07.JSInp					unknown	11.616902314	11.6588638650137	9.179136	unknown	11.616902314	11.6588638650137	9.179136																																																																																				</t>
  </si>
  <si>
    <t xml:space="preserve">saphsolve/ft-saphsolve-400-08.JSInp					unknown	1.672401186	1.6774412880185992	10.993664	unknown	1.672401186	1.6774412880185992	10.993664																																																																																				</t>
  </si>
  <si>
    <t xml:space="preserve">saphsolve/ft-saphsolve-400-09.JSInp					unknown	7.203085044	7.392488537996542	10.702848	unknown	7.203085044	7.392488537996542	10.702848																																																																																				</t>
  </si>
  <si>
    <t xml:space="preserve">saphsolve/ft-saphsolve-4000-01.JSInp					unknown	27.915372466	28.08509037399199	14.520320	unknown	27.915372466	28.08509037399199	14.520320																																																																																				</t>
  </si>
  <si>
    <t xml:space="preserve">saphsolve/ft-saphsolve-4000-02.JSInp					unknown	1.846784984	1.8834484530379996	15.421440	unknown	1.846784984	1.8834484530379996	15.421440																																																																																				</t>
  </si>
  <si>
    <t xml:space="preserve">saphsolve/ft-saphsolve-4000-03.JSInp					unknown	2.420266391	2.4254145940067247	13.234176	unknown	2.420266391	2.4254145940067247	13.234176																																																																																				</t>
  </si>
  <si>
    <t xml:space="preserve">saphsolve/ft-saphsolve-4000-04.JSInp					unknown	57.05153863	63.44103276898386	12.533760	unknown	57.05153863	63.44103276898386	12.533760																																																																																				</t>
  </si>
  <si>
    <t xml:space="preserve">saphsolve/ft-saphsolve-4000-05.JSInp					unknown	103.149447127	104.4713536669733	17.653760	unknown	103.149447127	104.4713536669733	17.653760																																																																																				</t>
  </si>
  <si>
    <t xml:space="preserve">saphsolve/ft-saphsolve-4000-06.JSInp					unknown	111.550040382	118.98141577199567	13.062144	unknown	111.550040382	118.98141577199567	13.062144																																																																																				</t>
  </si>
  <si>
    <t xml:space="preserve">saphsolve/ft-saphsolve-4000-07.JSInp					unknown	24.044454781	24.462515902007	15.147008	unknown	24.044454781	24.462515902007	15.147008																																																																																				</t>
  </si>
  <si>
    <t xml:space="preserve">saphsolve/ft-saphsolve-4000-08.JSInp					unknown	433.614890538	435.16740042099264	22.020096	unknown	433.614890538	435.16740042099264	22.020096																																																																																				</t>
  </si>
  <si>
    <t xml:space="preserve">saphsolve/ft-saphsolve-4000-09.JSInp					unknown	136.376746465	137.00517641101032	17.125376	unknown	136.376746465	137.00517641101032	17.125376																																																																																				</t>
  </si>
  <si>
    <t xml:space="preserve">saphsolve/ft-saphsolve-500-01.JSInp					unknown	1.289960448	1.3343384100007825	7.475200	unknown	1.289960448	1.3343384100007825	7.475200																																																																																				</t>
  </si>
  <si>
    <t xml:space="preserve">saphsolve/ft-saphsolve-500-02.JSInp					unknown	1.376424893	1.3971386990160681	12.013568	unknown	1.376424893	1.3971386990160681	12.013568																																																																																				</t>
  </si>
  <si>
    <t xml:space="preserve">saphsolve/ft-saphsolve-500-03.JSInp					unknown	4.411624815	4.440019453002606	11.083776	unknown	4.411624815	4.440019453002606	11.083776																																																																																				</t>
  </si>
  <si>
    <t xml:space="preserve">saphsolve/ft-saphsolve-500-04.JSInp					unknown	464.110731719	465.9204116949695	19.456000	unknown	464.110731719	465.9204116949695	19.456000																																																																																				</t>
  </si>
  <si>
    <t xml:space="preserve">saphsolve/ft-saphsolve-500-05.JSInp					unknown	8.42463275	8.610148514970206	10.887168	unknown	8.42463275	8.610148514970206	10.887168																																																																																				</t>
  </si>
  <si>
    <t xml:space="preserve">saphsolve/ft-saphsolve-500-06.JSInp					unknown	15.632745253	15.707362025044858	12.345344	unknown	15.632745253	15.707362025044858	12.345344																																																																																				</t>
  </si>
  <si>
    <t xml:space="preserve">saphsolve/ft-saphsolve-500-07.JSInp					unknown	35.124774643	35.27161341399187	10.719232	unknown	35.124774643	35.27161341399187	10.719232																																																																																				</t>
  </si>
  <si>
    <t xml:space="preserve">saphsolve/ft-saphsolve-500-08.JSInp					unknown	63.292857503	78.55059027601965	12.070912	unknown	63.292857503	78.55059027601965	12.070912																																																																																				</t>
  </si>
  <si>
    <t xml:space="preserve">saphsolve/ft-saphsolve-500-09.JSInp					unknown	13.50317258	13.522083368967287	16.130048	unknown	13.50317258	13.522083368967287	16.130048																																																																																				</t>
  </si>
  <si>
    <t xml:space="preserve">saphsolve/ft-saphsolve-5000-01.JSInp					unknown	2.597786696	2.604472409992013	12.431360	unknown	2.597786696	2.604472409992013	12.431360																																																																																				</t>
  </si>
  <si>
    <t xml:space="preserve">saphsolve/ft-saphsolve-5000-02.JSInp					unknown	22.303463553	34.817748654983006	13.627392	unknown	22.303463553	34.817748654983006	13.627392																																																																																				</t>
  </si>
  <si>
    <t xml:space="preserve">saphsolve/ft-saphsolve-5000-03.JSInp					unknown	1.628957353	1.6336250330205075	10.620928	unknown	1.628957353	1.6336250330205075	10.620928																																																																																				</t>
  </si>
  <si>
    <t xml:space="preserve">saphsolve/ft-saphsolve-5000-04.JSInp					unknown	22.267642677	22.290236389031634	14.266368	unknown	22.267642677	22.290236389031634	14.266368																																																																																				</t>
  </si>
  <si>
    <t xml:space="preserve">saphsolve/ft-saphsolve-5000-05.JSInp					unknown	4.940772173	4.992192505043931	12.718080	unknown	4.940772173	4.992192505043931	12.718080																																																																																				</t>
  </si>
  <si>
    <t xml:space="preserve">saphsolve/ft-saphsolve-5000-06.JSInp					unknown	3.611339438	3.6182891170028597	14.704640	unknown	3.611339438	3.6182891170028597	14.704640																																																																																				</t>
  </si>
  <si>
    <t xml:space="preserve">saphsolve/ft-saphsolve-5000-07.JSInp					unknown	18.365164543	20.502418421965558	15.847424	unknown	18.365164543	20.502418421965558	15.847424																																																																																				</t>
  </si>
  <si>
    <t xml:space="preserve">saphsolve/ft-saphsolve-5000-08.JSInp					unknown	2.385738888	2.4169661949854344	13.275136	unknown	2.385738888	2.4169661949854344	13.275136																																																																																				</t>
  </si>
  <si>
    <t xml:space="preserve">saphsolve/ft-saphsolve-5000-09.JSInp					unknown	2.729619005	2.739127692009788	13.443072	unknown	2.729619005	2.739127692009788	13.443072																																																																																				</t>
  </si>
  <si>
    <t xml:space="preserve">saphsolve/ft-saphsolve-600-01.JSInp					unknown	62.037579116	66.46748130203923	10.952704	unknown	62.037579116	66.46748130203923	10.952704																																																																																				</t>
  </si>
  <si>
    <t xml:space="preserve">saphsolve/ft-saphsolve-600-02.JSInp					unknown	3.160406798	3.168819051992614	10.399744	unknown	3.160406798	3.168819051992614	10.399744																																																																																				</t>
  </si>
  <si>
    <t xml:space="preserve">saphsolve/ft-saphsolve-600-03.JSInp					unknown	4.654663612	4.659919992031064	10.551296	unknown	4.654663612	4.659919992031064	10.551296																																																																																				</t>
  </si>
  <si>
    <t xml:space="preserve">saphsolve/ft-saphsolve-600-04.JSInp					unknown	14.128008455	14.146786244993564	11.423744	unknown	14.128008455	14.146786244993564	11.423744																																																																																				</t>
  </si>
  <si>
    <t xml:space="preserve">saphsolve/ft-saphsolve-600-05.JSInp					unknown	35.649955821	35.68511945399223	16.969728	unknown	35.649955821	35.68511945399223	16.969728																																																																																				</t>
  </si>
  <si>
    <t xml:space="preserve">saphsolve/ft-saphsolve-600-06.JSInp					unknown	17.664125491	17.677332671999466	12.427264	unknown	17.664125491	17.677332671999466	12.427264																																																																																				</t>
  </si>
  <si>
    <t xml:space="preserve">saphsolve/ft-saphsolve-600-07.JSInp					unknown	198.693640607	208.350642993988	10.670080	unknown	198.693640607	208.350642993988	10.670080																																																																																				</t>
  </si>
  <si>
    <t xml:space="preserve">saphsolve/ft-saphsolve-600-08.JSInp					unknown	16.291076357	20.487988797016442	16.019456	unknown	16.291076357	20.487988797016442	16.019456																																																																																				</t>
  </si>
  <si>
    <t xml:space="preserve">saphsolve/ft-saphsolve-600-09.JSInp					unknown	21.715078884	21.827627120015677	11.558912	unknown	21.715078884	21.827627120015677	11.558912																																																																																				</t>
  </si>
  <si>
    <t xml:space="preserve">saphsolve/ft-saphsolve-6000-01.JSInp					unknown	53.898992435	54.08794694696553	14.467072	unknown	53.898992435	54.08794694696553	14.467072																																																																																				</t>
  </si>
  <si>
    <t xml:space="preserve">saphsolve/ft-saphsolve-6000-02.JSInp					unknown	12.868860476	12.897848166991025	15.400960	unknown	12.868860476	12.897848166991025	15.400960																																																																																				</t>
  </si>
  <si>
    <t xml:space="preserve">saphsolve/ft-saphsolve-6000-03.JSInp					TIMEOUT	900.441849594	901.0057897879742	10.506240	TIMEOUT	900.441849594	901.0057897879742	10.506240																																																																																				</t>
  </si>
  <si>
    <t xml:space="preserve">saphsolve/ft-saphsolve-6000-04.JSInp					unknown	6.039759746	6.047995575005189	15.335424	unknown	6.039759746	6.047995575005189	15.335424																																																																																				</t>
  </si>
  <si>
    <t xml:space="preserve">saphsolve/ft-saphsolve-6000-05.JSInp					unknown	140.631051296	140.74737455701688	16.674816	unknown	140.631051296	140.74737455701688	16.674816																																																																																				</t>
  </si>
  <si>
    <t xml:space="preserve">saphsolve/ft-saphsolve-6000-06.JSInp					unknown	14.773230993	15.291067974991165	16.056320	unknown	14.773230993	15.291067974991165	16.056320																																																																																				</t>
  </si>
  <si>
    <t xml:space="preserve">saphsolve/ft-saphsolve-6000-07.JSInp					unknown	26.283063145	26.73862309299875	17.457152	unknown	26.283063145	26.73862309299875	17.457152																																																																																				</t>
  </si>
  <si>
    <t xml:space="preserve">saphsolve/ft-saphsolve-6000-08.JSInp					unknown	5.747832716	5.755856178002432	15.491072	unknown	5.747832716	5.755856178002432	15.491072																																																																																				</t>
  </si>
  <si>
    <t xml:space="preserve">saphsolve/ft-saphsolve-6000-09.JSInp					unknown	146.628413877	211.03617173602106	19.935232	unknown	146.628413877	211.03617173602106	19.935232																																																																																				</t>
  </si>
  <si>
    <t xml:space="preserve">saphsolve/ft-saphsolve-700-01.JSInp					unknown	24.339470887	31.878185003006365	9.994240	unknown	24.339470887	31.878185003006365	9.994240																																																																																				</t>
  </si>
  <si>
    <t xml:space="preserve">saphsolve/ft-saphsolve-700-02.JSInp					unknown	2.853574149	2.8588329809717834	10.752000	unknown	2.853574149	2.8588329809717834	10.752000																																																																																				</t>
  </si>
  <si>
    <t xml:space="preserve">saphsolve/ft-saphsolve-700-03.JSInp					unknown	133.571838238	232.4332339570392	11.567104	unknown	133.571838238	232.4332339570392	11.567104																																																																																				</t>
  </si>
  <si>
    <t xml:space="preserve">saphsolve/ft-saphsolve-700-04.JSInp					unknown	1.359579461	2.2147117399726994	9.756672	unknown	1.359579461	2.2147117399726994	9.756672																																																																																				</t>
  </si>
  <si>
    <t xml:space="preserve">saphsolve/ft-saphsolve-700-05.JSInp					unknown	43.585745586	47.78557003400056	13.082624	unknown	43.585745586	47.78557003400056	13.082624																																																																																				</t>
  </si>
  <si>
    <t xml:space="preserve">saphsolve/ft-saphsolve-700-06.JSInp					unknown	6.760167865	6.778407095989678	10.964992	unknown	6.760167865	6.778407095989678	10.964992																																																																																				</t>
  </si>
  <si>
    <t xml:space="preserve">saphsolve/ft-saphsolve-700-07.JSInp					unknown	3.047682451	3.075270069995895	13.512704	unknown	3.047682451	3.075270069995895	13.512704																																																																																				</t>
  </si>
  <si>
    <t xml:space="preserve">saphsolve/ft-saphsolve-700-08.JSInp					unknown	3.884062667	3.9261294140014797	12.054528	unknown	3.884062667	3.9261294140014797	12.054528																																																																																				</t>
  </si>
  <si>
    <t xml:space="preserve">saphsolve/ft-saphsolve-700-09.JSInp					unknown	4.623135983	4.646808004006743	10.747904	unknown	4.623135983	4.646808004006743	10.747904																																																																																				</t>
  </si>
  <si>
    <t xml:space="preserve">saphsolve/ft-saphsolve-7000-01.JSInp					unknown	23.815116099	23.86659804097144	16.285696	unknown	23.815116099	23.86659804097144	16.285696																																																																																				</t>
  </si>
  <si>
    <t xml:space="preserve">saphsolve/ft-saphsolve-7000-02.JSInp					TIMEOUT	600.803342219	931.7508826280246	28.856320	TIMEOUT	600.803342219	931.7508826280246	28.856320																																																																																				</t>
  </si>
  <si>
    <t xml:space="preserve">saphsolve/ft-saphsolve-7000-03.JSInp					unknown	10.592432832	12.08652448898647	14.864384	unknown	10.592432832	12.08652448898647	14.864384																																																																																				</t>
  </si>
  <si>
    <t xml:space="preserve">saphsolve/ft-saphsolve-7000-04.JSInp					TIMEOUT	901.003196452	902.6471819109865	11.997184	TIMEOUT	901.003196452	902.6471819109865	11.997184																																																																																				</t>
  </si>
  <si>
    <t xml:space="preserve">saphsolve/ft-saphsolve-7000-05.JSInp					TIMEOUT	900.050469769	901.0076047810144	12.349440	TIMEOUT	900.050469769	901.0076047810144	12.349440																																																																																				</t>
  </si>
  <si>
    <t xml:space="preserve">saphsolve/ft-saphsolve-7000-06.JSInp					unknown	4.425148172	4.871756837994326	16.732160	unknown	4.425148172	4.871756837994326	16.732160																																																																																				</t>
  </si>
  <si>
    <t xml:space="preserve">saphsolve/ft-saphsolve-7000-07.JSInp					TIMEOUT	901.002344718	902.0458668260253	12.787712	TIMEOUT	901.002344718	902.0458668260253	12.787712																																																																																				</t>
  </si>
  <si>
    <t xml:space="preserve">saphsolve/ft-saphsolve-7000-08.JSInp					TIMEOUT	901.003391242	905.1251328189974	13.684736	TIMEOUT	901.003391242	905.1251328189974	13.684736																																																																																				</t>
  </si>
  <si>
    <t xml:space="preserve">saphsolve/ft-saphsolve-7000-09.JSInp					unknown	13.941323619	19.13202768599149	17.047552	unknown	13.941323619	19.13202768599149	17.047552																																																																																				</t>
  </si>
  <si>
    <t xml:space="preserve">saphsolve/ft-saphsolve-800-01.JSInp					unknown	13.794756867	18.928344154031947	10.964992	unknown	13.794756867	18.928344154031947	10.964992																																																																																				</t>
  </si>
  <si>
    <t xml:space="preserve">saphsolve/ft-saphsolve-800-02.JSInp					unknown	30.972836892	206.11607283598278	10.514432	unknown	30.972836892	206.11607283598278	10.514432																																																																																				</t>
  </si>
  <si>
    <t xml:space="preserve">saphsolve/ft-saphsolve-800-03.JSInp					unknown	5.175605008	10.676059465040453	10.854400	unknown	5.175605008	10.676059465040453	10.854400																																																																																				</t>
  </si>
  <si>
    <t xml:space="preserve">saphsolve/ft-saphsolve-800-04.JSInp					unknown	65.515282456	112.45314257300925	12.337152	unknown	65.515282456	112.45314257300925	12.337152																																																																																				</t>
  </si>
  <si>
    <t xml:space="preserve">saphsolve/ft-saphsolve-800-05.JSInp					unknown	6.006268671	30.688160289952066	10.928128	unknown	6.006268671	30.688160289952066	10.928128																																																																																				</t>
  </si>
  <si>
    <t xml:space="preserve">saphsolve/ft-saphsolve-800-06.JSInp					unknown	3.779281318	17.25217941700248	10.006528	unknown	3.779281318	17.25217941700248	10.006528																																																																																				</t>
  </si>
  <si>
    <t xml:space="preserve">saphsolve/ft-saphsolve-800-07.JSInp					unknown	107.979159994	275.3189394910005	16.052224	unknown	107.979159994	275.3189394910005	16.052224																																																																																				</t>
  </si>
  <si>
    <t xml:space="preserve">saphsolve/ft-saphsolve-800-08.JSInp					unknown	4.185578317	21.83623625501059	10.035200	unknown	4.185578317	21.83623625501059	10.035200																																																																																				</t>
  </si>
  <si>
    <t xml:space="preserve">saphsolve/ft-saphsolve-800-09.JSInp					unknown	4.080574344	13.70632379601011	10.690560	unknown	4.080574344	13.70632379601011	10.690560																																																																																				</t>
  </si>
  <si>
    <t xml:space="preserve">saphsolve/ft-saphsolve-8000-01.JSInp					TIMEOUT	6.213584931	931.3421968449838	16.588800	TIMEOUT	6.213584931	931.3421968449838	16.588800																																																																																				</t>
  </si>
  <si>
    <t xml:space="preserve">saphsolve/ft-saphsolve-8000-02.JSInp					TIMEOUT	1.042774703	931.3477823160356	7.417856	TIMEOUT	1.042774703	931.3477823160356	7.417856																																																																																				</t>
  </si>
  <si>
    <t xml:space="preserve">saphsolve/ft-saphsolve-8000-03.JSInp					TIMEOUT	1.0727562	931.0097656320431	7.417856	TIMEOUT	1.0727562	931.0097656320431	7.417856																																																																																				</t>
  </si>
  <si>
    <t xml:space="preserve">saphsolve/ft-saphsolve-8000-04.JSInp					TIMEOUT	1.136924682	931.0740942070261	7.426048	TIMEOUT	1.136924682	931.0740942070261	7.426048																																																																																				</t>
  </si>
  <si>
    <t xml:space="preserve">saphsolve/ft-saphsolve-8000-05.JSInp					TIMEOUT	1.067917913	931.4524936599773	7.507968	TIMEOUT	1.067917913	931.4524936599773	7.507968																																																																																				</t>
  </si>
  <si>
    <t xml:space="preserve">saphsolve/ft-saphsolve-8000-06.JSInp					TIMEOUT	1.145537395	931.2303748679697	7.471104	TIMEOUT	1.145537395	931.2303748679697	7.471104																																																																																				</t>
  </si>
  <si>
    <t xml:space="preserve">saphsolve/ft-saphsolve-8000-07.JSInp					TIMEOUT	1.145083085	931.141787864035	7.503872	TIMEOUT	1.145083085	931.141787864035	7.503872																																																																																				</t>
  </si>
  <si>
    <t xml:space="preserve">saphsolve/ft-saphsolve-8000-08.JSInp					TIMEOUT	1.222789128	931.029047530028	7.512064	TIMEOUT	1.222789128	931.029047530028	7.512064																																																																																				</t>
  </si>
  <si>
    <t xml:space="preserve">saphsolve/ft-saphsolve-8000-09.JSInp					TIMEOUT	1.24155176	931.1685833230149	7.499776	TIMEOUT	1.24155176	931.1685833230149	7.499776																																																																																				</t>
  </si>
  <si>
    <t xml:space="preserve">saphsolve/ft-saphsolve-900-01.JSInp					TIMEOUT	0.611796769	931.5492832399905	3.182592	TIMEOUT	0.611796769	931.5492832399905	3.182592																																																																																				</t>
  </si>
  <si>
    <t xml:space="preserve">saphsolve/ft-saphsolve-900-02.JSInp					TIMEOUT	0.599301247	931.1181551989866	3.186688	TIMEOUT	0.599301247	931.1181551989866	3.186688																																																																																				</t>
  </si>
  <si>
    <t xml:space="preserve">saphsolve/ft-saphsolve-900-03.JSInp					TIMEOUT	0.649836212	931.5795796579914	3.174400	TIMEOUT	0.649836212	931.5795796579914	3.174400																																																																																				</t>
  </si>
  <si>
    <t xml:space="preserve">saphsolve/ft-saphsolve-900-04.JSInp					TIMEOUT	0.598559133	931.0434885720024	3.182592	TIMEOUT	0.598559133	931.0434885720024	3.182592																																																																																				</t>
  </si>
  <si>
    <t xml:space="preserve">saphsolve/ft-saphsolve-900-05.JSInp					TIMEOUT	0.580148138	931.0258999470389	3.182592	TIMEOUT	0.580148138	931.0258999470389	3.182592																																																																																				</t>
  </si>
  <si>
    <t xml:space="preserve">saphsolve/ft-saphsolve-900-06.JSInp					TIMEOUT	0.565062084	931.1662130670156	3.162112	TIMEOUT	0.565062084	931.1662130670156	3.162112																																																																																				</t>
  </si>
  <si>
    <t xml:space="preserve">saphsolve/ft-saphsolve-900-07.JSInp					TIMEOUT	0.568825303	931.0585178179899	3.158016	TIMEOUT	0.568825303	931.0585178179899	3.158016																																																																																				</t>
  </si>
  <si>
    <t xml:space="preserve">saphsolve/ft-saphsolve-900-08.JSInp					TIMEOUT	0.559775687	931.4937772649573	3.182592	TIMEOUT	0.559775687	931.4937772649573	3.182592																																																																																				</t>
  </si>
  <si>
    <t xml:space="preserve">saphsolve/ft-saphsolve-900-09.JSInp					TIMEOUT	0.654528852	931.367420391005	3.166208	TIMEOUT	0.654528852	931.367420391005	3.166208																																																																																				</t>
  </si>
  <si>
    <t xml:space="preserve">saphsolve/ft-saphsolve-9000-01.JSInp					TIMEOUT	1.253337566	931.0195115749957	8.028160	TIMEOUT	1.253337566	931.0195115749957	8.028160																																																																																				</t>
  </si>
  <si>
    <t xml:space="preserve">saphsolve/ft-saphsolve-9000-02.JSInp					TIMEOUT	1.220541628	931.064281805011	7.954432	TIMEOUT	1.220541628	931.064281805011	7.954432																																																																																				</t>
  </si>
  <si>
    <t xml:space="preserve">saphsolve/ft-saphsolve-9000-03.JSInp					TIMEOUT	1.250874726	931.0693857419537	8.032256	TIMEOUT	1.250874726	931.0693857419537	8.032256																																																																																				</t>
  </si>
  <si>
    <t xml:space="preserve">saphsolve/ft-saphsolve-9000-04.JSInp					TIMEOUT	1.276450076	931.095690631948	7.999488	TIMEOUT	1.276450076	931.095690631948	7.999488																																																																																				</t>
  </si>
  <si>
    <t xml:space="preserve">saphsolve/ft-saphsolve-9000-05.JSInp					TIMEOUT	1.260143163	931.2758393900003	8.024064	TIMEOUT	1.260143163	931.2758393900003	8.024064																																																																																				</t>
  </si>
  <si>
    <t xml:space="preserve">saphsolve/ft-saphsolve-9000-06.JSInp					TIMEOUT	1.345610129	931.1206768690026	8.028160	TIMEOUT	1.345610129	931.1206768690026	8.028160																																																																																				</t>
  </si>
  <si>
    <t xml:space="preserve">saphsolve/ft-saphsolve-9000-07.JSInp					TIMEOUT	1.347466149	931.0666516590281	8.048640	TIMEOUT	1.347466149	931.0666516590281	8.048640																																																																																				</t>
  </si>
  <si>
    <t xml:space="preserve">saphsolve/ft-saphsolve-9000-08.JSInp					unknown	3.38748371	783.7026050839922	17.457152	unknown	3.38748371	783.7026050839922	17.457152																																																																																				</t>
  </si>
  <si>
    <t xml:space="preserve">saphsolve/ft-saphsolve-9000-09.JSInp					unknown	3.397807961	748.1142919480335	17.477632	unknown	3.397807961	748.1142919480335	17.477632																																																																																				</t>
  </si>
  <si>
    <t xml:space="preserve">saphsolve/ccf/ccf1-ft-saphsolve-100-05.JSInp	unknown	1.350066997	1.3726292250212282	4.521984					unknown	1.350066997	1.3726292250212282	4.521984																																																																																				</t>
  </si>
  <si>
    <t xml:space="preserve">saphsolve/ccf/ccf1-ft-saphsolve-1000-05.JSInp	unknown	1.895933427	1.9215558169526048	9.170944					unknown	1.895933427	1.9215558169526048	9.170944																																																																																				</t>
  </si>
  <si>
    <t xml:space="preserve">saphsolve/ccf/ccf1-ft-saphsolve-200-05.JSInp	unknown	5.205573128	5.21840809402056	7.815168					unknown	5.205573128	5.21840809402056	7.815168																																																																																				</t>
  </si>
  <si>
    <t xml:space="preserve">saphsolve/ccf/ccf1-ft-saphsolve-300-05.JSInp	unknown	10.465808414	10.506563075003214	10.829824					unknown	10.465808414	10.506563075003214	10.829824																																																																																				</t>
  </si>
  <si>
    <t xml:space="preserve">saphsolve/ccf/ccf1-ft-saphsolve-400-05.JSInp	unknown	23.950073409	24.20774349902058	10.379264					unknown	23.950073409	24.20774349902058	10.379264																																																																																				</t>
  </si>
  <si>
    <t xml:space="preserve">saphsolve/ccf/ccf1-ft-saphsolve-500-05.JSInp	unknown	2.597127218	2.604765995987691	10.752000					unknown	2.597127218	2.604765995987691	10.752000																																																																																				</t>
  </si>
  <si>
    <t xml:space="preserve">saphsolve/ccf/ccf1-ft-saphsolve-600-05.JSInp	unknown	38.828188828	38.99678646505345	18.739200					unknown	38.828188828	38.99678646505345	18.739200																																																																																				</t>
  </si>
  <si>
    <t xml:space="preserve">saphsolve/ccf/ccf1-ft-saphsolve-700-05.JSInp	unknown	51.214838632	51.410558970994316	13.332480					unknown	51.214838632	51.410558970994316	13.332480																																																																																				</t>
  </si>
  <si>
    <t xml:space="preserve">saphsolve/ccf/ccf1-ft-saphsolve-800-05.JSInp	unknown	5.946364616	5.965526310028508	10.891264					unknown	5.946364616	5.965526310028508	10.891264																																																																																				</t>
  </si>
  <si>
    <t xml:space="preserve">saphsolve/ccf/ccf1-ft-saphsolve-900-05.JSInp	unknown	24.343804406	24.374561531993095	11.530240					unknown	24.343804406	24.374561531993095	11.530240																																																																																				</t>
  </si>
  <si>
    <t xml:space="preserve">saphsolve/ccf/ccf2-ft-saphsolve-100-05.JSInp	unknown	0.690355407	0.6998742750147358	4.030464					unknown	0.690355407	0.6998742750147358	4.030464																																																																																				</t>
  </si>
  <si>
    <t xml:space="preserve">saphsolve/ccf/ccf2-ft-saphsolve-1000-05.JSInp	unknown	1.218303192	1.2634284190135077	8.720384					unknown	1.218303192	1.2634284190135077	8.720384																																																																																				</t>
  </si>
  <si>
    <t xml:space="preserve">saphsolve/ccf/ccf2-ft-saphsolve-200-05.JSInp	unknown	4.505479759	4.511377218004782	7.839744					unknown	4.505479759	4.511377218004782	7.839744																																																																																				</t>
  </si>
  <si>
    <t xml:space="preserve">saphsolve/ccf/ccf2-ft-saphsolve-300-05.JSInp	unknown	237.321831116	238.3827214880148	20.787200					unknown	237.321831116	238.3827214880148	20.787200																																																																																				</t>
  </si>
  <si>
    <t xml:space="preserve">saphsolve/ccf/ccf2-ft-saphsolve-400-05.JSInp	unknown	7.175622692	7.404094584984705	9.179136					unknown	7.175622692	7.404094584984705	9.179136																																																																																				</t>
  </si>
  <si>
    <t xml:space="preserve">saphsolve/ccf/ccf2-ft-saphsolve-500-05.JSInp	unknown	1.92416006	1.928883627988398	10.752000					unknown	1.92416006	1.928883627988398	10.752000																																																																																				</t>
  </si>
  <si>
    <t xml:space="preserve">saphsolve/ccf/ccf2-ft-saphsolve-600-05.JSInp	unknown	6.912212426	7.254772498970851	10.862592					unknown	6.912212426	7.254772498970851	10.862592																																																																																				</t>
  </si>
  <si>
    <t xml:space="preserve">saphsolve/ccf/ccf2-ft-saphsolve-700-05.JSInp	unknown	50.399141476	50.45928311801981	13.365248					unknown	50.399141476	50.45928311801981	13.365248																																																																																				</t>
  </si>
  <si>
    <t xml:space="preserve">saphsolve/ccf/ccf2-ft-saphsolve-800-05.JSInp	unknown	14.646586884	14.743315756961238	11.567104					unknown	14.646586884	14.743315756961238	11.567104																																																																																				</t>
  </si>
  <si>
    <t xml:space="preserve">saphsolve/ccf/ccf2-ft-saphsolve-900-05.JSInp	unknown	24.604588065	24.626580815005582	11.575296					unknown	24.604588065	24.626580815005582	11.575296																																																																																				</t>
  </si>
  <si>
    <t xml:space="preserve">saphsolve/ccf/ccf3-ft-saphsolve-100-05.JSInp	unknown	0.690373175	0.6923320619971491	4.096000					unknown	0.690373175	0.6923320619971491	4.096000																																																																																				</t>
  </si>
  <si>
    <t xml:space="preserve">saphsolve/ccf/ccf3-ft-saphsolve-1000-05.JSInp	unknown	1.220823694	1.2232317900052294	8.753152					unknown	1.220823694	1.2232317900052294	8.753152																																																																																				</t>
  </si>
  <si>
    <t xml:space="preserve">saphsolve/ccf/ccf3-ft-saphsolve-200-05.JSInp	unknown	4.17006789	4.176468108955305	7.659520					unknown	4.17006789	4.176468108955305	7.659520																																																																																				</t>
  </si>
  <si>
    <t xml:space="preserve">saphsolve/ccf/ccf3-ft-saphsolve-300-05.JSInp	unknown	22.431120882	22.460437675996218	10.563584					unknown	22.431120882	22.460437675996218	10.563584																																																																																				</t>
  </si>
  <si>
    <t xml:space="preserve">saphsolve/ccf/ccf3-ft-saphsolve-400-05.JSInp	unknown	2.796263082	2.8033906709752046	8.781824					unknown	2.796263082	2.8033906709752046	8.781824																																																																																				</t>
  </si>
  <si>
    <t xml:space="preserve">saphsolve/ccf/ccf3-ft-saphsolve-500-05.JSInp	unknown	12.335172748	12.354027540946845	11.264000					unknown	12.335172748	12.354027540946845	11.264000																																																																																				</t>
  </si>
  <si>
    <t xml:space="preserve">saphsolve/ccf/ccf3-ft-saphsolve-600-05.JSInp	unknown	4.537607824	4.543160077999346	10.645504					unknown	4.537607824	4.543160077999346	10.645504																																																																																				</t>
  </si>
  <si>
    <t xml:space="preserve">saphsolve/ccf/ccf3-ft-saphsolve-700-05.JSInp	unknown	77.210103331	77.4105003119912	14.008320					unknown	77.210103331	77.4105003119912	14.008320																																																																																				</t>
  </si>
  <si>
    <t xml:space="preserve">saphsolve/ccf/ccf3-ft-saphsolve-800-05.JSInp	unknown	13.721919348	13.75107856298564	11.370496					unknown	13.721919348	13.75107856298564	11.370496																																																																																				</t>
  </si>
  <si>
    <t xml:space="preserve">saphsolve/ccf/ccf3-ft-saphsolve-900-05.JSInp	unknown	28.292409703	28.43698390800273	12.136448					unknown	28.292409703	28.43698390800273	12.136448																																																																																				</t>
  </si>
  <si>
    <t xml:space="preserve">saphsolve/ccf/ccf4-ft-saphsolve-100-05.JSInp	unknown	0.695064256	0.7127746509504505	4.022272					unknown	0.695064256	0.7127746509504505	4.022272																																																																																				</t>
  </si>
  <si>
    <t xml:space="preserve">saphsolve/ccf/ccf4-ft-saphsolve-1000-05.JSInp	unknown	3.098758728	3.147224363987334	11.108352					unknown	3.098758728	3.147224363987334	11.108352																																																																																				</t>
  </si>
  <si>
    <t xml:space="preserve">saphsolve/ccf/ccf4-ft-saphsolve-200-05.JSInp	unknown	4.398983278	4.412723099987488	7.487488					unknown	4.398983278	4.412723099987488	7.487488																																																																																				</t>
  </si>
  <si>
    <t xml:space="preserve">saphsolve/ccf/ccf4-ft-saphsolve-300-05.JSInp	unknown	7.9663162	7.973950720974244	10.649600					unknown	7.9663162	7.973950720974244	10.649600																																																																																				</t>
  </si>
  <si>
    <t xml:space="preserve">saphsolve/ccf/ccf4-ft-saphsolve-400-05.JSInp	unknown	3.099419362	3.104902144987136	8.863744					unknown	3.099419362	3.104902144987136	8.863744																																																																																				</t>
  </si>
  <si>
    <t xml:space="preserve">saphsolve/ccf/ccf4-ft-saphsolve-500-05.JSInp	unknown	21.613704549	21.653108582948335	13.299712					unknown	21.613704549	21.653108582948335	13.299712																																																																																				</t>
  </si>
  <si>
    <t xml:space="preserve">saphsolve/ccf/ccf4-ft-saphsolve-600-05.JSInp	unknown	4.611081671	4.619634706003126	10.702848					unknown	4.611081671	4.619634706003126	10.702848																																																																																				</t>
  </si>
  <si>
    <t xml:space="preserve">saphsolve/ccf/ccf4-ft-saphsolve-700-05.JSInp	unknown	77.044158797	77.08118248800747	13.901824					unknown	77.044158797	77.08118248800747	13.901824																																																																																				</t>
  </si>
  <si>
    <t xml:space="preserve">saphsolve/ccf/ccf4-ft-saphsolve-800-05.JSInp	unknown	13.760245812	13.791633448039647	11.390976					unknown	13.760245812	13.791633448039647	11.390976																																																																																				</t>
  </si>
  <si>
    <t xml:space="preserve">saphsolve/ccf/ccf4-ft-saphsolve-900-05.JSInp	unknown	30.861425057	31.106285899993964	12.234752					unknown	30.861425057	31.106285899993964	12.234752																																																																																				</t>
  </si>
  <si>
    <t xml:space="preserve">saphsolve/ccf/ccf5-ft-saphsolve-100-05.JSInp	unknown	0.699990368	0.7048267680220306	4.038656					unknown	0.699990368	0.7048267680220306	4.038656																																																																																				</t>
  </si>
  <si>
    <t xml:space="preserve">saphsolve/ccf/ccf5-ft-saphsolve-1000-05.JSInp	unknown	3.069422024	3.0919737470103428	11.177984					unknown	3.069422024	3.0919737470103428	11.177984																																																																																				</t>
  </si>
  <si>
    <t xml:space="preserve">saphsolve/ccf/ccf5-ft-saphsolve-200-05.JSInp	unknown	5.382993318	5.3869964350014925	7.770112					unknown	5.382993318	5.3869964350014925	7.770112																																																																																				</t>
  </si>
  <si>
    <t xml:space="preserve">saphsolve/ccf/ccf5-ft-saphsolve-300-05.JSInp	unknown	8.200845198	8.23940440401202	10.645504					unknown	8.200845198	8.23940440401202	10.645504																																																																																				</t>
  </si>
  <si>
    <t xml:space="preserve">saphsolve/ccf/ccf5-ft-saphsolve-400-05.JSInp	unknown	394.124941292	394.8969463650137	19.460096					unknown	394.124941292	394.8969463650137	19.460096																																																																																				</t>
  </si>
  <si>
    <t xml:space="preserve">saphsolve/ccf/ccf5-ft-saphsolve-500-05.JSInp	unknown	22.382690665	22.54032912600087	16.859136					unknown	22.382690665	22.54032912600087	16.859136																																																																																				</t>
  </si>
  <si>
    <t xml:space="preserve">saphsolve/ccf/ccf5-ft-saphsolve-600-05.JSInp	unknown	5.551407283	5.563406859990209	10.821632					unknown	5.551407283	5.563406859990209	10.821632																																																																																				</t>
  </si>
  <si>
    <t xml:space="preserve">saphsolve/ccf/ccf5-ft-saphsolve-700-05.JSInp	unknown	92.537275596	92.71403324202402	14.409728					unknown	92.537275596	92.71403324202402	14.409728																																																																																				</t>
  </si>
  <si>
    <t xml:space="preserve">saphsolve/ccf/ccf5-ft-saphsolve-800-05.JSInp	unknown	13.733131704	13.842019525996875	11.378688					unknown	13.733131704	13.842019525996875	11.378688																																																																																				</t>
  </si>
  <si>
    <t xml:space="preserve">saphsolve/ccf/ccf5-ft-saphsolve-900-05.JSInp	unknown	33.385571097	33.51877594302641	12.267520					unknown	33.385571097	33.51877594302641	12.267520																																																																																				</t>
  </si>
  <si>
    <t xml:space="preserve">saphsolve/ccf/ccf6-ft-saphsolve-100-05.JSInp	unknown	0.697048439	0.7014837010065094	4.161536					unknown	0.697048439	0.7014837010065094	4.161536																																																																																				</t>
  </si>
  <si>
    <t xml:space="preserve">saphsolve/ccf/ccf6-ft-saphsolve-1000-05.JSInp	unknown	3.08608095	3.09216080699116	11.169792					unknown	3.08608095	3.09216080699116	11.169792																																																																																				</t>
  </si>
  <si>
    <t xml:space="preserve">saphsolve/ccf/ccf6-ft-saphsolve-200-05.JSInp	unknown	2.316243489	2.3219472570344806	7.364608					unknown	2.316243489	2.3219472570344806	7.364608																																																																																				</t>
  </si>
  <si>
    <t xml:space="preserve">saphsolve/ccf/ccf6-ft-saphsolve-300-05.JSInp	unknown	8.976781417	8.984742583998013	9.375744					unknown	8.976781417	8.984742583998013	9.375744																																																																																				</t>
  </si>
  <si>
    <t xml:space="preserve">saphsolve/ccf/ccf6-ft-saphsolve-400-05.JSInp	unknown	1.820336612	1.824895920988638	8.695808					unknown	1.820336612	1.824895920988638	8.695808																																																																																				</t>
  </si>
  <si>
    <t xml:space="preserve">saphsolve/ccf/ccf6-ft-saphsolve-500-05.JSInp	unknown	42.038208923	42.06043764599599	17.231872					unknown	42.038208923	42.06043764599599	17.231872																																																																																				</t>
  </si>
  <si>
    <t xml:space="preserve">saphsolve/ccf/ccf6-ft-saphsolve-700-05.JSInp	unknown	98.781555151	98.86325583403232	14.385152					unknown	98.781555151	98.86325583403232	14.385152																																																																																				</t>
  </si>
  <si>
    <t xml:space="preserve">saphsolve/ccf/ccf6-ft-saphsolve-800-05.JSInp	unknown	27.834757359	27.875401110970415	12.439552					unknown	27.834757359	27.875401110970415	12.439552																																																																																				</t>
  </si>
  <si>
    <t xml:space="preserve">saphsolve/ccf/ccf6-ft-saphsolve-900-05.JSInp	unknown	23.801319679	23.815335170947947	11.231232					unknown	23.801319679	23.815335170947947	11.231232																																																																																				</t>
  </si>
  <si>
    <t xml:space="preserve">saphsolve/ccf/ccf7-ft-saphsolve-100-05.JSInp	unknown	0.68926344	0.6954282560036518	4.034560					unknown	0.68926344	0.6954282560036518	4.034560																																																																																				</t>
  </si>
  <si>
    <t xml:space="preserve">saphsolve/ccf/ccf7-ft-saphsolve-1000-05.JSInp	unknown	3.184357264	3.1922830239636824	11.202560					unknown	3.184357264	3.1922830239636824	11.202560																																																																																				</t>
  </si>
  <si>
    <t xml:space="preserve">saphsolve/ccf/ccf7-ft-saphsolve-200-05.JSInp	unknown	0.844573259	0.8466784209595062	5.623808					unknown	0.844573259	0.8466784209595062	5.623808																																																																																				</t>
  </si>
  <si>
    <t xml:space="preserve">saphsolve/ccf/ccf7-ft-saphsolve-300-05.JSInp	unknown	2.688283292	2.69375873694662	9.498624					unknown	2.688283292	2.69375873694662	9.498624																																																																																				</t>
  </si>
  <si>
    <t xml:space="preserve">saphsolve/ccf/ccf7-ft-saphsolve-400-05.JSInp	unknown	1.095101107	1.1057829239871353	7.593984					unknown	1.095101107	1.1057829239871353	7.593984																																																																																				</t>
  </si>
  <si>
    <t xml:space="preserve">saphsolve/ccf/ccf7-ft-saphsolve-500-05.JSInp	unknown	42.485472497	42.51938438299112	17.334272					unknown	42.485472497	42.51938438299112	17.334272																																																																																				</t>
  </si>
  <si>
    <t xml:space="preserve">saphsolve/ccf/ccf7-ft-saphsolve-600-05.JSInp	unknown	5.545417449	5.593442278972361	10.809344					unknown	5.545417449	5.593442278972361	10.809344																																																																																				</t>
  </si>
  <si>
    <t xml:space="preserve">saphsolve/ccf/ccf7-ft-saphsolve-700-05.JSInp	unknown	103.653996487	103.80836080998415	14.520320					unknown	103.653996487	103.80836080998415	14.520320																																																																																				</t>
  </si>
  <si>
    <t xml:space="preserve">saphsolve/ccf/ccf7-ft-saphsolve-800-05.JSInp	unknown	32.36287327	32.404669848969206	12.902400					unknown	32.36287327	32.404669848969206	12.902400																																																																																				</t>
  </si>
  <si>
    <t xml:space="preserve">saphsolve/ccf/ccf7-ft-saphsolve-900-05.JSInp	unknown	26.540617235	26.68975599500118	11.698176					unknown	26.540617235	26.68975599500118	11.698176																																																																																				</t>
  </si>
  <si>
    <t xml:space="preserve">saphsolve/ccf/ccf8-ft-saphsolve-100-05.JSInp	unknown	0.697855408	0.7026620929827914	4.112384					unknown	0.697855408	0.7026620929827914	4.112384																																																																																				</t>
  </si>
  <si>
    <t xml:space="preserve">saphsolve/ccf/ccf8-ft-saphsolve-1000-05.JSInp	unknown	4.58332631	4.587289592018351	11.603968					unknown	4.58332631	4.587289592018351	11.603968																																																																																				</t>
  </si>
  <si>
    <t xml:space="preserve">saphsolve/ccf/ccf8-ft-saphsolve-200-05.JSInp	unknown	0.826960742	0.8303241850226186	9.011200					unknown	0.826960742	0.8303241850226186	9.011200																																																																																				</t>
  </si>
  <si>
    <t xml:space="preserve">saphsolve/ccf/ccf8-ft-saphsolve-300-05.JSInp	unknown	2.782829915	2.7860067559522577	9.551872					unknown	2.782829915	2.7860067559522577	9.551872																																																																																				</t>
  </si>
  <si>
    <t xml:space="preserve">saphsolve/ccf/ccf8-ft-saphsolve-400-05.JSInp	unknown	1.146465979	1.1511724239680916	7.798784					unknown	1.146465979	1.1511724239680916	7.798784																																																																																				</t>
  </si>
  <si>
    <t xml:space="preserve">saphsolve/ccf/ccf8-ft-saphsolve-500-05.JSInp	unknown	42.251910943	42.27108254900668	17.346560					unknown	42.251910943	42.27108254900668	17.346560																																																																																				</t>
  </si>
  <si>
    <t xml:space="preserve">saphsolve/ccf/ccf8-ft-saphsolve-600-05.JSInp	unknown	7.528979313	7.543729185999837	10.813440					unknown	7.528979313	7.543729185999837	10.813440																																																																																				</t>
  </si>
  <si>
    <t xml:space="preserve">saphsolve/ccf/ccf8-ft-saphsolve-700-05.JSInp	unknown	113.141742825	113.27947250299621	14.548992					unknown	113.141742825	113.27947250299621	14.548992																																																																																				</t>
  </si>
  <si>
    <t xml:space="preserve">saphsolve/ccf/ccf8-ft-saphsolve-800-05.JSInp	unknown	33.084457843	33.12631414399948	12.959744					unknown	33.084457843	33.12631414399948	12.959744																																																																																				</t>
  </si>
  <si>
    <t xml:space="preserve">saphsolve/ccf/ccf8-ft-saphsolve-900-05.JSInp	unknown	30.277475823	30.360799921967555	12.079104					unknown	30.277475823	30.360799921967555	12.079104																																																																																				</t>
  </si>
  <si>
    <t xml:space="preserve">saphsolve/ccf/ccf9-ft-saphsolve-100-05.JSInp	unknown	0.697061361	0.7035545280086808	4.026368					unknown	0.697061361	0.7035545280086808	4.026368																																																																																				</t>
  </si>
  <si>
    <t xml:space="preserve">saphsolve/ccf/ccf9-ft-saphsolve-1000-05.JSInp	unknown	4.62892992	4.6358374870033	11.579392					unknown	4.62892992	4.6358374870033	11.579392																																																																																				</t>
  </si>
  <si>
    <t xml:space="preserve">saphsolve/ccf/ccf9-ft-saphsolve-200-05.JSInp	unknown	0.725811513	0.7278600630233996	4.231168					unknown	0.725811513	0.7278600630233996	4.231168																																																																																				</t>
  </si>
  <si>
    <t xml:space="preserve">saphsolve/ccf/ccf9-ft-saphsolve-300-05.JSInp	unknown	4.442780292	4.446724384964909	10.534912					unknown	4.442780292	4.446724384964909	10.534912																																																																																				</t>
  </si>
  <si>
    <t xml:space="preserve">saphsolve/ccf/ccf9-ft-saphsolve-400-05.JSInp	unknown	1.226638531	1.2317353350226767	7.766016					unknown	1.226638531	1.2317353350226767	7.766016																																																																																				</t>
  </si>
  <si>
    <t xml:space="preserve">saphsolve/ccf/ccf9-ft-saphsolve-500-05.JSInp	unknown	50.48116456	50.50611389603	12.775424					unknown	50.48116456	50.50611389603	12.775424																																																																																				</t>
  </si>
  <si>
    <t xml:space="preserve">saphsolve/ccf/ccf9-ft-saphsolve-600-05.JSInp	unknown	9.237600019	9.29599163500825	10.973184					unknown	9.237600019	9.29599163500825	10.973184																																																																																				</t>
  </si>
  <si>
    <t xml:space="preserve">saphsolve/ccf/ccf9-ft-saphsolve-700-05.JSInp	unknown	115.955700725	116.10921351797879	14.536704					unknown	115.955700725	116.10921351797879	14.536704																																																																																				</t>
  </si>
  <si>
    <t xml:space="preserve">saphsolve/ccf/ccf9-ft-saphsolve-800-05.JSInp	unknown	1.629985668	1.636073045025114	10.493952					unknown	1.629985668	1.636073045025114	10.493952																																																																																				</t>
  </si>
  <si>
    <t xml:space="preserve">saphsolve/ccf/ccf9-ft-saphsolve-900-05.JSInp	unknown	30.354565748	30.40144165197853	12.054528					unknown	30.354565748	30.40144165197853	12.054528																																																																																				</t>
  </si>
  <si>
    <t>Configuration #</t>
  </si>
  <si>
    <t xml:space="preserve">Status </t>
  </si>
  <si>
    <t>CPU Time (Sec)</t>
  </si>
  <si>
    <t>Wall Time (Sec)</t>
  </si>
  <si>
    <t>Memory (MB)</t>
  </si>
  <si>
    <t>MCS</t>
  </si>
  <si>
    <t>Prob</t>
  </si>
  <si>
    <t>ERROR</t>
  </si>
  <si>
    <t>TIMEOUT</t>
  </si>
  <si>
    <t>OUT OF MEMORY</t>
  </si>
  <si>
    <t>SEGMENTATION FAULT</t>
  </si>
  <si>
    <t>ccf1-</t>
  </si>
  <si>
    <t>ccf2-</t>
  </si>
  <si>
    <t>ccf3-</t>
  </si>
  <si>
    <t>ccf4-</t>
  </si>
  <si>
    <t>ccf5-</t>
  </si>
  <si>
    <t>ccf6-</t>
  </si>
  <si>
    <t>ccf7-</t>
  </si>
  <si>
    <t>ccf8-</t>
  </si>
  <si>
    <t>ccf9-</t>
  </si>
  <si>
    <t>unknown</t>
  </si>
  <si>
    <t>ccf1</t>
  </si>
  <si>
    <t>ccf2</t>
  </si>
  <si>
    <t>ccf3</t>
  </si>
  <si>
    <t>ccf4</t>
  </si>
  <si>
    <t>ccf5</t>
  </si>
  <si>
    <t>ccf6</t>
  </si>
  <si>
    <t>ccf7</t>
  </si>
  <si>
    <t>ccf8</t>
  </si>
  <si>
    <t>ccf9</t>
  </si>
  <si>
    <t>MCS-BDD-non-ccf</t>
  </si>
  <si>
    <t>MCS-mocus-non-ccf</t>
  </si>
  <si>
    <t>MCS-ZBDD-non-ccf</t>
  </si>
  <si>
    <t>Prob-BDD-non-ccf</t>
  </si>
  <si>
    <t>Prob-Mocus-non-ccf</t>
  </si>
  <si>
    <t>Prob-ZBDD-non-ccf</t>
  </si>
  <si>
    <t>mcs-mocus-mcub-non-ccf</t>
  </si>
  <si>
    <t>mcs-mocus-rare-non-ccf</t>
  </si>
  <si>
    <t>prob-mocus-mcub-non-ccf</t>
  </si>
  <si>
    <t>prob-mocus-rare-non-ccf</t>
  </si>
  <si>
    <t xml:space="preserve">MCS </t>
  </si>
  <si>
    <t xml:space="preserve">No-probability </t>
  </si>
  <si>
    <t xml:space="preserve">probability </t>
  </si>
  <si>
    <t>CPU Time-BDD</t>
  </si>
  <si>
    <t>Memory -BDD</t>
  </si>
  <si>
    <t>CPU Time-mocus</t>
  </si>
  <si>
    <t>Memory-Mocus</t>
  </si>
  <si>
    <t>CPU Time-zbdd</t>
  </si>
  <si>
    <t>Memory-ZBDD</t>
  </si>
  <si>
    <t>done</t>
  </si>
  <si>
    <t>100-01</t>
  </si>
  <si>
    <t>100-02</t>
  </si>
  <si>
    <t>100-03</t>
  </si>
  <si>
    <t>100-04</t>
  </si>
  <si>
    <t>100-05</t>
  </si>
  <si>
    <t>100-06</t>
  </si>
  <si>
    <t>100-07</t>
  </si>
  <si>
    <t>100-08</t>
  </si>
  <si>
    <t>100-09</t>
  </si>
  <si>
    <t>200-01</t>
  </si>
  <si>
    <t>200-02</t>
  </si>
  <si>
    <t>200-03</t>
  </si>
  <si>
    <t>200-04</t>
  </si>
  <si>
    <t>200-05</t>
  </si>
  <si>
    <t>200-06</t>
  </si>
  <si>
    <t>200-07</t>
  </si>
  <si>
    <t>200-08</t>
  </si>
  <si>
    <t>200-09</t>
  </si>
  <si>
    <t>300-01</t>
  </si>
  <si>
    <t>300-02</t>
  </si>
  <si>
    <t>300-03</t>
  </si>
  <si>
    <t>300-04</t>
  </si>
  <si>
    <t>300-05</t>
  </si>
  <si>
    <t>300-06</t>
  </si>
  <si>
    <t>300-07</t>
  </si>
  <si>
    <t>300-08</t>
  </si>
  <si>
    <t>300-09</t>
  </si>
  <si>
    <t>400-01</t>
  </si>
  <si>
    <t>400-02</t>
  </si>
  <si>
    <t>400-03</t>
  </si>
  <si>
    <t>400-04</t>
  </si>
  <si>
    <t>400-05</t>
  </si>
  <si>
    <t>400-06</t>
  </si>
  <si>
    <t>400-07</t>
  </si>
  <si>
    <t>400-08</t>
  </si>
  <si>
    <t>400-09</t>
  </si>
  <si>
    <t>500-01</t>
  </si>
  <si>
    <t>500-02</t>
  </si>
  <si>
    <t>500-03</t>
  </si>
  <si>
    <t>500-04</t>
  </si>
  <si>
    <t>500-05</t>
  </si>
  <si>
    <t>500-06</t>
  </si>
  <si>
    <t>500-07</t>
  </si>
  <si>
    <t>500-08</t>
  </si>
  <si>
    <t>500-09</t>
  </si>
  <si>
    <t>600-01</t>
  </si>
  <si>
    <t>600-02</t>
  </si>
  <si>
    <t>600-03</t>
  </si>
  <si>
    <t>600-04</t>
  </si>
  <si>
    <t>600-05</t>
  </si>
  <si>
    <t>600-06</t>
  </si>
  <si>
    <t>600-07</t>
  </si>
  <si>
    <t>600-08</t>
  </si>
  <si>
    <t>600-09</t>
  </si>
  <si>
    <t>700-01</t>
  </si>
  <si>
    <t>700-02</t>
  </si>
  <si>
    <t>700-03</t>
  </si>
  <si>
    <t>700-04</t>
  </si>
  <si>
    <t>700-05</t>
  </si>
  <si>
    <t>700-06</t>
  </si>
  <si>
    <t>700-07</t>
  </si>
  <si>
    <t>700-08</t>
  </si>
  <si>
    <t>700-09</t>
  </si>
  <si>
    <t>800-01</t>
  </si>
  <si>
    <t>800-02</t>
  </si>
  <si>
    <t>800-03</t>
  </si>
  <si>
    <t>800-04</t>
  </si>
  <si>
    <t>800-05</t>
  </si>
  <si>
    <t>800-06</t>
  </si>
  <si>
    <t>800-07</t>
  </si>
  <si>
    <t>800-08</t>
  </si>
  <si>
    <t>800-09</t>
  </si>
  <si>
    <t>900-01</t>
  </si>
  <si>
    <t>900-02</t>
  </si>
  <si>
    <t>900-03</t>
  </si>
  <si>
    <t>900-04</t>
  </si>
  <si>
    <t>900-05</t>
  </si>
  <si>
    <t>900-06</t>
  </si>
  <si>
    <t>900-07</t>
  </si>
  <si>
    <t>900-08</t>
  </si>
  <si>
    <t>900-09</t>
  </si>
  <si>
    <t>1000-01</t>
  </si>
  <si>
    <t>1000-02</t>
  </si>
  <si>
    <t>1000-03</t>
  </si>
  <si>
    <t>1000-04</t>
  </si>
  <si>
    <t>1000-05</t>
  </si>
  <si>
    <t>1000-06</t>
  </si>
  <si>
    <t>1000-07</t>
  </si>
  <si>
    <t>1000-08</t>
  </si>
  <si>
    <t>1000-09</t>
  </si>
  <si>
    <t>2000-01</t>
  </si>
  <si>
    <t>2000-02</t>
  </si>
  <si>
    <t>2000-03</t>
  </si>
  <si>
    <t>2000-04</t>
  </si>
  <si>
    <t>2000-05</t>
  </si>
  <si>
    <t>2000-06</t>
  </si>
  <si>
    <t>2000-07</t>
  </si>
  <si>
    <t>2000-08</t>
  </si>
  <si>
    <t>2000-09</t>
  </si>
  <si>
    <t>3000-01</t>
  </si>
  <si>
    <t>3000-02</t>
  </si>
  <si>
    <t>3000-03</t>
  </si>
  <si>
    <t>3000-04</t>
  </si>
  <si>
    <t>3000-05</t>
  </si>
  <si>
    <t>3000-06</t>
  </si>
  <si>
    <t>3000-07</t>
  </si>
  <si>
    <t>3000-08</t>
  </si>
  <si>
    <t>3000-09</t>
  </si>
  <si>
    <t>4000-01</t>
  </si>
  <si>
    <t>4000-02</t>
  </si>
  <si>
    <t>4000-03</t>
  </si>
  <si>
    <t>4000-04</t>
  </si>
  <si>
    <t>4000-05</t>
  </si>
  <si>
    <t>4000-06</t>
  </si>
  <si>
    <t>4000-07</t>
  </si>
  <si>
    <t>4000-08</t>
  </si>
  <si>
    <t>4000-09</t>
  </si>
  <si>
    <t>5000-01</t>
  </si>
  <si>
    <t>5000-02</t>
  </si>
  <si>
    <t>5000-03</t>
  </si>
  <si>
    <t>5000-04</t>
  </si>
  <si>
    <t>5000-05</t>
  </si>
  <si>
    <t>5000-06</t>
  </si>
  <si>
    <t>5000-07</t>
  </si>
  <si>
    <t>5000-08</t>
  </si>
  <si>
    <t>5000-09</t>
  </si>
  <si>
    <t>6000-01</t>
  </si>
  <si>
    <t>6000-02</t>
  </si>
  <si>
    <t>6000-03</t>
  </si>
  <si>
    <t>6000-04</t>
  </si>
  <si>
    <t>6000-05</t>
  </si>
  <si>
    <t>6000-06</t>
  </si>
  <si>
    <t>6000-07</t>
  </si>
  <si>
    <t>6000-08</t>
  </si>
  <si>
    <t>6000-09</t>
  </si>
  <si>
    <t>7000-01</t>
  </si>
  <si>
    <t>7000-02</t>
  </si>
  <si>
    <t>7000-03</t>
  </si>
  <si>
    <t>7000-04</t>
  </si>
  <si>
    <t>7000-05</t>
  </si>
  <si>
    <t>7000-06</t>
  </si>
  <si>
    <t>7000-07</t>
  </si>
  <si>
    <t>7000-08</t>
  </si>
  <si>
    <t>7000-09</t>
  </si>
  <si>
    <t>8000-01</t>
  </si>
  <si>
    <t>8000-02</t>
  </si>
  <si>
    <t>8000-03</t>
  </si>
  <si>
    <t>8000-04</t>
  </si>
  <si>
    <t>8000-05</t>
  </si>
  <si>
    <t>8000-06</t>
  </si>
  <si>
    <t>8000-07</t>
  </si>
  <si>
    <t>8000-08</t>
  </si>
  <si>
    <t>8000-09</t>
  </si>
  <si>
    <t>9000-01</t>
  </si>
  <si>
    <t>9000-02</t>
  </si>
  <si>
    <t>9000-03</t>
  </si>
  <si>
    <t>9000-04</t>
  </si>
  <si>
    <t>9000-05</t>
  </si>
  <si>
    <t>9000-06</t>
  </si>
  <si>
    <t>9000-07</t>
  </si>
  <si>
    <t>9000-08</t>
  </si>
  <si>
    <t>9000-09</t>
  </si>
  <si>
    <t>10000-01</t>
  </si>
  <si>
    <t>10000-02</t>
  </si>
  <si>
    <t>10000-03</t>
  </si>
  <si>
    <t>10000-04</t>
  </si>
  <si>
    <t>10000-05</t>
  </si>
  <si>
    <t>10000-06</t>
  </si>
  <si>
    <t>10000-07</t>
  </si>
  <si>
    <t>10000-08</t>
  </si>
  <si>
    <t>10000-09</t>
  </si>
  <si>
    <t>MCS-BDD-ccf</t>
  </si>
  <si>
    <t>MCS-mocus-ccf</t>
  </si>
  <si>
    <t>MCS-ZBDD-ccf</t>
  </si>
  <si>
    <t>Prob-BDD-ccf</t>
  </si>
  <si>
    <t>Prob-Mocus-ccf</t>
  </si>
  <si>
    <t>Prob-ZBDD-ccf</t>
  </si>
  <si>
    <t>mcs-mocus-mcub-ccf</t>
  </si>
  <si>
    <t>mcs-mocus-rare-ccf</t>
  </si>
  <si>
    <t>prob-mocus-mcub-ccf</t>
  </si>
  <si>
    <t>prob-mocus-rare-ccf</t>
  </si>
  <si>
    <t>CPU Time -BDD</t>
  </si>
  <si>
    <t>Memory-BDD</t>
  </si>
  <si>
    <t>CPU Time-Mocus</t>
  </si>
  <si>
    <t>Memory-zbdd</t>
  </si>
  <si>
    <t>ccf1-100-05</t>
  </si>
  <si>
    <t>ccf2-100-05</t>
  </si>
  <si>
    <t>ccf3-100-05</t>
  </si>
  <si>
    <t>ccf4-100-05</t>
  </si>
  <si>
    <t>ccf5-100-05</t>
  </si>
  <si>
    <t>ccf6-100-05</t>
  </si>
  <si>
    <t>ccf7-100-05</t>
  </si>
  <si>
    <t>ccf8-100-05</t>
  </si>
  <si>
    <t>ccf9-100-05</t>
  </si>
  <si>
    <t>ccf1-200-05</t>
  </si>
  <si>
    <t>ccf2-200-05</t>
  </si>
  <si>
    <t>ccf3-200-05</t>
  </si>
  <si>
    <t>ccf4-200-05</t>
  </si>
  <si>
    <t>ccf5-200-05</t>
  </si>
  <si>
    <t>ccf6-200-05</t>
  </si>
  <si>
    <t>ccf7-200-05</t>
  </si>
  <si>
    <t>ccf8-200-05</t>
  </si>
  <si>
    <t>ccf9-200-05</t>
  </si>
  <si>
    <t>ccf1-300-05</t>
  </si>
  <si>
    <t>ccf2-300-05</t>
  </si>
  <si>
    <t>ccf3-300-05</t>
  </si>
  <si>
    <t>ccf4-300-05</t>
  </si>
  <si>
    <t>ccf5-300-05</t>
  </si>
  <si>
    <t>ccf6-300-05</t>
  </si>
  <si>
    <t>ccf7-300-05</t>
  </si>
  <si>
    <t>ccf8-300-05</t>
  </si>
  <si>
    <t>ccf9-300-05</t>
  </si>
  <si>
    <t>ccf1-400-05</t>
  </si>
  <si>
    <t>ccf2-400-05</t>
  </si>
  <si>
    <t>ccf3-400-05</t>
  </si>
  <si>
    <t>ccf4-400-05</t>
  </si>
  <si>
    <t>ccf5-400-05</t>
  </si>
  <si>
    <t>ccf6-400-05</t>
  </si>
  <si>
    <t>ccf7-400-05</t>
  </si>
  <si>
    <t>ccf8-400-05</t>
  </si>
  <si>
    <t>ccf9-400-05</t>
  </si>
  <si>
    <t>ccf1-500-05</t>
  </si>
  <si>
    <t>ccf2-500-05</t>
  </si>
  <si>
    <t>ccf3-500-05</t>
  </si>
  <si>
    <t>ccf4-500-05</t>
  </si>
  <si>
    <t>ccf5-500-05</t>
  </si>
  <si>
    <t>ccf6-500-05</t>
  </si>
  <si>
    <t>ccf7-500-05</t>
  </si>
  <si>
    <t>ccf8-500-05</t>
  </si>
  <si>
    <t>ccf9-500-05</t>
  </si>
  <si>
    <t>ccf1-600-05</t>
  </si>
  <si>
    <t>ccf2-600-05</t>
  </si>
  <si>
    <t>ccf3-600-05</t>
  </si>
  <si>
    <t>ccf4-600-05</t>
  </si>
  <si>
    <t>ccf5-600-05</t>
  </si>
  <si>
    <t>ccf6-600-05</t>
  </si>
  <si>
    <t>ccf7-600-05</t>
  </si>
  <si>
    <t>ccf8-600-05</t>
  </si>
  <si>
    <t>ccf9-600-05</t>
  </si>
  <si>
    <t>ccf1-700-05</t>
  </si>
  <si>
    <t>ccf2-700-05</t>
  </si>
  <si>
    <t>ccf3-700-05</t>
  </si>
  <si>
    <t>ccf4-700-05</t>
  </si>
  <si>
    <t>ccf5-700-05</t>
  </si>
  <si>
    <t>ccf6-700-05</t>
  </si>
  <si>
    <t>ccf7-700-05</t>
  </si>
  <si>
    <t>ccf8-700-05</t>
  </si>
  <si>
    <t>ccf9-700-05</t>
  </si>
  <si>
    <t>ccf1-800-05</t>
  </si>
  <si>
    <t>ccf2-800-05</t>
  </si>
  <si>
    <t>ccf3-800-05</t>
  </si>
  <si>
    <t>ccf4-800-05</t>
  </si>
  <si>
    <t>ccf5-800-05</t>
  </si>
  <si>
    <t>ccf6-800-05</t>
  </si>
  <si>
    <t>ccf7-800-05</t>
  </si>
  <si>
    <t>ccf8-800-05</t>
  </si>
  <si>
    <t>ccf9-800-05</t>
  </si>
  <si>
    <t>ccf1-900-05</t>
  </si>
  <si>
    <t>ccf2-900-05</t>
  </si>
  <si>
    <t>ccf3-900-05</t>
  </si>
  <si>
    <t>ccf4-900-05</t>
  </si>
  <si>
    <t>ccf5-900-05</t>
  </si>
  <si>
    <t>ccf6-900-05</t>
  </si>
  <si>
    <t>ccf7-900-05</t>
  </si>
  <si>
    <t>ccf8-900-05</t>
  </si>
  <si>
    <t>ccf9-900-05</t>
  </si>
  <si>
    <t>ccf1-1000-05</t>
  </si>
  <si>
    <t>ccf2-1000-05</t>
  </si>
  <si>
    <t>ccf3-1000-05</t>
  </si>
  <si>
    <t>ccf4-1000-05</t>
  </si>
  <si>
    <t>ccf5-1000-05</t>
  </si>
  <si>
    <t>ccf6-1000-05</t>
  </si>
  <si>
    <t>ccf7-1000-05</t>
  </si>
  <si>
    <t>ccf8-1000-05</t>
  </si>
  <si>
    <t>ccf9-1000-05</t>
  </si>
  <si>
    <t>Config #</t>
  </si>
  <si>
    <t>Time-XFTA</t>
  </si>
  <si>
    <t>CPU Time-SAPHIRE</t>
  </si>
  <si>
    <t>Time-SCRAM-BDD</t>
  </si>
  <si>
    <t>Time-SCRAM-MOCUS</t>
  </si>
  <si>
    <t>Time-SCRAM-ZBDD</t>
  </si>
  <si>
    <t>Memory-XFTA</t>
  </si>
  <si>
    <t>Memory-SAPHIRE</t>
  </si>
  <si>
    <t>Memory-SCRAM-BDD</t>
  </si>
  <si>
    <t>Memory-SCRAM-MOCUS</t>
  </si>
  <si>
    <t>Memory-SCRAM-ZBDD</t>
  </si>
  <si>
    <t>CPU Time-XFTA</t>
  </si>
  <si>
    <t>XFTA</t>
  </si>
  <si>
    <t>SAPHIRE</t>
  </si>
  <si>
    <t>SCRAM-BDD</t>
  </si>
  <si>
    <t>SCRAM-mocus</t>
  </si>
  <si>
    <t>SCRAM-zbdd</t>
  </si>
  <si>
    <t>FTREX-ID</t>
  </si>
  <si>
    <t>FTREX-NAME</t>
  </si>
  <si>
    <t>FTREX</t>
  </si>
  <si>
    <t xml:space="preserve">Prob </t>
  </si>
  <si>
    <t>`</t>
  </si>
  <si>
    <t>SCRAM -BDD</t>
  </si>
  <si>
    <t>SCRAM - MOCUS</t>
  </si>
  <si>
    <t>SCRAM-ZBDD</t>
  </si>
  <si>
    <t>Probability</t>
  </si>
  <si>
    <t>RE%</t>
  </si>
  <si>
    <t xml:space="preserve">Probability </t>
  </si>
  <si>
    <t xml:space="preserve">RE% </t>
  </si>
  <si>
    <t>SCRAM BDD</t>
  </si>
  <si>
    <t>SCRAM MOCUS</t>
  </si>
  <si>
    <t xml:space="preserve">SCRAM - MOCUS </t>
  </si>
  <si>
    <t xml:space="preserve">SCRAM - ZBDD </t>
  </si>
  <si>
    <t>SAPHSOLVE</t>
  </si>
  <si>
    <t>SCRAM-MOCUS</t>
  </si>
  <si>
    <t>FTREX-BDD</t>
  </si>
  <si>
    <t>FTREX-ZDD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</si>
</sst>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rgb="FF9876AA"/>
      <name val="Arial Unicode MS"/>
      <family val="2"/>
    </font>
    <font>
      <sz val="10"/>
      <color rgb="FF6A8759"/>
      <name val="Arial Unicode MS"/>
      <family val="2"/>
    </font>
    <font>
      <sz val="10"/>
      <name val="Arial Unicode MS"/>
      <family val="2"/>
    </font>
    <font>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1" fontId="0" fillId="0" borderId="0" xfId="0" applyNumberFormat="1"/>
    <xf numFmtId="0" fontId="6" fillId="2" borderId="0" xfId="6" applyAlignment="1">
      <alignment horizontal="center"/>
    </xf>
    <xf numFmtId="0" fontId="7" fillId="3" borderId="0" xfId="7" applyAlignment="1">
      <alignment horizontal="center"/>
    </xf>
    <xf numFmtId="11" fontId="18" fillId="0" borderId="0" xfId="0" applyNumberFormat="1" applyFont="1" applyAlignment="1">
      <alignment vertical="center"/>
    </xf>
    <xf numFmtId="0" fontId="19" fillId="0" borderId="0" xfId="0" applyFont="1" applyAlignment="1">
      <alignment vertical="center"/>
    </xf>
    <xf numFmtId="11" fontId="19" fillId="0" borderId="0" xfId="0" applyNumberFormat="1" applyFont="1" applyAlignment="1">
      <alignment vertical="center"/>
    </xf>
    <xf numFmtId="0" fontId="7" fillId="3" borderId="0" xfId="7"/>
    <xf numFmtId="0" fontId="7" fillId="3" borderId="0" xfId="7" applyAlignment="1"/>
    <xf numFmtId="0" fontId="6" fillId="2" borderId="0" xfId="6" applyAlignment="1"/>
    <xf numFmtId="0" fontId="8" fillId="4" borderId="0" xfId="8" applyAlignment="1"/>
    <xf numFmtId="0" fontId="20" fillId="0" borderId="0" xfId="0" applyFont="1" applyAlignment="1">
      <alignment vertical="center"/>
    </xf>
    <xf numFmtId="11" fontId="20" fillId="0" borderId="0" xfId="0" applyNumberFormat="1" applyFont="1" applyAlignment="1">
      <alignment vertical="center"/>
    </xf>
    <xf numFmtId="0" fontId="21" fillId="0" borderId="0" xfId="0" applyFont="1"/>
    <xf numFmtId="11" fontId="21" fillId="0" borderId="0" xfId="0" applyNumberFormat="1" applyFont="1"/>
    <xf numFmtId="0" fontId="8" fillId="4" borderId="0" xfId="8"/>
    <xf numFmtId="0" fontId="8" fillId="4" borderId="0" xfId="8" applyAlignment="1">
      <alignment vertical="center"/>
    </xf>
    <xf numFmtId="11" fontId="6" fillId="2" borderId="0" xfId="6" applyNumberFormat="1"/>
    <xf numFmtId="0" fontId="6" fillId="2" borderId="0" xfId="6" applyAlignment="1">
      <alignment horizontal="center"/>
    </xf>
    <xf numFmtId="0" fontId="7" fillId="3" borderId="0" xfId="7" applyAlignment="1">
      <alignment horizontal="center"/>
    </xf>
    <xf numFmtId="0" fontId="8" fillId="4" borderId="0" xfId="8" applyAlignment="1">
      <alignment horizontal="center"/>
    </xf>
    <xf numFmtId="0" fontId="9" fillId="5" borderId="4" xfId="9"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XFTA!$E$1</c:f>
              <c:strCache>
                <c:ptCount val="1"/>
                <c:pt idx="0">
                  <c:v>CPU Time (Sec)</c:v>
                </c:pt>
              </c:strCache>
            </c:strRef>
          </c:tx>
          <c:spPr>
            <a:ln w="19050" cap="rnd">
              <a:noFill/>
              <a:round/>
            </a:ln>
            <a:effectLst/>
          </c:spPr>
          <c:marker>
            <c:symbol val="circle"/>
            <c:size val="5"/>
            <c:spPr>
              <a:solidFill>
                <a:schemeClr val="accent1"/>
              </a:solidFill>
              <a:ln w="9525">
                <a:solidFill>
                  <a:schemeClr val="accent1"/>
                </a:solidFill>
              </a:ln>
              <a:effectLst/>
            </c:spPr>
          </c:marker>
          <c:xVal>
            <c:strRef>
              <c:f>XFTA!$C$2:$C$171</c:f>
              <c:strCache>
                <c:ptCount val="170"/>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8000-06</c:v>
                </c:pt>
                <c:pt idx="149">
                  <c:v>8000-07</c:v>
                </c:pt>
                <c:pt idx="150">
                  <c:v>8000-08</c:v>
                </c:pt>
                <c:pt idx="151">
                  <c:v>8000-09</c:v>
                </c:pt>
                <c:pt idx="152">
                  <c:v>9000-01</c:v>
                </c:pt>
                <c:pt idx="153">
                  <c:v>9000-02</c:v>
                </c:pt>
                <c:pt idx="154">
                  <c:v>9000-03</c:v>
                </c:pt>
                <c:pt idx="155">
                  <c:v>9000-04</c:v>
                </c:pt>
                <c:pt idx="156">
                  <c:v>9000-05</c:v>
                </c:pt>
                <c:pt idx="157">
                  <c:v>9000-06</c:v>
                </c:pt>
                <c:pt idx="158">
                  <c:v>9000-07</c:v>
                </c:pt>
                <c:pt idx="159">
                  <c:v>9000-08</c:v>
                </c:pt>
                <c:pt idx="160">
                  <c:v>9000-09</c:v>
                </c:pt>
                <c:pt idx="161">
                  <c:v>10000-01</c:v>
                </c:pt>
                <c:pt idx="162">
                  <c:v>10000-02</c:v>
                </c:pt>
                <c:pt idx="163">
                  <c:v>10000-03</c:v>
                </c:pt>
                <c:pt idx="164">
                  <c:v>10000-04</c:v>
                </c:pt>
                <c:pt idx="165">
                  <c:v>10000-05</c:v>
                </c:pt>
                <c:pt idx="166">
                  <c:v>10000-06</c:v>
                </c:pt>
                <c:pt idx="167">
                  <c:v>10000-07</c:v>
                </c:pt>
                <c:pt idx="168">
                  <c:v>10000-08</c:v>
                </c:pt>
                <c:pt idx="169">
                  <c:v>10000-09</c:v>
                </c:pt>
              </c:strCache>
            </c:strRef>
          </c:xVal>
          <c:yVal>
            <c:numRef>
              <c:f>XFTA!$E$2:$E$171</c:f>
              <c:numCache>
                <c:formatCode>General</c:formatCode>
                <c:ptCount val="170"/>
                <c:pt idx="0">
                  <c:v>1.6953402999999999E-2</c:v>
                </c:pt>
                <c:pt idx="1">
                  <c:v>4.5382770000000003E-2</c:v>
                </c:pt>
                <c:pt idx="2">
                  <c:v>1.2560768E-2</c:v>
                </c:pt>
                <c:pt idx="3">
                  <c:v>1.3638323000000001E-2</c:v>
                </c:pt>
                <c:pt idx="4">
                  <c:v>9.4328199999999997E-3</c:v>
                </c:pt>
                <c:pt idx="5">
                  <c:v>1.6098626000000001E-2</c:v>
                </c:pt>
                <c:pt idx="6">
                  <c:v>1.3807616E-2</c:v>
                </c:pt>
                <c:pt idx="7">
                  <c:v>6.6142083000000004E-2</c:v>
                </c:pt>
                <c:pt idx="8">
                  <c:v>8.8852788000000002E-2</c:v>
                </c:pt>
                <c:pt idx="9">
                  <c:v>2.2081136000000001E-2</c:v>
                </c:pt>
                <c:pt idx="10">
                  <c:v>15.944227986</c:v>
                </c:pt>
                <c:pt idx="11">
                  <c:v>0.74863363699999996</c:v>
                </c:pt>
                <c:pt idx="12">
                  <c:v>1.3838523E-2</c:v>
                </c:pt>
                <c:pt idx="13">
                  <c:v>5.4173114000000001E-2</c:v>
                </c:pt>
                <c:pt idx="14">
                  <c:v>0.23247991500000001</c:v>
                </c:pt>
                <c:pt idx="15">
                  <c:v>12.300958882</c:v>
                </c:pt>
                <c:pt idx="16">
                  <c:v>0.63706424900000003</c:v>
                </c:pt>
                <c:pt idx="17">
                  <c:v>36.293728373999997</c:v>
                </c:pt>
                <c:pt idx="18">
                  <c:v>117.95127764999999</c:v>
                </c:pt>
                <c:pt idx="19">
                  <c:v>0.47141182799999998</c:v>
                </c:pt>
                <c:pt idx="20">
                  <c:v>47.073838033000001</c:v>
                </c:pt>
                <c:pt idx="21">
                  <c:v>8.1267996379999996</c:v>
                </c:pt>
                <c:pt idx="22">
                  <c:v>291.82163716399998</c:v>
                </c:pt>
                <c:pt idx="23">
                  <c:v>35.408349342999998</c:v>
                </c:pt>
                <c:pt idx="24">
                  <c:v>901.00777381499995</c:v>
                </c:pt>
                <c:pt idx="25">
                  <c:v>25.597309141</c:v>
                </c:pt>
                <c:pt idx="26">
                  <c:v>900.92862049500002</c:v>
                </c:pt>
                <c:pt idx="27">
                  <c:v>900.74834206699995</c:v>
                </c:pt>
                <c:pt idx="28">
                  <c:v>13.864054831000001</c:v>
                </c:pt>
                <c:pt idx="29">
                  <c:v>407.01192831100002</c:v>
                </c:pt>
                <c:pt idx="30">
                  <c:v>10.800777144</c:v>
                </c:pt>
                <c:pt idx="31">
                  <c:v>901.13218284100003</c:v>
                </c:pt>
                <c:pt idx="32">
                  <c:v>900.85202931100002</c:v>
                </c:pt>
                <c:pt idx="33">
                  <c:v>900.88687360500001</c:v>
                </c:pt>
                <c:pt idx="34">
                  <c:v>93.173343153999994</c:v>
                </c:pt>
                <c:pt idx="35">
                  <c:v>900.82679099799998</c:v>
                </c:pt>
                <c:pt idx="36">
                  <c:v>900.78059242799998</c:v>
                </c:pt>
                <c:pt idx="37">
                  <c:v>901.37485943399997</c:v>
                </c:pt>
                <c:pt idx="38">
                  <c:v>900.93878734400005</c:v>
                </c:pt>
                <c:pt idx="39">
                  <c:v>900.810939072</c:v>
                </c:pt>
                <c:pt idx="40">
                  <c:v>900.87189405100003</c:v>
                </c:pt>
                <c:pt idx="41">
                  <c:v>901.07793587599997</c:v>
                </c:pt>
                <c:pt idx="42">
                  <c:v>900.95889763100001</c:v>
                </c:pt>
                <c:pt idx="43">
                  <c:v>901.00248387600004</c:v>
                </c:pt>
                <c:pt idx="44">
                  <c:v>900.87773544000004</c:v>
                </c:pt>
                <c:pt idx="45">
                  <c:v>331.165915606</c:v>
                </c:pt>
                <c:pt idx="46">
                  <c:v>900.81272400299997</c:v>
                </c:pt>
                <c:pt idx="47">
                  <c:v>900.87768339700006</c:v>
                </c:pt>
                <c:pt idx="48">
                  <c:v>900.925563173</c:v>
                </c:pt>
                <c:pt idx="49">
                  <c:v>901.15854377300002</c:v>
                </c:pt>
                <c:pt idx="50">
                  <c:v>900.76827263300004</c:v>
                </c:pt>
                <c:pt idx="51">
                  <c:v>900.88072450899995</c:v>
                </c:pt>
                <c:pt idx="52">
                  <c:v>901.18286816800003</c:v>
                </c:pt>
                <c:pt idx="53">
                  <c:v>900.96823671200002</c:v>
                </c:pt>
                <c:pt idx="54">
                  <c:v>900.79357258000005</c:v>
                </c:pt>
                <c:pt idx="55">
                  <c:v>900.96843992599997</c:v>
                </c:pt>
                <c:pt idx="56">
                  <c:v>901.20484260600006</c:v>
                </c:pt>
                <c:pt idx="57">
                  <c:v>900.77283309999996</c:v>
                </c:pt>
                <c:pt idx="58">
                  <c:v>900.85022544599997</c:v>
                </c:pt>
                <c:pt idx="59">
                  <c:v>900.93356704799999</c:v>
                </c:pt>
                <c:pt idx="60">
                  <c:v>901.047992948</c:v>
                </c:pt>
                <c:pt idx="61">
                  <c:v>901.16769831600004</c:v>
                </c:pt>
                <c:pt idx="62">
                  <c:v>900.74243974199999</c:v>
                </c:pt>
                <c:pt idx="63">
                  <c:v>900.79568851399995</c:v>
                </c:pt>
                <c:pt idx="64">
                  <c:v>900.78341407899995</c:v>
                </c:pt>
                <c:pt idx="65">
                  <c:v>900.77846428999999</c:v>
                </c:pt>
                <c:pt idx="66">
                  <c:v>901.072551223</c:v>
                </c:pt>
                <c:pt idx="67">
                  <c:v>900.76594906900004</c:v>
                </c:pt>
                <c:pt idx="68">
                  <c:v>900.86959834200002</c:v>
                </c:pt>
                <c:pt idx="69">
                  <c:v>900.78949112800001</c:v>
                </c:pt>
                <c:pt idx="70">
                  <c:v>900.81913199400003</c:v>
                </c:pt>
                <c:pt idx="71">
                  <c:v>900.97179104899999</c:v>
                </c:pt>
                <c:pt idx="72">
                  <c:v>900.77038826700004</c:v>
                </c:pt>
                <c:pt idx="73">
                  <c:v>901.00912320199996</c:v>
                </c:pt>
                <c:pt idx="74">
                  <c:v>900.75556908500005</c:v>
                </c:pt>
                <c:pt idx="75">
                  <c:v>228.68153602300001</c:v>
                </c:pt>
                <c:pt idx="76">
                  <c:v>900.862476582</c:v>
                </c:pt>
                <c:pt idx="77">
                  <c:v>900.89595260299996</c:v>
                </c:pt>
                <c:pt idx="78">
                  <c:v>901.07092198500004</c:v>
                </c:pt>
                <c:pt idx="79">
                  <c:v>900.85593919899998</c:v>
                </c:pt>
                <c:pt idx="80">
                  <c:v>901.02116360499997</c:v>
                </c:pt>
                <c:pt idx="81">
                  <c:v>901.00047115500001</c:v>
                </c:pt>
                <c:pt idx="82">
                  <c:v>900.83241027999998</c:v>
                </c:pt>
                <c:pt idx="83">
                  <c:v>900.77084453800001</c:v>
                </c:pt>
                <c:pt idx="84">
                  <c:v>900.76551394099999</c:v>
                </c:pt>
                <c:pt idx="85">
                  <c:v>900.77851707100001</c:v>
                </c:pt>
                <c:pt idx="86">
                  <c:v>900.74012675500001</c:v>
                </c:pt>
                <c:pt idx="87">
                  <c:v>900.75913920100004</c:v>
                </c:pt>
                <c:pt idx="88">
                  <c:v>900.82782379299999</c:v>
                </c:pt>
                <c:pt idx="89">
                  <c:v>900.91810222300001</c:v>
                </c:pt>
                <c:pt idx="90">
                  <c:v>900.76220696799999</c:v>
                </c:pt>
                <c:pt idx="91">
                  <c:v>901.09820253600003</c:v>
                </c:pt>
                <c:pt idx="92">
                  <c:v>900.764314754</c:v>
                </c:pt>
                <c:pt idx="93">
                  <c:v>900.84572386900004</c:v>
                </c:pt>
                <c:pt idx="94">
                  <c:v>900.73264975799998</c:v>
                </c:pt>
                <c:pt idx="95">
                  <c:v>900.81637403100001</c:v>
                </c:pt>
                <c:pt idx="96">
                  <c:v>900.93288090099998</c:v>
                </c:pt>
                <c:pt idx="97">
                  <c:v>900.9102901</c:v>
                </c:pt>
                <c:pt idx="98">
                  <c:v>900.90533058200003</c:v>
                </c:pt>
                <c:pt idx="99">
                  <c:v>900.87108974199998</c:v>
                </c:pt>
                <c:pt idx="100">
                  <c:v>900.87863586499998</c:v>
                </c:pt>
                <c:pt idx="101">
                  <c:v>900.73504119799998</c:v>
                </c:pt>
                <c:pt idx="102">
                  <c:v>900.85250902200005</c:v>
                </c:pt>
                <c:pt idx="103">
                  <c:v>900.81398503100002</c:v>
                </c:pt>
                <c:pt idx="104">
                  <c:v>900.94025027700002</c:v>
                </c:pt>
                <c:pt idx="105">
                  <c:v>900.85496887399995</c:v>
                </c:pt>
                <c:pt idx="106">
                  <c:v>900.891557326</c:v>
                </c:pt>
                <c:pt idx="107">
                  <c:v>900.90560273899996</c:v>
                </c:pt>
                <c:pt idx="108">
                  <c:v>900.74720129599996</c:v>
                </c:pt>
                <c:pt idx="109">
                  <c:v>900.91162946300005</c:v>
                </c:pt>
                <c:pt idx="110">
                  <c:v>900.93204216399999</c:v>
                </c:pt>
                <c:pt idx="111">
                  <c:v>900.91771075899999</c:v>
                </c:pt>
                <c:pt idx="112">
                  <c:v>900.95683289600004</c:v>
                </c:pt>
                <c:pt idx="113">
                  <c:v>900.87879863299997</c:v>
                </c:pt>
                <c:pt idx="114">
                  <c:v>900.77825263900002</c:v>
                </c:pt>
                <c:pt idx="115">
                  <c:v>900.99829753999995</c:v>
                </c:pt>
                <c:pt idx="116">
                  <c:v>900.74121887199999</c:v>
                </c:pt>
                <c:pt idx="117">
                  <c:v>900.77518786899998</c:v>
                </c:pt>
                <c:pt idx="118">
                  <c:v>900.80298086100004</c:v>
                </c:pt>
                <c:pt idx="119">
                  <c:v>900.94090768800004</c:v>
                </c:pt>
                <c:pt idx="120">
                  <c:v>900.862031602</c:v>
                </c:pt>
                <c:pt idx="121">
                  <c:v>901.05185324399997</c:v>
                </c:pt>
                <c:pt idx="122">
                  <c:v>901.00102486699996</c:v>
                </c:pt>
                <c:pt idx="123">
                  <c:v>900.83618965699998</c:v>
                </c:pt>
                <c:pt idx="124">
                  <c:v>900.77204757000004</c:v>
                </c:pt>
                <c:pt idx="125">
                  <c:v>900.81920304100004</c:v>
                </c:pt>
                <c:pt idx="126">
                  <c:v>900.83901082099999</c:v>
                </c:pt>
                <c:pt idx="127">
                  <c:v>900.82254214399995</c:v>
                </c:pt>
                <c:pt idx="128">
                  <c:v>900.83335722599998</c:v>
                </c:pt>
                <c:pt idx="129">
                  <c:v>900.81639956000004</c:v>
                </c:pt>
                <c:pt idx="130">
                  <c:v>900.98257803199999</c:v>
                </c:pt>
                <c:pt idx="131">
                  <c:v>900.95274760999996</c:v>
                </c:pt>
                <c:pt idx="132">
                  <c:v>900.79449045399997</c:v>
                </c:pt>
                <c:pt idx="133">
                  <c:v>900.69775133600001</c:v>
                </c:pt>
                <c:pt idx="134">
                  <c:v>900.90898924700002</c:v>
                </c:pt>
                <c:pt idx="135">
                  <c:v>900.94846311200001</c:v>
                </c:pt>
                <c:pt idx="136">
                  <c:v>900.79068190700002</c:v>
                </c:pt>
                <c:pt idx="137">
                  <c:v>900.79864279399999</c:v>
                </c:pt>
                <c:pt idx="138">
                  <c:v>900.90372567300005</c:v>
                </c:pt>
                <c:pt idx="139">
                  <c:v>900.83429346599996</c:v>
                </c:pt>
                <c:pt idx="140">
                  <c:v>900.93028137299996</c:v>
                </c:pt>
                <c:pt idx="141">
                  <c:v>900.77986779699995</c:v>
                </c:pt>
                <c:pt idx="142">
                  <c:v>900.81806850099997</c:v>
                </c:pt>
                <c:pt idx="143">
                  <c:v>900.99076471800004</c:v>
                </c:pt>
                <c:pt idx="144">
                  <c:v>900.932645278</c:v>
                </c:pt>
                <c:pt idx="145">
                  <c:v>0.31415659299999998</c:v>
                </c:pt>
                <c:pt idx="146">
                  <c:v>0.33215772599999999</c:v>
                </c:pt>
                <c:pt idx="147">
                  <c:v>0.34687832800000001</c:v>
                </c:pt>
                <c:pt idx="148">
                  <c:v>901.00079842299999</c:v>
                </c:pt>
                <c:pt idx="149">
                  <c:v>900.98803011200005</c:v>
                </c:pt>
                <c:pt idx="150">
                  <c:v>900.72392840400005</c:v>
                </c:pt>
                <c:pt idx="151">
                  <c:v>900.81777397200005</c:v>
                </c:pt>
                <c:pt idx="152">
                  <c:v>0.353304642</c:v>
                </c:pt>
                <c:pt idx="153">
                  <c:v>0.36328237499999999</c:v>
                </c:pt>
                <c:pt idx="154">
                  <c:v>0.38816826300000001</c:v>
                </c:pt>
                <c:pt idx="155">
                  <c:v>0.43550106700000002</c:v>
                </c:pt>
                <c:pt idx="156">
                  <c:v>0.4269194</c:v>
                </c:pt>
                <c:pt idx="157">
                  <c:v>0.46312501499999997</c:v>
                </c:pt>
                <c:pt idx="158">
                  <c:v>0.48315084899999999</c:v>
                </c:pt>
                <c:pt idx="159">
                  <c:v>0.51285254300000005</c:v>
                </c:pt>
                <c:pt idx="160">
                  <c:v>0.57100404800000004</c:v>
                </c:pt>
                <c:pt idx="161">
                  <c:v>0.39714550100000001</c:v>
                </c:pt>
                <c:pt idx="162">
                  <c:v>0.42563447300000001</c:v>
                </c:pt>
                <c:pt idx="163">
                  <c:v>0.43349689899999999</c:v>
                </c:pt>
                <c:pt idx="164">
                  <c:v>0.45611652400000002</c:v>
                </c:pt>
                <c:pt idx="165">
                  <c:v>0.51318612799999996</c:v>
                </c:pt>
                <c:pt idx="166">
                  <c:v>0.51268309899999998</c:v>
                </c:pt>
                <c:pt idx="167">
                  <c:v>0.55771033299999995</c:v>
                </c:pt>
                <c:pt idx="168">
                  <c:v>0.61486386100000001</c:v>
                </c:pt>
                <c:pt idx="169">
                  <c:v>0.64915046600000004</c:v>
                </c:pt>
              </c:numCache>
            </c:numRef>
          </c:yVal>
          <c:smooth val="0"/>
          <c:extLst>
            <c:ext xmlns:c16="http://schemas.microsoft.com/office/drawing/2014/chart" uri="{C3380CC4-5D6E-409C-BE32-E72D297353CC}">
              <c16:uniqueId val="{00000000-AFE8-4059-92A9-4271B7FD4797}"/>
            </c:ext>
          </c:extLst>
        </c:ser>
        <c:dLbls>
          <c:showLegendKey val="0"/>
          <c:showVal val="0"/>
          <c:showCatName val="0"/>
          <c:showSerName val="0"/>
          <c:showPercent val="0"/>
          <c:showBubbleSize val="0"/>
        </c:dLbls>
        <c:axId val="1661272880"/>
        <c:axId val="1296492512"/>
      </c:scatterChart>
      <c:valAx>
        <c:axId val="166127288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492512"/>
        <c:crosses val="autoZero"/>
        <c:crossBetween val="midCat"/>
      </c:valAx>
      <c:valAx>
        <c:axId val="129649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2728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XFTA!$G$1</c:f>
              <c:strCache>
                <c:ptCount val="1"/>
                <c:pt idx="0">
                  <c:v>Memory (MB)</c:v>
                </c:pt>
              </c:strCache>
            </c:strRef>
          </c:tx>
          <c:spPr>
            <a:ln w="19050" cap="rnd">
              <a:noFill/>
              <a:round/>
            </a:ln>
            <a:effectLst/>
          </c:spPr>
          <c:marker>
            <c:symbol val="circle"/>
            <c:size val="5"/>
            <c:spPr>
              <a:solidFill>
                <a:schemeClr val="accent1"/>
              </a:solidFill>
              <a:ln w="9525">
                <a:solidFill>
                  <a:schemeClr val="accent1"/>
                </a:solidFill>
              </a:ln>
              <a:effectLst/>
            </c:spPr>
          </c:marker>
          <c:dLbls>
            <c:delete val="1"/>
          </c:dLbls>
          <c:xVal>
            <c:strRef>
              <c:f>XFTA!$C$2:$C$171</c:f>
              <c:strCache>
                <c:ptCount val="170"/>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8000-06</c:v>
                </c:pt>
                <c:pt idx="149">
                  <c:v>8000-07</c:v>
                </c:pt>
                <c:pt idx="150">
                  <c:v>8000-08</c:v>
                </c:pt>
                <c:pt idx="151">
                  <c:v>8000-09</c:v>
                </c:pt>
                <c:pt idx="152">
                  <c:v>9000-01</c:v>
                </c:pt>
                <c:pt idx="153">
                  <c:v>9000-02</c:v>
                </c:pt>
                <c:pt idx="154">
                  <c:v>9000-03</c:v>
                </c:pt>
                <c:pt idx="155">
                  <c:v>9000-04</c:v>
                </c:pt>
                <c:pt idx="156">
                  <c:v>9000-05</c:v>
                </c:pt>
                <c:pt idx="157">
                  <c:v>9000-06</c:v>
                </c:pt>
                <c:pt idx="158">
                  <c:v>9000-07</c:v>
                </c:pt>
                <c:pt idx="159">
                  <c:v>9000-08</c:v>
                </c:pt>
                <c:pt idx="160">
                  <c:v>9000-09</c:v>
                </c:pt>
                <c:pt idx="161">
                  <c:v>10000-01</c:v>
                </c:pt>
                <c:pt idx="162">
                  <c:v>10000-02</c:v>
                </c:pt>
                <c:pt idx="163">
                  <c:v>10000-03</c:v>
                </c:pt>
                <c:pt idx="164">
                  <c:v>10000-04</c:v>
                </c:pt>
                <c:pt idx="165">
                  <c:v>10000-05</c:v>
                </c:pt>
                <c:pt idx="166">
                  <c:v>10000-06</c:v>
                </c:pt>
                <c:pt idx="167">
                  <c:v>10000-07</c:v>
                </c:pt>
                <c:pt idx="168">
                  <c:v>10000-08</c:v>
                </c:pt>
                <c:pt idx="169">
                  <c:v>10000-09</c:v>
                </c:pt>
              </c:strCache>
            </c:strRef>
          </c:xVal>
          <c:yVal>
            <c:numRef>
              <c:f>XFTA!$G$2:$G$171</c:f>
              <c:numCache>
                <c:formatCode>General</c:formatCode>
                <c:ptCount val="170"/>
                <c:pt idx="0">
                  <c:v>2.0152320000000001</c:v>
                </c:pt>
                <c:pt idx="1">
                  <c:v>2.1503999999999999</c:v>
                </c:pt>
                <c:pt idx="2">
                  <c:v>2.011136</c:v>
                </c:pt>
                <c:pt idx="3">
                  <c:v>2.0152320000000001</c:v>
                </c:pt>
                <c:pt idx="4">
                  <c:v>2.2773759999999998</c:v>
                </c:pt>
                <c:pt idx="5">
                  <c:v>2.0152320000000001</c:v>
                </c:pt>
                <c:pt idx="6">
                  <c:v>2.2773759999999998</c:v>
                </c:pt>
                <c:pt idx="7">
                  <c:v>2.1872639999999999</c:v>
                </c:pt>
                <c:pt idx="8">
                  <c:v>2.2405119999999998</c:v>
                </c:pt>
                <c:pt idx="9">
                  <c:v>2.4248319999999999</c:v>
                </c:pt>
                <c:pt idx="10">
                  <c:v>263.03283199999998</c:v>
                </c:pt>
                <c:pt idx="11">
                  <c:v>10.530816</c:v>
                </c:pt>
                <c:pt idx="12">
                  <c:v>2.4043519999999998</c:v>
                </c:pt>
                <c:pt idx="13">
                  <c:v>2.53952</c:v>
                </c:pt>
                <c:pt idx="14">
                  <c:v>4.9397760000000002</c:v>
                </c:pt>
                <c:pt idx="15">
                  <c:v>122.66291200000001</c:v>
                </c:pt>
                <c:pt idx="16">
                  <c:v>9.7648639999999993</c:v>
                </c:pt>
                <c:pt idx="17">
                  <c:v>362.70899200000002</c:v>
                </c:pt>
                <c:pt idx="18">
                  <c:v>1480.6876159999999</c:v>
                </c:pt>
                <c:pt idx="19">
                  <c:v>5.6688640000000001</c:v>
                </c:pt>
                <c:pt idx="20">
                  <c:v>386.30195200000003</c:v>
                </c:pt>
                <c:pt idx="21">
                  <c:v>86.020095999999995</c:v>
                </c:pt>
                <c:pt idx="22">
                  <c:v>1367.9288320000001</c:v>
                </c:pt>
                <c:pt idx="23">
                  <c:v>325.43948799999998</c:v>
                </c:pt>
                <c:pt idx="24">
                  <c:v>6557.7123840000004</c:v>
                </c:pt>
                <c:pt idx="25">
                  <c:v>209.42848000000001</c:v>
                </c:pt>
                <c:pt idx="26">
                  <c:v>4540.2398720000001</c:v>
                </c:pt>
                <c:pt idx="27">
                  <c:v>539.00902399999995</c:v>
                </c:pt>
                <c:pt idx="28">
                  <c:v>158.347264</c:v>
                </c:pt>
                <c:pt idx="29">
                  <c:v>16000</c:v>
                </c:pt>
                <c:pt idx="30">
                  <c:v>77.750271999999995</c:v>
                </c:pt>
                <c:pt idx="31">
                  <c:v>9012.6254079999999</c:v>
                </c:pt>
                <c:pt idx="32">
                  <c:v>3262.7589119999998</c:v>
                </c:pt>
                <c:pt idx="33">
                  <c:v>3027.529728</c:v>
                </c:pt>
                <c:pt idx="34">
                  <c:v>595.86559999999997</c:v>
                </c:pt>
                <c:pt idx="35">
                  <c:v>1548.3084799999999</c:v>
                </c:pt>
                <c:pt idx="36">
                  <c:v>3.4611200000000002</c:v>
                </c:pt>
                <c:pt idx="37">
                  <c:v>15065.059327999999</c:v>
                </c:pt>
                <c:pt idx="38">
                  <c:v>6558.1015040000002</c:v>
                </c:pt>
                <c:pt idx="39">
                  <c:v>774.89356799999996</c:v>
                </c:pt>
                <c:pt idx="40">
                  <c:v>2893.3857280000002</c:v>
                </c:pt>
                <c:pt idx="41">
                  <c:v>7062.7573759999996</c:v>
                </c:pt>
                <c:pt idx="42">
                  <c:v>5348.0325119999998</c:v>
                </c:pt>
                <c:pt idx="43">
                  <c:v>6054.2320639999998</c:v>
                </c:pt>
                <c:pt idx="44">
                  <c:v>3297.6117760000002</c:v>
                </c:pt>
                <c:pt idx="45">
                  <c:v>16000</c:v>
                </c:pt>
                <c:pt idx="46">
                  <c:v>539.80364799999995</c:v>
                </c:pt>
                <c:pt idx="47">
                  <c:v>3095.232512</c:v>
                </c:pt>
                <c:pt idx="48">
                  <c:v>3767.7096959999999</c:v>
                </c:pt>
                <c:pt idx="49">
                  <c:v>9584.8448000000008</c:v>
                </c:pt>
                <c:pt idx="50">
                  <c:v>102.924288</c:v>
                </c:pt>
                <c:pt idx="51">
                  <c:v>3162.9885439999998</c:v>
                </c:pt>
                <c:pt idx="52">
                  <c:v>9887.7972480000008</c:v>
                </c:pt>
                <c:pt idx="53">
                  <c:v>7064.0312320000003</c:v>
                </c:pt>
                <c:pt idx="54">
                  <c:v>573.730816</c:v>
                </c:pt>
                <c:pt idx="55">
                  <c:v>4743.1475200000004</c:v>
                </c:pt>
                <c:pt idx="56">
                  <c:v>10055.835648</c:v>
                </c:pt>
                <c:pt idx="57">
                  <c:v>69.636095999999995</c:v>
                </c:pt>
                <c:pt idx="58">
                  <c:v>2557.6734719999999</c:v>
                </c:pt>
                <c:pt idx="59">
                  <c:v>4407.2919039999997</c:v>
                </c:pt>
                <c:pt idx="60">
                  <c:v>8139.8743039999999</c:v>
                </c:pt>
                <c:pt idx="61">
                  <c:v>9686.6631679999991</c:v>
                </c:pt>
                <c:pt idx="62">
                  <c:v>5.4026240000000003</c:v>
                </c:pt>
                <c:pt idx="63">
                  <c:v>439.53766400000001</c:v>
                </c:pt>
                <c:pt idx="64">
                  <c:v>4.5178880000000001</c:v>
                </c:pt>
                <c:pt idx="65">
                  <c:v>137.16684799999999</c:v>
                </c:pt>
                <c:pt idx="66">
                  <c:v>7131.0376960000003</c:v>
                </c:pt>
                <c:pt idx="67">
                  <c:v>2087.3666560000001</c:v>
                </c:pt>
                <c:pt idx="68">
                  <c:v>2659.106816</c:v>
                </c:pt>
                <c:pt idx="69">
                  <c:v>238.465024</c:v>
                </c:pt>
                <c:pt idx="70">
                  <c:v>978.39923199999998</c:v>
                </c:pt>
                <c:pt idx="71">
                  <c:v>5618.7740160000003</c:v>
                </c:pt>
                <c:pt idx="72">
                  <c:v>70.021119999999996</c:v>
                </c:pt>
                <c:pt idx="73">
                  <c:v>5584.3717120000001</c:v>
                </c:pt>
                <c:pt idx="74">
                  <c:v>36.708351999999998</c:v>
                </c:pt>
                <c:pt idx="75">
                  <c:v>16000</c:v>
                </c:pt>
                <c:pt idx="76">
                  <c:v>3668.0663039999999</c:v>
                </c:pt>
                <c:pt idx="77">
                  <c:v>3399.1352320000001</c:v>
                </c:pt>
                <c:pt idx="78">
                  <c:v>7333.5726080000004</c:v>
                </c:pt>
                <c:pt idx="79">
                  <c:v>3198.2100479999999</c:v>
                </c:pt>
                <c:pt idx="80">
                  <c:v>5249.65888</c:v>
                </c:pt>
                <c:pt idx="81">
                  <c:v>6458.9905920000001</c:v>
                </c:pt>
                <c:pt idx="82">
                  <c:v>1045.48352</c:v>
                </c:pt>
                <c:pt idx="83">
                  <c:v>11.927552</c:v>
                </c:pt>
                <c:pt idx="84">
                  <c:v>440.44697600000001</c:v>
                </c:pt>
                <c:pt idx="85">
                  <c:v>5.554176</c:v>
                </c:pt>
                <c:pt idx="86">
                  <c:v>407.02771200000001</c:v>
                </c:pt>
                <c:pt idx="87">
                  <c:v>20.783104000000002</c:v>
                </c:pt>
                <c:pt idx="88">
                  <c:v>2458.6977280000001</c:v>
                </c:pt>
                <c:pt idx="89">
                  <c:v>3703.5048959999999</c:v>
                </c:pt>
                <c:pt idx="90">
                  <c:v>40.337408000000003</c:v>
                </c:pt>
                <c:pt idx="91">
                  <c:v>7874.6746880000001</c:v>
                </c:pt>
                <c:pt idx="92">
                  <c:v>74.366975999999994</c:v>
                </c:pt>
                <c:pt idx="93">
                  <c:v>2966.0487680000001</c:v>
                </c:pt>
                <c:pt idx="94">
                  <c:v>2092.3514879999998</c:v>
                </c:pt>
                <c:pt idx="95">
                  <c:v>1856.8970240000001</c:v>
                </c:pt>
                <c:pt idx="96">
                  <c:v>4984.4551680000004</c:v>
                </c:pt>
                <c:pt idx="97">
                  <c:v>3976.6548480000001</c:v>
                </c:pt>
                <c:pt idx="98">
                  <c:v>3944.0465920000001</c:v>
                </c:pt>
                <c:pt idx="99">
                  <c:v>3305.3614080000002</c:v>
                </c:pt>
                <c:pt idx="100">
                  <c:v>3271.9994879999999</c:v>
                </c:pt>
                <c:pt idx="101">
                  <c:v>1557.4466560000001</c:v>
                </c:pt>
                <c:pt idx="102">
                  <c:v>2902.851584</c:v>
                </c:pt>
                <c:pt idx="103">
                  <c:v>2231.0625279999999</c:v>
                </c:pt>
                <c:pt idx="104">
                  <c:v>4853.8460160000004</c:v>
                </c:pt>
                <c:pt idx="105">
                  <c:v>3038.5233920000001</c:v>
                </c:pt>
                <c:pt idx="106">
                  <c:v>3947.4872319999999</c:v>
                </c:pt>
                <c:pt idx="107">
                  <c:v>3712.917504</c:v>
                </c:pt>
                <c:pt idx="108">
                  <c:v>15.486976</c:v>
                </c:pt>
                <c:pt idx="109">
                  <c:v>3746.6726399999998</c:v>
                </c:pt>
                <c:pt idx="110">
                  <c:v>4217.6962560000002</c:v>
                </c:pt>
                <c:pt idx="111">
                  <c:v>5327.7286400000003</c:v>
                </c:pt>
                <c:pt idx="112">
                  <c:v>4252.3688959999999</c:v>
                </c:pt>
                <c:pt idx="113">
                  <c:v>3076.2311679999998</c:v>
                </c:pt>
                <c:pt idx="114">
                  <c:v>84.107264000000001</c:v>
                </c:pt>
                <c:pt idx="115">
                  <c:v>6641.9752959999996</c:v>
                </c:pt>
                <c:pt idx="116">
                  <c:v>1129.852928</c:v>
                </c:pt>
                <c:pt idx="117">
                  <c:v>2404.499456</c:v>
                </c:pt>
                <c:pt idx="118">
                  <c:v>1564.5655039999999</c:v>
                </c:pt>
                <c:pt idx="119">
                  <c:v>4692.6274560000002</c:v>
                </c:pt>
                <c:pt idx="120">
                  <c:v>3582.6155520000002</c:v>
                </c:pt>
                <c:pt idx="121">
                  <c:v>7315.8533120000002</c:v>
                </c:pt>
                <c:pt idx="122">
                  <c:v>6307.9915520000004</c:v>
                </c:pt>
                <c:pt idx="123">
                  <c:v>2980.37248</c:v>
                </c:pt>
                <c:pt idx="124">
                  <c:v>1535.9385600000001</c:v>
                </c:pt>
                <c:pt idx="125">
                  <c:v>3890.7903999999999</c:v>
                </c:pt>
                <c:pt idx="126">
                  <c:v>1870.319616</c:v>
                </c:pt>
                <c:pt idx="127">
                  <c:v>1736.0281600000001</c:v>
                </c:pt>
                <c:pt idx="128">
                  <c:v>2342.3549440000002</c:v>
                </c:pt>
                <c:pt idx="129">
                  <c:v>2007.9247359999999</c:v>
                </c:pt>
                <c:pt idx="130">
                  <c:v>5538.3736319999998</c:v>
                </c:pt>
                <c:pt idx="131">
                  <c:v>4799.6231680000001</c:v>
                </c:pt>
                <c:pt idx="132">
                  <c:v>1572.245504</c:v>
                </c:pt>
                <c:pt idx="133">
                  <c:v>328.91289599999999</c:v>
                </c:pt>
                <c:pt idx="134">
                  <c:v>3693.0109440000001</c:v>
                </c:pt>
                <c:pt idx="135">
                  <c:v>4932.9438719999998</c:v>
                </c:pt>
                <c:pt idx="136">
                  <c:v>1538.1790719999999</c:v>
                </c:pt>
                <c:pt idx="137">
                  <c:v>1874.5794559999999</c:v>
                </c:pt>
                <c:pt idx="138">
                  <c:v>4095.2299520000001</c:v>
                </c:pt>
                <c:pt idx="139">
                  <c:v>2346.8974079999998</c:v>
                </c:pt>
                <c:pt idx="140">
                  <c:v>5206.884352</c:v>
                </c:pt>
                <c:pt idx="141">
                  <c:v>231.31750400000001</c:v>
                </c:pt>
                <c:pt idx="142">
                  <c:v>2655.6211199999998</c:v>
                </c:pt>
                <c:pt idx="143">
                  <c:v>5917.2986879999999</c:v>
                </c:pt>
                <c:pt idx="144">
                  <c:v>4835.8891519999997</c:v>
                </c:pt>
                <c:pt idx="145">
                  <c:v>29.888511999999999</c:v>
                </c:pt>
                <c:pt idx="146">
                  <c:v>31.117311999999998</c:v>
                </c:pt>
                <c:pt idx="147">
                  <c:v>32.247807999999999</c:v>
                </c:pt>
                <c:pt idx="148">
                  <c:v>6354.2067200000001</c:v>
                </c:pt>
                <c:pt idx="149">
                  <c:v>5347.5573759999997</c:v>
                </c:pt>
                <c:pt idx="150">
                  <c:v>1853.407232</c:v>
                </c:pt>
                <c:pt idx="151">
                  <c:v>1954.22208</c:v>
                </c:pt>
                <c:pt idx="152">
                  <c:v>33.189888000000003</c:v>
                </c:pt>
                <c:pt idx="153">
                  <c:v>33.583103999999999</c:v>
                </c:pt>
                <c:pt idx="154">
                  <c:v>34.578431999999999</c:v>
                </c:pt>
                <c:pt idx="155">
                  <c:v>36.818944000000002</c:v>
                </c:pt>
                <c:pt idx="156">
                  <c:v>37.003264000000001</c:v>
                </c:pt>
                <c:pt idx="157">
                  <c:v>38.641663999999999</c:v>
                </c:pt>
                <c:pt idx="158">
                  <c:v>39.833599999999997</c:v>
                </c:pt>
                <c:pt idx="159">
                  <c:v>41.725951999999999</c:v>
                </c:pt>
                <c:pt idx="160">
                  <c:v>44.523519999999998</c:v>
                </c:pt>
                <c:pt idx="161">
                  <c:v>36.626432000000001</c:v>
                </c:pt>
                <c:pt idx="162">
                  <c:v>38.297600000000003</c:v>
                </c:pt>
                <c:pt idx="163">
                  <c:v>38.957056000000001</c:v>
                </c:pt>
                <c:pt idx="164">
                  <c:v>39.510016</c:v>
                </c:pt>
                <c:pt idx="165">
                  <c:v>42.975231999999998</c:v>
                </c:pt>
                <c:pt idx="166">
                  <c:v>42.20928</c:v>
                </c:pt>
                <c:pt idx="167">
                  <c:v>45.264896</c:v>
                </c:pt>
                <c:pt idx="168">
                  <c:v>48.459775999999998</c:v>
                </c:pt>
                <c:pt idx="169">
                  <c:v>50.778112</c:v>
                </c:pt>
              </c:numCache>
            </c:numRef>
          </c:yVal>
          <c:smooth val="0"/>
          <c:extLst>
            <c:ext xmlns:c16="http://schemas.microsoft.com/office/drawing/2014/chart" uri="{C3380CC4-5D6E-409C-BE32-E72D297353CC}">
              <c16:uniqueId val="{00000000-970F-45B8-AE57-FDF238A6F824}"/>
            </c:ext>
          </c:extLst>
        </c:ser>
        <c:dLbls>
          <c:dLblPos val="ctr"/>
          <c:showLegendKey val="0"/>
          <c:showVal val="1"/>
          <c:showCatName val="0"/>
          <c:showSerName val="0"/>
          <c:showPercent val="0"/>
          <c:showBubbleSize val="0"/>
        </c:dLbls>
        <c:axId val="349330992"/>
        <c:axId val="726727552"/>
      </c:scatterChart>
      <c:valAx>
        <c:axId val="34933099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27552"/>
        <c:crosses val="autoZero"/>
        <c:crossBetween val="midCat"/>
      </c:valAx>
      <c:valAx>
        <c:axId val="72672755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3309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'XFTA-CCF'!$F$1</c:f>
              <c:strCache>
                <c:ptCount val="1"/>
                <c:pt idx="0">
                  <c:v>CPU Time (Sec)</c:v>
                </c:pt>
              </c:strCache>
            </c:strRef>
          </c:tx>
          <c:spPr>
            <a:ln w="19050" cap="rnd">
              <a:noFill/>
              <a:round/>
            </a:ln>
            <a:effectLst/>
          </c:spPr>
          <c:marker>
            <c:symbol val="circle"/>
            <c:size val="5"/>
            <c:spPr>
              <a:solidFill>
                <a:schemeClr val="accent1"/>
              </a:solidFill>
              <a:ln w="9525">
                <a:solidFill>
                  <a:schemeClr val="accent1"/>
                </a:solidFill>
              </a:ln>
              <a:effectLst/>
            </c:spPr>
          </c:marker>
          <c:xVal>
            <c:strRef>
              <c:f>'XFTA-CCF'!$D$2:$D$91</c:f>
              <c:strCache>
                <c:ptCount val="90"/>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ccf6-600-05</c:v>
                </c:pt>
                <c:pt idx="51">
                  <c:v>ccf7-600-05</c:v>
                </c:pt>
                <c:pt idx="52">
                  <c:v>ccf8-600-05</c:v>
                </c:pt>
                <c:pt idx="53">
                  <c:v>ccf9-600-05</c:v>
                </c:pt>
                <c:pt idx="54">
                  <c:v>ccf1-700-05</c:v>
                </c:pt>
                <c:pt idx="55">
                  <c:v>ccf2-700-05</c:v>
                </c:pt>
                <c:pt idx="56">
                  <c:v>ccf3-700-05</c:v>
                </c:pt>
                <c:pt idx="57">
                  <c:v>ccf4-700-05</c:v>
                </c:pt>
                <c:pt idx="58">
                  <c:v>ccf5-700-05</c:v>
                </c:pt>
                <c:pt idx="59">
                  <c:v>ccf6-700-05</c:v>
                </c:pt>
                <c:pt idx="60">
                  <c:v>ccf7-700-05</c:v>
                </c:pt>
                <c:pt idx="61">
                  <c:v>ccf8-700-05</c:v>
                </c:pt>
                <c:pt idx="62">
                  <c:v>ccf9-700-05</c:v>
                </c:pt>
                <c:pt idx="63">
                  <c:v>ccf1-800-05</c:v>
                </c:pt>
                <c:pt idx="64">
                  <c:v>ccf2-800-05</c:v>
                </c:pt>
                <c:pt idx="65">
                  <c:v>ccf3-800-05</c:v>
                </c:pt>
                <c:pt idx="66">
                  <c:v>ccf4-800-05</c:v>
                </c:pt>
                <c:pt idx="67">
                  <c:v>ccf5-800-05</c:v>
                </c:pt>
                <c:pt idx="68">
                  <c:v>ccf6-800-05</c:v>
                </c:pt>
                <c:pt idx="69">
                  <c:v>ccf7-800-05</c:v>
                </c:pt>
                <c:pt idx="70">
                  <c:v>ccf8-800-05</c:v>
                </c:pt>
                <c:pt idx="71">
                  <c:v>ccf9-800-05</c:v>
                </c:pt>
                <c:pt idx="72">
                  <c:v>ccf1-900-05</c:v>
                </c:pt>
                <c:pt idx="73">
                  <c:v>ccf2-900-05</c:v>
                </c:pt>
                <c:pt idx="74">
                  <c:v>ccf3-900-05</c:v>
                </c:pt>
                <c:pt idx="75">
                  <c:v>ccf4-900-05</c:v>
                </c:pt>
                <c:pt idx="76">
                  <c:v>ccf5-900-05</c:v>
                </c:pt>
                <c:pt idx="77">
                  <c:v>ccf6-900-05</c:v>
                </c:pt>
                <c:pt idx="78">
                  <c:v>ccf7-900-05</c:v>
                </c:pt>
                <c:pt idx="79">
                  <c:v>ccf8-900-05</c:v>
                </c:pt>
                <c:pt idx="80">
                  <c:v>ccf9-900-05</c:v>
                </c:pt>
                <c:pt idx="81">
                  <c:v>ccf1-1000-05</c:v>
                </c:pt>
                <c:pt idx="82">
                  <c:v>ccf2-1000-05</c:v>
                </c:pt>
                <c:pt idx="83">
                  <c:v>ccf3-1000-05</c:v>
                </c:pt>
                <c:pt idx="84">
                  <c:v>ccf4-1000-05</c:v>
                </c:pt>
                <c:pt idx="85">
                  <c:v>ccf5-1000-05</c:v>
                </c:pt>
                <c:pt idx="86">
                  <c:v>ccf6-1000-05</c:v>
                </c:pt>
                <c:pt idx="87">
                  <c:v>ccf7-1000-05</c:v>
                </c:pt>
                <c:pt idx="88">
                  <c:v>ccf8-1000-05</c:v>
                </c:pt>
                <c:pt idx="89">
                  <c:v>ccf9-1000-05</c:v>
                </c:pt>
              </c:strCache>
            </c:strRef>
          </c:xVal>
          <c:yVal>
            <c:numRef>
              <c:f>'XFTA-CCF'!$F$2:$F$91</c:f>
              <c:numCache>
                <c:formatCode>General</c:formatCode>
                <c:ptCount val="90"/>
                <c:pt idx="0">
                  <c:v>3.6760888999999998E-2</c:v>
                </c:pt>
                <c:pt idx="1">
                  <c:v>2.8130930780000001</c:v>
                </c:pt>
                <c:pt idx="2">
                  <c:v>47.590023115999998</c:v>
                </c:pt>
                <c:pt idx="3">
                  <c:v>900.96818929000005</c:v>
                </c:pt>
                <c:pt idx="4">
                  <c:v>901.00209502099995</c:v>
                </c:pt>
                <c:pt idx="5">
                  <c:v>900.90026603900003</c:v>
                </c:pt>
                <c:pt idx="6">
                  <c:v>900.91762509700004</c:v>
                </c:pt>
                <c:pt idx="7">
                  <c:v>900.85239782899998</c:v>
                </c:pt>
                <c:pt idx="8">
                  <c:v>900.69757861899996</c:v>
                </c:pt>
                <c:pt idx="9">
                  <c:v>1.4992862360000001</c:v>
                </c:pt>
                <c:pt idx="10">
                  <c:v>23.549590503000001</c:v>
                </c:pt>
                <c:pt idx="11">
                  <c:v>213.71024798400001</c:v>
                </c:pt>
                <c:pt idx="12">
                  <c:v>900.72650018100001</c:v>
                </c:pt>
                <c:pt idx="13">
                  <c:v>900.75089162699999</c:v>
                </c:pt>
                <c:pt idx="14">
                  <c:v>900.75763968399997</c:v>
                </c:pt>
                <c:pt idx="15">
                  <c:v>900.75233026800004</c:v>
                </c:pt>
                <c:pt idx="16">
                  <c:v>900.69345829400004</c:v>
                </c:pt>
                <c:pt idx="17">
                  <c:v>900.78652858299995</c:v>
                </c:pt>
                <c:pt idx="18">
                  <c:v>900.77013510100005</c:v>
                </c:pt>
                <c:pt idx="19">
                  <c:v>900.74977125400005</c:v>
                </c:pt>
                <c:pt idx="20">
                  <c:v>900.54074981999997</c:v>
                </c:pt>
                <c:pt idx="21">
                  <c:v>900.769289007</c:v>
                </c:pt>
                <c:pt idx="22">
                  <c:v>900.78168913699994</c:v>
                </c:pt>
                <c:pt idx="23">
                  <c:v>900.76334058700002</c:v>
                </c:pt>
                <c:pt idx="24">
                  <c:v>900.70047884600001</c:v>
                </c:pt>
                <c:pt idx="25">
                  <c:v>900.74569722800004</c:v>
                </c:pt>
                <c:pt idx="26">
                  <c:v>900.75200207800003</c:v>
                </c:pt>
                <c:pt idx="27">
                  <c:v>900.83711838099998</c:v>
                </c:pt>
                <c:pt idx="28">
                  <c:v>900.76873198600003</c:v>
                </c:pt>
                <c:pt idx="29">
                  <c:v>900.73436756000001</c:v>
                </c:pt>
                <c:pt idx="30">
                  <c:v>900.757429462</c:v>
                </c:pt>
                <c:pt idx="31">
                  <c:v>900.79090684400001</c:v>
                </c:pt>
                <c:pt idx="32">
                  <c:v>900.78473819199996</c:v>
                </c:pt>
                <c:pt idx="33">
                  <c:v>900.77610190500002</c:v>
                </c:pt>
                <c:pt idx="34">
                  <c:v>900.75868876699997</c:v>
                </c:pt>
                <c:pt idx="35">
                  <c:v>900.98376791999999</c:v>
                </c:pt>
                <c:pt idx="36">
                  <c:v>900.80650474699996</c:v>
                </c:pt>
                <c:pt idx="37">
                  <c:v>900.62386793799999</c:v>
                </c:pt>
                <c:pt idx="38">
                  <c:v>900.84085813299998</c:v>
                </c:pt>
                <c:pt idx="39">
                  <c:v>901.01944450999997</c:v>
                </c:pt>
                <c:pt idx="40">
                  <c:v>900.81091344000004</c:v>
                </c:pt>
                <c:pt idx="41">
                  <c:v>900.855011666</c:v>
                </c:pt>
                <c:pt idx="42">
                  <c:v>900.95517601200004</c:v>
                </c:pt>
                <c:pt idx="43">
                  <c:v>900.91927556500002</c:v>
                </c:pt>
                <c:pt idx="44">
                  <c:v>900.79674105100003</c:v>
                </c:pt>
                <c:pt idx="45">
                  <c:v>900.70903408499998</c:v>
                </c:pt>
                <c:pt idx="46">
                  <c:v>900.88492541899996</c:v>
                </c:pt>
                <c:pt idx="47">
                  <c:v>900.84600819000002</c:v>
                </c:pt>
                <c:pt idx="48">
                  <c:v>900.834447125</c:v>
                </c:pt>
                <c:pt idx="49">
                  <c:v>900.805864681</c:v>
                </c:pt>
                <c:pt idx="50">
                  <c:v>900.94947806300002</c:v>
                </c:pt>
                <c:pt idx="51">
                  <c:v>900.94304416199998</c:v>
                </c:pt>
                <c:pt idx="52">
                  <c:v>900.88539872900003</c:v>
                </c:pt>
                <c:pt idx="53">
                  <c:v>900.76256523500001</c:v>
                </c:pt>
                <c:pt idx="54">
                  <c:v>900.867815769</c:v>
                </c:pt>
                <c:pt idx="55">
                  <c:v>900.84368534299995</c:v>
                </c:pt>
                <c:pt idx="56">
                  <c:v>900.83690600099999</c:v>
                </c:pt>
                <c:pt idx="57">
                  <c:v>900.825601216</c:v>
                </c:pt>
                <c:pt idx="58">
                  <c:v>900.87022650400002</c:v>
                </c:pt>
                <c:pt idx="59">
                  <c:v>900.84096275000002</c:v>
                </c:pt>
                <c:pt idx="60">
                  <c:v>900.865200792</c:v>
                </c:pt>
                <c:pt idx="61">
                  <c:v>900.870136065</c:v>
                </c:pt>
                <c:pt idx="62">
                  <c:v>900.82957704499995</c:v>
                </c:pt>
                <c:pt idx="63">
                  <c:v>900.75879034000002</c:v>
                </c:pt>
                <c:pt idx="64">
                  <c:v>900.80690316799996</c:v>
                </c:pt>
                <c:pt idx="65">
                  <c:v>900.817414106</c:v>
                </c:pt>
                <c:pt idx="66">
                  <c:v>900.76345761300001</c:v>
                </c:pt>
                <c:pt idx="67">
                  <c:v>900.81797974000006</c:v>
                </c:pt>
                <c:pt idx="68">
                  <c:v>900.80771134099996</c:v>
                </c:pt>
                <c:pt idx="69">
                  <c:v>900.82855700599998</c:v>
                </c:pt>
                <c:pt idx="70">
                  <c:v>900.83635305600001</c:v>
                </c:pt>
                <c:pt idx="71">
                  <c:v>900.90934356900004</c:v>
                </c:pt>
                <c:pt idx="72">
                  <c:v>900.80660298600003</c:v>
                </c:pt>
                <c:pt idx="73">
                  <c:v>900.82142730500004</c:v>
                </c:pt>
                <c:pt idx="74">
                  <c:v>900.79100047300005</c:v>
                </c:pt>
                <c:pt idx="75">
                  <c:v>900.75853393700004</c:v>
                </c:pt>
                <c:pt idx="76">
                  <c:v>900.76472361699996</c:v>
                </c:pt>
                <c:pt idx="77">
                  <c:v>900.77883002900001</c:v>
                </c:pt>
                <c:pt idx="78">
                  <c:v>900.77204425399998</c:v>
                </c:pt>
                <c:pt idx="79">
                  <c:v>900.79645935400004</c:v>
                </c:pt>
                <c:pt idx="80">
                  <c:v>900.81749189799996</c:v>
                </c:pt>
                <c:pt idx="81">
                  <c:v>900.74484856499998</c:v>
                </c:pt>
                <c:pt idx="82">
                  <c:v>901.05195798</c:v>
                </c:pt>
                <c:pt idx="83">
                  <c:v>901.05123140499995</c:v>
                </c:pt>
                <c:pt idx="84">
                  <c:v>901.05960575999995</c:v>
                </c:pt>
                <c:pt idx="85">
                  <c:v>901.06978000000004</c:v>
                </c:pt>
                <c:pt idx="86">
                  <c:v>901.12103751200004</c:v>
                </c:pt>
                <c:pt idx="87">
                  <c:v>901.16072678099999</c:v>
                </c:pt>
                <c:pt idx="88">
                  <c:v>901.089346503</c:v>
                </c:pt>
                <c:pt idx="89">
                  <c:v>900.85193613499996</c:v>
                </c:pt>
              </c:numCache>
            </c:numRef>
          </c:yVal>
          <c:smooth val="0"/>
          <c:extLst>
            <c:ext xmlns:c16="http://schemas.microsoft.com/office/drawing/2014/chart" uri="{C3380CC4-5D6E-409C-BE32-E72D297353CC}">
              <c16:uniqueId val="{00000000-93C2-402A-B966-5F84F0A2DBC3}"/>
            </c:ext>
          </c:extLst>
        </c:ser>
        <c:dLbls>
          <c:showLegendKey val="0"/>
          <c:showVal val="0"/>
          <c:showCatName val="0"/>
          <c:showSerName val="0"/>
          <c:showPercent val="0"/>
          <c:showBubbleSize val="0"/>
        </c:dLbls>
        <c:axId val="1147580400"/>
        <c:axId val="726720352"/>
      </c:scatterChart>
      <c:valAx>
        <c:axId val="114758040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20352"/>
        <c:crosses val="autoZero"/>
        <c:crossBetween val="midCat"/>
      </c:valAx>
      <c:valAx>
        <c:axId val="72672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5804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'XFTA-CCF'!$H$1</c:f>
              <c:strCache>
                <c:ptCount val="1"/>
                <c:pt idx="0">
                  <c:v>Memory (MB)</c:v>
                </c:pt>
              </c:strCache>
            </c:strRef>
          </c:tx>
          <c:spPr>
            <a:ln w="19050" cap="rnd">
              <a:noFill/>
              <a:round/>
            </a:ln>
            <a:effectLst/>
          </c:spPr>
          <c:marker>
            <c:symbol val="circle"/>
            <c:size val="5"/>
            <c:spPr>
              <a:solidFill>
                <a:schemeClr val="accent1"/>
              </a:solidFill>
              <a:ln w="9525">
                <a:solidFill>
                  <a:schemeClr val="accent1"/>
                </a:solidFill>
              </a:ln>
              <a:effectLst/>
            </c:spPr>
          </c:marker>
          <c:xVal>
            <c:strRef>
              <c:f>'XFTA-CCF'!$D$2:$D$91</c:f>
              <c:strCache>
                <c:ptCount val="90"/>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ccf6-600-05</c:v>
                </c:pt>
                <c:pt idx="51">
                  <c:v>ccf7-600-05</c:v>
                </c:pt>
                <c:pt idx="52">
                  <c:v>ccf8-600-05</c:v>
                </c:pt>
                <c:pt idx="53">
                  <c:v>ccf9-600-05</c:v>
                </c:pt>
                <c:pt idx="54">
                  <c:v>ccf1-700-05</c:v>
                </c:pt>
                <c:pt idx="55">
                  <c:v>ccf2-700-05</c:v>
                </c:pt>
                <c:pt idx="56">
                  <c:v>ccf3-700-05</c:v>
                </c:pt>
                <c:pt idx="57">
                  <c:v>ccf4-700-05</c:v>
                </c:pt>
                <c:pt idx="58">
                  <c:v>ccf5-700-05</c:v>
                </c:pt>
                <c:pt idx="59">
                  <c:v>ccf6-700-05</c:v>
                </c:pt>
                <c:pt idx="60">
                  <c:v>ccf7-700-05</c:v>
                </c:pt>
                <c:pt idx="61">
                  <c:v>ccf8-700-05</c:v>
                </c:pt>
                <c:pt idx="62">
                  <c:v>ccf9-700-05</c:v>
                </c:pt>
                <c:pt idx="63">
                  <c:v>ccf1-800-05</c:v>
                </c:pt>
                <c:pt idx="64">
                  <c:v>ccf2-800-05</c:v>
                </c:pt>
                <c:pt idx="65">
                  <c:v>ccf3-800-05</c:v>
                </c:pt>
                <c:pt idx="66">
                  <c:v>ccf4-800-05</c:v>
                </c:pt>
                <c:pt idx="67">
                  <c:v>ccf5-800-05</c:v>
                </c:pt>
                <c:pt idx="68">
                  <c:v>ccf6-800-05</c:v>
                </c:pt>
                <c:pt idx="69">
                  <c:v>ccf7-800-05</c:v>
                </c:pt>
                <c:pt idx="70">
                  <c:v>ccf8-800-05</c:v>
                </c:pt>
                <c:pt idx="71">
                  <c:v>ccf9-800-05</c:v>
                </c:pt>
                <c:pt idx="72">
                  <c:v>ccf1-900-05</c:v>
                </c:pt>
                <c:pt idx="73">
                  <c:v>ccf2-900-05</c:v>
                </c:pt>
                <c:pt idx="74">
                  <c:v>ccf3-900-05</c:v>
                </c:pt>
                <c:pt idx="75">
                  <c:v>ccf4-900-05</c:v>
                </c:pt>
                <c:pt idx="76">
                  <c:v>ccf5-900-05</c:v>
                </c:pt>
                <c:pt idx="77">
                  <c:v>ccf6-900-05</c:v>
                </c:pt>
                <c:pt idx="78">
                  <c:v>ccf7-900-05</c:v>
                </c:pt>
                <c:pt idx="79">
                  <c:v>ccf8-900-05</c:v>
                </c:pt>
                <c:pt idx="80">
                  <c:v>ccf9-900-05</c:v>
                </c:pt>
                <c:pt idx="81">
                  <c:v>ccf1-1000-05</c:v>
                </c:pt>
                <c:pt idx="82">
                  <c:v>ccf2-1000-05</c:v>
                </c:pt>
                <c:pt idx="83">
                  <c:v>ccf3-1000-05</c:v>
                </c:pt>
                <c:pt idx="84">
                  <c:v>ccf4-1000-05</c:v>
                </c:pt>
                <c:pt idx="85">
                  <c:v>ccf5-1000-05</c:v>
                </c:pt>
                <c:pt idx="86">
                  <c:v>ccf6-1000-05</c:v>
                </c:pt>
                <c:pt idx="87">
                  <c:v>ccf7-1000-05</c:v>
                </c:pt>
                <c:pt idx="88">
                  <c:v>ccf8-1000-05</c:v>
                </c:pt>
                <c:pt idx="89">
                  <c:v>ccf9-1000-05</c:v>
                </c:pt>
              </c:strCache>
            </c:strRef>
          </c:xVal>
          <c:yVal>
            <c:numRef>
              <c:f>'XFTA-CCF'!$H$2:$H$91</c:f>
              <c:numCache>
                <c:formatCode>General</c:formatCode>
                <c:ptCount val="90"/>
                <c:pt idx="0">
                  <c:v>4.6284799999999997</c:v>
                </c:pt>
                <c:pt idx="1">
                  <c:v>45.707264000000002</c:v>
                </c:pt>
                <c:pt idx="2">
                  <c:v>415.62521600000002</c:v>
                </c:pt>
                <c:pt idx="3">
                  <c:v>5828.9233919999997</c:v>
                </c:pt>
                <c:pt idx="4">
                  <c:v>4755.5993600000002</c:v>
                </c:pt>
                <c:pt idx="5">
                  <c:v>4926.8244480000003</c:v>
                </c:pt>
                <c:pt idx="6">
                  <c:v>4829.175808</c:v>
                </c:pt>
                <c:pt idx="7">
                  <c:v>3386.6752000000001</c:v>
                </c:pt>
                <c:pt idx="8">
                  <c:v>29.409279999999999</c:v>
                </c:pt>
                <c:pt idx="9">
                  <c:v>13.348864000000001</c:v>
                </c:pt>
                <c:pt idx="10">
                  <c:v>168.78796800000001</c:v>
                </c:pt>
                <c:pt idx="11">
                  <c:v>1129.6890880000001</c:v>
                </c:pt>
                <c:pt idx="12">
                  <c:v>79.495168000000007</c:v>
                </c:pt>
                <c:pt idx="13">
                  <c:v>116.363264</c:v>
                </c:pt>
                <c:pt idx="14">
                  <c:v>1262.6862080000001</c:v>
                </c:pt>
                <c:pt idx="15">
                  <c:v>761.33990400000005</c:v>
                </c:pt>
                <c:pt idx="16">
                  <c:v>26.296320000000001</c:v>
                </c:pt>
                <c:pt idx="17">
                  <c:v>1808.8714239999999</c:v>
                </c:pt>
                <c:pt idx="18">
                  <c:v>105.435136</c:v>
                </c:pt>
                <c:pt idx="19">
                  <c:v>41.365504000000001</c:v>
                </c:pt>
                <c:pt idx="20">
                  <c:v>12.47232</c:v>
                </c:pt>
                <c:pt idx="21">
                  <c:v>15.736832</c:v>
                </c:pt>
                <c:pt idx="22">
                  <c:v>18.325503999999999</c:v>
                </c:pt>
                <c:pt idx="23">
                  <c:v>20.631551999999999</c:v>
                </c:pt>
                <c:pt idx="24">
                  <c:v>23.670784000000001</c:v>
                </c:pt>
                <c:pt idx="25">
                  <c:v>26.271744000000002</c:v>
                </c:pt>
                <c:pt idx="26">
                  <c:v>128.67583999999999</c:v>
                </c:pt>
                <c:pt idx="27">
                  <c:v>2492.7846399999999</c:v>
                </c:pt>
                <c:pt idx="28">
                  <c:v>478.36364800000001</c:v>
                </c:pt>
                <c:pt idx="29">
                  <c:v>1893.597184</c:v>
                </c:pt>
                <c:pt idx="30">
                  <c:v>1829.1507200000001</c:v>
                </c:pt>
                <c:pt idx="31">
                  <c:v>2269.2126720000001</c:v>
                </c:pt>
                <c:pt idx="32">
                  <c:v>1834.4427519999999</c:v>
                </c:pt>
                <c:pt idx="33">
                  <c:v>1702.3754240000001</c:v>
                </c:pt>
                <c:pt idx="34">
                  <c:v>1604.8660480000001</c:v>
                </c:pt>
                <c:pt idx="35">
                  <c:v>5507.7928959999999</c:v>
                </c:pt>
                <c:pt idx="36">
                  <c:v>441.64710400000001</c:v>
                </c:pt>
                <c:pt idx="37">
                  <c:v>2562.7484159999999</c:v>
                </c:pt>
                <c:pt idx="38">
                  <c:v>2767.2371199999998</c:v>
                </c:pt>
                <c:pt idx="39">
                  <c:v>6738.0674559999998</c:v>
                </c:pt>
                <c:pt idx="40">
                  <c:v>1058.4227840000001</c:v>
                </c:pt>
                <c:pt idx="41">
                  <c:v>4087.7588479999999</c:v>
                </c:pt>
                <c:pt idx="42">
                  <c:v>4594.921472</c:v>
                </c:pt>
                <c:pt idx="43">
                  <c:v>4396.2122239999999</c:v>
                </c:pt>
                <c:pt idx="44">
                  <c:v>801.652736</c:v>
                </c:pt>
                <c:pt idx="45">
                  <c:v>5082.2840319999996</c:v>
                </c:pt>
                <c:pt idx="46">
                  <c:v>4345.7699839999996</c:v>
                </c:pt>
                <c:pt idx="47">
                  <c:v>4045.963264</c:v>
                </c:pt>
                <c:pt idx="48">
                  <c:v>2535.5960319999999</c:v>
                </c:pt>
                <c:pt idx="49">
                  <c:v>3009.0649600000002</c:v>
                </c:pt>
                <c:pt idx="50">
                  <c:v>5466.2758400000002</c:v>
                </c:pt>
                <c:pt idx="51">
                  <c:v>5503.1070719999998</c:v>
                </c:pt>
                <c:pt idx="52">
                  <c:v>4496.9205760000004</c:v>
                </c:pt>
                <c:pt idx="53">
                  <c:v>94.613504000000006</c:v>
                </c:pt>
                <c:pt idx="54">
                  <c:v>2291.8635519999998</c:v>
                </c:pt>
                <c:pt idx="55">
                  <c:v>2261.2664319999999</c:v>
                </c:pt>
                <c:pt idx="56">
                  <c:v>1893.9166720000001</c:v>
                </c:pt>
                <c:pt idx="57">
                  <c:v>1930.391552</c:v>
                </c:pt>
                <c:pt idx="58">
                  <c:v>2403.5532800000001</c:v>
                </c:pt>
                <c:pt idx="59">
                  <c:v>2372.6243840000002</c:v>
                </c:pt>
                <c:pt idx="60">
                  <c:v>2778.7796480000002</c:v>
                </c:pt>
                <c:pt idx="61">
                  <c:v>2747.5599360000001</c:v>
                </c:pt>
                <c:pt idx="62">
                  <c:v>2951.5571199999999</c:v>
                </c:pt>
                <c:pt idx="63">
                  <c:v>2191.085568</c:v>
                </c:pt>
                <c:pt idx="64">
                  <c:v>2193.4981120000002</c:v>
                </c:pt>
                <c:pt idx="65">
                  <c:v>1860.3786239999999</c:v>
                </c:pt>
                <c:pt idx="66">
                  <c:v>1997.443072</c:v>
                </c:pt>
                <c:pt idx="67">
                  <c:v>1865.527296</c:v>
                </c:pt>
                <c:pt idx="68">
                  <c:v>2103.5376639999999</c:v>
                </c:pt>
                <c:pt idx="69">
                  <c:v>2106.4704000000002</c:v>
                </c:pt>
                <c:pt idx="70">
                  <c:v>2109.1246080000001</c:v>
                </c:pt>
                <c:pt idx="71">
                  <c:v>4532.7974400000003</c:v>
                </c:pt>
                <c:pt idx="72">
                  <c:v>3166.26944</c:v>
                </c:pt>
                <c:pt idx="73">
                  <c:v>2093.1993600000001</c:v>
                </c:pt>
                <c:pt idx="74">
                  <c:v>2096.1484799999998</c:v>
                </c:pt>
                <c:pt idx="75">
                  <c:v>989.06521599999996</c:v>
                </c:pt>
                <c:pt idx="76">
                  <c:v>1025.3967359999999</c:v>
                </c:pt>
                <c:pt idx="77">
                  <c:v>1431.6134400000001</c:v>
                </c:pt>
                <c:pt idx="78">
                  <c:v>1535.4265600000001</c:v>
                </c:pt>
                <c:pt idx="79">
                  <c:v>1538.1790719999999</c:v>
                </c:pt>
                <c:pt idx="80">
                  <c:v>1742.2909440000001</c:v>
                </c:pt>
                <c:pt idx="81">
                  <c:v>73.23648</c:v>
                </c:pt>
                <c:pt idx="82">
                  <c:v>7204.6878720000004</c:v>
                </c:pt>
                <c:pt idx="83">
                  <c:v>7342.178304</c:v>
                </c:pt>
                <c:pt idx="84">
                  <c:v>7849.6972800000003</c:v>
                </c:pt>
                <c:pt idx="85">
                  <c:v>8054.1900800000003</c:v>
                </c:pt>
                <c:pt idx="86">
                  <c:v>8830.1568000000007</c:v>
                </c:pt>
                <c:pt idx="87">
                  <c:v>10211.606528</c:v>
                </c:pt>
                <c:pt idx="88">
                  <c:v>9911.5171840000003</c:v>
                </c:pt>
                <c:pt idx="89">
                  <c:v>2718.4005120000002</c:v>
                </c:pt>
              </c:numCache>
            </c:numRef>
          </c:yVal>
          <c:smooth val="0"/>
          <c:extLst>
            <c:ext xmlns:c16="http://schemas.microsoft.com/office/drawing/2014/chart" uri="{C3380CC4-5D6E-409C-BE32-E72D297353CC}">
              <c16:uniqueId val="{00000000-0ABE-45D8-9596-300E3B3BBA5A}"/>
            </c:ext>
          </c:extLst>
        </c:ser>
        <c:dLbls>
          <c:showLegendKey val="0"/>
          <c:showVal val="0"/>
          <c:showCatName val="0"/>
          <c:showSerName val="0"/>
          <c:showPercent val="0"/>
          <c:showBubbleSize val="0"/>
        </c:dLbls>
        <c:axId val="1490848304"/>
        <c:axId val="1499640320"/>
      </c:scatterChart>
      <c:valAx>
        <c:axId val="149084830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640320"/>
        <c:crosses val="autoZero"/>
        <c:crossBetween val="midCat"/>
      </c:valAx>
      <c:valAx>
        <c:axId val="149964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8483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SAPHIRE!$F$1</c:f>
              <c:strCache>
                <c:ptCount val="1"/>
                <c:pt idx="0">
                  <c:v>CPU Time (Sec)</c:v>
                </c:pt>
              </c:strCache>
            </c:strRef>
          </c:tx>
          <c:spPr>
            <a:ln w="19050" cap="rnd">
              <a:noFill/>
              <a:round/>
            </a:ln>
            <a:effectLst/>
          </c:spPr>
          <c:marker>
            <c:symbol val="circle"/>
            <c:size val="5"/>
            <c:spPr>
              <a:solidFill>
                <a:schemeClr val="accent1"/>
              </a:solidFill>
              <a:ln w="9525">
                <a:solidFill>
                  <a:schemeClr val="accent1"/>
                </a:solidFill>
              </a:ln>
              <a:effectLst/>
            </c:spPr>
          </c:marker>
          <c:xVal>
            <c:strRef>
              <c:f>SAPHIRE!$D$2:$D$172</c:f>
              <c:strCache>
                <c:ptCount val="171"/>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8000-05</c:v>
                </c:pt>
                <c:pt idx="149">
                  <c:v>8000-06</c:v>
                </c:pt>
                <c:pt idx="150">
                  <c:v>8000-07</c:v>
                </c:pt>
                <c:pt idx="151">
                  <c:v>8000-08</c:v>
                </c:pt>
                <c:pt idx="152">
                  <c:v>8000-09</c:v>
                </c:pt>
                <c:pt idx="153">
                  <c:v>9000-01</c:v>
                </c:pt>
                <c:pt idx="154">
                  <c:v>9000-02</c:v>
                </c:pt>
                <c:pt idx="155">
                  <c:v>9000-03</c:v>
                </c:pt>
                <c:pt idx="156">
                  <c:v>9000-04</c:v>
                </c:pt>
                <c:pt idx="157">
                  <c:v>9000-05</c:v>
                </c:pt>
                <c:pt idx="158">
                  <c:v>9000-06</c:v>
                </c:pt>
                <c:pt idx="159">
                  <c:v>9000-07</c:v>
                </c:pt>
                <c:pt idx="160">
                  <c:v>9000-08</c:v>
                </c:pt>
                <c:pt idx="161">
                  <c:v>9000-09</c:v>
                </c:pt>
                <c:pt idx="162">
                  <c:v>10000-01</c:v>
                </c:pt>
                <c:pt idx="163">
                  <c:v>10000-02</c:v>
                </c:pt>
                <c:pt idx="164">
                  <c:v>10000-03</c:v>
                </c:pt>
                <c:pt idx="165">
                  <c:v>10000-04</c:v>
                </c:pt>
                <c:pt idx="166">
                  <c:v>10000-05</c:v>
                </c:pt>
                <c:pt idx="167">
                  <c:v>10000-06</c:v>
                </c:pt>
                <c:pt idx="168">
                  <c:v>10000-07</c:v>
                </c:pt>
                <c:pt idx="169">
                  <c:v>10000-08</c:v>
                </c:pt>
                <c:pt idx="170">
                  <c:v>10000-09</c:v>
                </c:pt>
              </c:strCache>
            </c:strRef>
          </c:xVal>
          <c:yVal>
            <c:numRef>
              <c:f>SAPHIRE!$F$2:$F$172</c:f>
              <c:numCache>
                <c:formatCode>General</c:formatCode>
                <c:ptCount val="171"/>
                <c:pt idx="0">
                  <c:v>0.71710586899999995</c:v>
                </c:pt>
                <c:pt idx="1">
                  <c:v>0.77282153899999995</c:v>
                </c:pt>
                <c:pt idx="2">
                  <c:v>0.69587020300000002</c:v>
                </c:pt>
                <c:pt idx="3">
                  <c:v>0.72679737099999997</c:v>
                </c:pt>
                <c:pt idx="4">
                  <c:v>0.69602752400000001</c:v>
                </c:pt>
                <c:pt idx="5">
                  <c:v>0.72603528500000003</c:v>
                </c:pt>
                <c:pt idx="6">
                  <c:v>0.79731789200000003</c:v>
                </c:pt>
                <c:pt idx="7">
                  <c:v>2.0490610810000001</c:v>
                </c:pt>
                <c:pt idx="8">
                  <c:v>1.100666763</c:v>
                </c:pt>
                <c:pt idx="9">
                  <c:v>43.019294616000003</c:v>
                </c:pt>
                <c:pt idx="10">
                  <c:v>3.372955159</c:v>
                </c:pt>
                <c:pt idx="11">
                  <c:v>1.090108571</c:v>
                </c:pt>
                <c:pt idx="12">
                  <c:v>5.9707260900000003</c:v>
                </c:pt>
                <c:pt idx="13">
                  <c:v>1.5522600259999999</c:v>
                </c:pt>
                <c:pt idx="14">
                  <c:v>3.8128432609999998</c:v>
                </c:pt>
                <c:pt idx="15">
                  <c:v>5.0076434150000004</c:v>
                </c:pt>
                <c:pt idx="16">
                  <c:v>77.954111585000007</c:v>
                </c:pt>
                <c:pt idx="17">
                  <c:v>900.95939322699996</c:v>
                </c:pt>
                <c:pt idx="18">
                  <c:v>386.46762659500001</c:v>
                </c:pt>
                <c:pt idx="19">
                  <c:v>17.868869549999999</c:v>
                </c:pt>
                <c:pt idx="20">
                  <c:v>5.0072153869999996</c:v>
                </c:pt>
                <c:pt idx="21">
                  <c:v>2.5518123130000001</c:v>
                </c:pt>
                <c:pt idx="22">
                  <c:v>2.790646781</c:v>
                </c:pt>
                <c:pt idx="23">
                  <c:v>2.9147318680000001</c:v>
                </c:pt>
                <c:pt idx="24">
                  <c:v>3.2738033849999999</c:v>
                </c:pt>
                <c:pt idx="25">
                  <c:v>3.6128492859999999</c:v>
                </c:pt>
                <c:pt idx="26">
                  <c:v>3.9170839059999998</c:v>
                </c:pt>
                <c:pt idx="27">
                  <c:v>0.75492707599999997</c:v>
                </c:pt>
                <c:pt idx="28">
                  <c:v>3.3488716709999999</c:v>
                </c:pt>
                <c:pt idx="29">
                  <c:v>9.2423774989999998</c:v>
                </c:pt>
                <c:pt idx="30">
                  <c:v>0.73296014499999995</c:v>
                </c:pt>
                <c:pt idx="31">
                  <c:v>4.5841748420000004</c:v>
                </c:pt>
                <c:pt idx="32">
                  <c:v>10.315676890000001</c:v>
                </c:pt>
                <c:pt idx="33">
                  <c:v>4.1296645779999999</c:v>
                </c:pt>
                <c:pt idx="34">
                  <c:v>2.2318648830000001</c:v>
                </c:pt>
                <c:pt idx="35">
                  <c:v>7.9006030770000004</c:v>
                </c:pt>
                <c:pt idx="36">
                  <c:v>901.00262236799995</c:v>
                </c:pt>
                <c:pt idx="37">
                  <c:v>19.129095319000001</c:v>
                </c:pt>
                <c:pt idx="38">
                  <c:v>8.5361171549999995</c:v>
                </c:pt>
                <c:pt idx="39">
                  <c:v>3.4232178310000001</c:v>
                </c:pt>
                <c:pt idx="40">
                  <c:v>36.860607317000003</c:v>
                </c:pt>
                <c:pt idx="41">
                  <c:v>6.6546814369999998</c:v>
                </c:pt>
                <c:pt idx="42">
                  <c:v>10.140750429000001</c:v>
                </c:pt>
                <c:pt idx="43">
                  <c:v>3.3104230970000001</c:v>
                </c:pt>
                <c:pt idx="44">
                  <c:v>1.4225499850000001</c:v>
                </c:pt>
                <c:pt idx="45">
                  <c:v>3.0625825660000001</c:v>
                </c:pt>
                <c:pt idx="46">
                  <c:v>17.992092994</c:v>
                </c:pt>
                <c:pt idx="47">
                  <c:v>4.2657254929999997</c:v>
                </c:pt>
                <c:pt idx="48">
                  <c:v>19.000774070999999</c:v>
                </c:pt>
                <c:pt idx="49">
                  <c:v>8.1565932839999995</c:v>
                </c:pt>
                <c:pt idx="50">
                  <c:v>2.3523423960000001</c:v>
                </c:pt>
                <c:pt idx="51">
                  <c:v>10.08853263</c:v>
                </c:pt>
                <c:pt idx="52">
                  <c:v>6.0342137999999998</c:v>
                </c:pt>
                <c:pt idx="53">
                  <c:v>9.54085362</c:v>
                </c:pt>
                <c:pt idx="54">
                  <c:v>1.630637753</c:v>
                </c:pt>
                <c:pt idx="55">
                  <c:v>249.778788058</c:v>
                </c:pt>
                <c:pt idx="56">
                  <c:v>901.00285766599995</c:v>
                </c:pt>
                <c:pt idx="57">
                  <c:v>10.600816012999999</c:v>
                </c:pt>
                <c:pt idx="58">
                  <c:v>379.573301485</c:v>
                </c:pt>
                <c:pt idx="59">
                  <c:v>3.6487993150000002</c:v>
                </c:pt>
                <c:pt idx="60">
                  <c:v>175.91233641700001</c:v>
                </c:pt>
                <c:pt idx="61">
                  <c:v>3.861547474</c:v>
                </c:pt>
                <c:pt idx="62">
                  <c:v>1.652311088</c:v>
                </c:pt>
                <c:pt idx="63">
                  <c:v>1.6812013109999999</c:v>
                </c:pt>
                <c:pt idx="64">
                  <c:v>4.0560213410000001</c:v>
                </c:pt>
                <c:pt idx="65">
                  <c:v>208.61064935600001</c:v>
                </c:pt>
                <c:pt idx="66">
                  <c:v>8.2636919239999997</c:v>
                </c:pt>
                <c:pt idx="67">
                  <c:v>22.167029886000002</c:v>
                </c:pt>
                <c:pt idx="68">
                  <c:v>23.186125045000001</c:v>
                </c:pt>
                <c:pt idx="69">
                  <c:v>11.616902314000001</c:v>
                </c:pt>
                <c:pt idx="70">
                  <c:v>1.6724011860000001</c:v>
                </c:pt>
                <c:pt idx="71">
                  <c:v>7.2030850439999998</c:v>
                </c:pt>
                <c:pt idx="72">
                  <c:v>27.915372466000001</c:v>
                </c:pt>
                <c:pt idx="73">
                  <c:v>1.8467849839999999</c:v>
                </c:pt>
                <c:pt idx="74">
                  <c:v>2.4202663910000002</c:v>
                </c:pt>
                <c:pt idx="75">
                  <c:v>57.051538630000003</c:v>
                </c:pt>
                <c:pt idx="76">
                  <c:v>103.149447127</c:v>
                </c:pt>
                <c:pt idx="77">
                  <c:v>111.55004038200001</c:v>
                </c:pt>
                <c:pt idx="78">
                  <c:v>24.044454780999999</c:v>
                </c:pt>
                <c:pt idx="79">
                  <c:v>433.614890538</c:v>
                </c:pt>
                <c:pt idx="80">
                  <c:v>136.376746465</c:v>
                </c:pt>
                <c:pt idx="81">
                  <c:v>1.289960448</c:v>
                </c:pt>
                <c:pt idx="82">
                  <c:v>1.376424893</c:v>
                </c:pt>
                <c:pt idx="83">
                  <c:v>4.4116248149999997</c:v>
                </c:pt>
                <c:pt idx="84">
                  <c:v>464.110731719</c:v>
                </c:pt>
                <c:pt idx="85">
                  <c:v>8.4246327500000007</c:v>
                </c:pt>
                <c:pt idx="86">
                  <c:v>15.632745253</c:v>
                </c:pt>
                <c:pt idx="87">
                  <c:v>35.124774643000002</c:v>
                </c:pt>
                <c:pt idx="88">
                  <c:v>63.292857503</c:v>
                </c:pt>
                <c:pt idx="89">
                  <c:v>13.503172579999999</c:v>
                </c:pt>
                <c:pt idx="90">
                  <c:v>2.597786696</c:v>
                </c:pt>
                <c:pt idx="91">
                  <c:v>22.303463553</c:v>
                </c:pt>
                <c:pt idx="92">
                  <c:v>1.6289573530000001</c:v>
                </c:pt>
                <c:pt idx="93">
                  <c:v>22.267642677000001</c:v>
                </c:pt>
                <c:pt idx="94">
                  <c:v>4.940772173</c:v>
                </c:pt>
                <c:pt idx="95">
                  <c:v>3.6113394379999999</c:v>
                </c:pt>
                <c:pt idx="96">
                  <c:v>18.365164542999999</c:v>
                </c:pt>
                <c:pt idx="97">
                  <c:v>2.3857388880000001</c:v>
                </c:pt>
                <c:pt idx="98">
                  <c:v>2.729619005</c:v>
                </c:pt>
                <c:pt idx="99">
                  <c:v>62.037579116000003</c:v>
                </c:pt>
                <c:pt idx="100">
                  <c:v>3.1604067979999999</c:v>
                </c:pt>
                <c:pt idx="101">
                  <c:v>4.6546636120000002</c:v>
                </c:pt>
                <c:pt idx="102">
                  <c:v>14.128008455</c:v>
                </c:pt>
                <c:pt idx="103">
                  <c:v>35.649955820999999</c:v>
                </c:pt>
                <c:pt idx="104">
                  <c:v>17.664125491</c:v>
                </c:pt>
                <c:pt idx="105">
                  <c:v>198.69364060699999</c:v>
                </c:pt>
                <c:pt idx="106">
                  <c:v>16.291076357000001</c:v>
                </c:pt>
                <c:pt idx="107">
                  <c:v>21.715078884</c:v>
                </c:pt>
                <c:pt idx="108">
                  <c:v>53.898992434999997</c:v>
                </c:pt>
                <c:pt idx="109">
                  <c:v>12.868860476</c:v>
                </c:pt>
                <c:pt idx="110">
                  <c:v>900.44184959400002</c:v>
                </c:pt>
                <c:pt idx="111">
                  <c:v>6.0397597459999997</c:v>
                </c:pt>
                <c:pt idx="112">
                  <c:v>140.63105129600001</c:v>
                </c:pt>
                <c:pt idx="113">
                  <c:v>14.773230993</c:v>
                </c:pt>
                <c:pt idx="114">
                  <c:v>26.283063145</c:v>
                </c:pt>
                <c:pt idx="115">
                  <c:v>5.7478327159999996</c:v>
                </c:pt>
                <c:pt idx="116">
                  <c:v>146.62841387700001</c:v>
                </c:pt>
                <c:pt idx="117">
                  <c:v>24.339470887000001</c:v>
                </c:pt>
                <c:pt idx="118">
                  <c:v>2.8535741489999999</c:v>
                </c:pt>
                <c:pt idx="119">
                  <c:v>133.571838238</c:v>
                </c:pt>
                <c:pt idx="120">
                  <c:v>1.359579461</c:v>
                </c:pt>
                <c:pt idx="121">
                  <c:v>43.585745586000002</c:v>
                </c:pt>
                <c:pt idx="122">
                  <c:v>6.7601678649999997</c:v>
                </c:pt>
                <c:pt idx="123">
                  <c:v>3.047682451</c:v>
                </c:pt>
                <c:pt idx="124">
                  <c:v>3.8840626669999998</c:v>
                </c:pt>
                <c:pt idx="125">
                  <c:v>4.6231359830000001</c:v>
                </c:pt>
                <c:pt idx="126">
                  <c:v>23.815116099000001</c:v>
                </c:pt>
                <c:pt idx="127">
                  <c:v>600.803342219</c:v>
                </c:pt>
                <c:pt idx="128">
                  <c:v>10.592432832</c:v>
                </c:pt>
                <c:pt idx="129">
                  <c:v>901.003196452</c:v>
                </c:pt>
                <c:pt idx="130">
                  <c:v>900.05046976899996</c:v>
                </c:pt>
                <c:pt idx="131">
                  <c:v>4.4251481720000001</c:v>
                </c:pt>
                <c:pt idx="132">
                  <c:v>901.00234471800002</c:v>
                </c:pt>
                <c:pt idx="133">
                  <c:v>901.00339124200002</c:v>
                </c:pt>
                <c:pt idx="134">
                  <c:v>13.941323619</c:v>
                </c:pt>
                <c:pt idx="135">
                  <c:v>13.794756867</c:v>
                </c:pt>
                <c:pt idx="136">
                  <c:v>30.972836892</c:v>
                </c:pt>
                <c:pt idx="137">
                  <c:v>5.1756050079999998</c:v>
                </c:pt>
                <c:pt idx="138">
                  <c:v>65.515282455999994</c:v>
                </c:pt>
                <c:pt idx="139">
                  <c:v>6.0062686709999999</c:v>
                </c:pt>
                <c:pt idx="140">
                  <c:v>3.7792813179999998</c:v>
                </c:pt>
                <c:pt idx="141">
                  <c:v>107.979159994</c:v>
                </c:pt>
                <c:pt idx="142">
                  <c:v>4.185578317</c:v>
                </c:pt>
                <c:pt idx="143">
                  <c:v>4.0805743440000004</c:v>
                </c:pt>
                <c:pt idx="144">
                  <c:v>6.2135849309999998</c:v>
                </c:pt>
                <c:pt idx="145">
                  <c:v>1.0427747030000001</c:v>
                </c:pt>
                <c:pt idx="146">
                  <c:v>1.0727561999999999</c:v>
                </c:pt>
                <c:pt idx="147">
                  <c:v>1.1369246820000001</c:v>
                </c:pt>
                <c:pt idx="148">
                  <c:v>1.0679179130000001</c:v>
                </c:pt>
                <c:pt idx="149">
                  <c:v>1.1455373950000001</c:v>
                </c:pt>
                <c:pt idx="150">
                  <c:v>1.145083085</c:v>
                </c:pt>
                <c:pt idx="151">
                  <c:v>1.2227891280000001</c:v>
                </c:pt>
                <c:pt idx="152">
                  <c:v>1.2415517599999999</c:v>
                </c:pt>
                <c:pt idx="153">
                  <c:v>0.61179676900000002</c:v>
                </c:pt>
                <c:pt idx="154">
                  <c:v>0.59930124699999998</c:v>
                </c:pt>
                <c:pt idx="155">
                  <c:v>0.64983621199999997</c:v>
                </c:pt>
                <c:pt idx="156">
                  <c:v>0.59855913299999997</c:v>
                </c:pt>
                <c:pt idx="157">
                  <c:v>0.58014813799999998</c:v>
                </c:pt>
                <c:pt idx="158">
                  <c:v>0.56506208400000002</c:v>
                </c:pt>
                <c:pt idx="159">
                  <c:v>0.568825303</c:v>
                </c:pt>
                <c:pt idx="160">
                  <c:v>0.55977568700000002</c:v>
                </c:pt>
                <c:pt idx="161">
                  <c:v>0.65452885199999999</c:v>
                </c:pt>
                <c:pt idx="162">
                  <c:v>1.2533375659999999</c:v>
                </c:pt>
                <c:pt idx="163">
                  <c:v>1.2205416280000001</c:v>
                </c:pt>
                <c:pt idx="164">
                  <c:v>1.2508747259999999</c:v>
                </c:pt>
                <c:pt idx="165">
                  <c:v>1.2764500759999999</c:v>
                </c:pt>
                <c:pt idx="166">
                  <c:v>1.260143163</c:v>
                </c:pt>
                <c:pt idx="167">
                  <c:v>1.345610129</c:v>
                </c:pt>
                <c:pt idx="168">
                  <c:v>1.3474661489999999</c:v>
                </c:pt>
                <c:pt idx="169">
                  <c:v>3.3874837100000001</c:v>
                </c:pt>
                <c:pt idx="170">
                  <c:v>3.3978079609999998</c:v>
                </c:pt>
              </c:numCache>
            </c:numRef>
          </c:yVal>
          <c:smooth val="0"/>
          <c:extLst>
            <c:ext xmlns:c16="http://schemas.microsoft.com/office/drawing/2014/chart" uri="{C3380CC4-5D6E-409C-BE32-E72D297353CC}">
              <c16:uniqueId val="{00000000-286B-422B-9511-E984ED94FD75}"/>
            </c:ext>
          </c:extLst>
        </c:ser>
        <c:dLbls>
          <c:showLegendKey val="0"/>
          <c:showVal val="0"/>
          <c:showCatName val="0"/>
          <c:showSerName val="0"/>
          <c:showPercent val="0"/>
          <c:showBubbleSize val="0"/>
        </c:dLbls>
        <c:axId val="1145403376"/>
        <c:axId val="1657905872"/>
      </c:scatterChart>
      <c:valAx>
        <c:axId val="1145403376"/>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905872"/>
        <c:crosses val="autoZero"/>
        <c:crossBetween val="midCat"/>
      </c:valAx>
      <c:valAx>
        <c:axId val="1657905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CPU</a:t>
                </a:r>
                <a:r>
                  <a:rPr lang="en-US" baseline="0"/>
                  <a:t> time (sec)</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403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SAPHIRE-NON-CCF)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SAPHIRE!$H$1</c:f>
              <c:strCache>
                <c:ptCount val="1"/>
                <c:pt idx="0">
                  <c:v>Memory (MB)</c:v>
                </c:pt>
              </c:strCache>
            </c:strRef>
          </c:tx>
          <c:spPr>
            <a:ln w="19050" cap="rnd">
              <a:noFill/>
              <a:round/>
            </a:ln>
            <a:effectLst/>
          </c:spPr>
          <c:marker>
            <c:symbol val="circle"/>
            <c:size val="5"/>
            <c:spPr>
              <a:solidFill>
                <a:schemeClr val="accent1"/>
              </a:solidFill>
              <a:ln w="9525">
                <a:solidFill>
                  <a:schemeClr val="accent1"/>
                </a:solidFill>
              </a:ln>
              <a:effectLst/>
            </c:spPr>
          </c:marker>
          <c:xVal>
            <c:strRef>
              <c:f>SAPHIRE!$D$2:$D$172</c:f>
              <c:strCache>
                <c:ptCount val="171"/>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8000-05</c:v>
                </c:pt>
                <c:pt idx="149">
                  <c:v>8000-06</c:v>
                </c:pt>
                <c:pt idx="150">
                  <c:v>8000-07</c:v>
                </c:pt>
                <c:pt idx="151">
                  <c:v>8000-08</c:v>
                </c:pt>
                <c:pt idx="152">
                  <c:v>8000-09</c:v>
                </c:pt>
                <c:pt idx="153">
                  <c:v>9000-01</c:v>
                </c:pt>
                <c:pt idx="154">
                  <c:v>9000-02</c:v>
                </c:pt>
                <c:pt idx="155">
                  <c:v>9000-03</c:v>
                </c:pt>
                <c:pt idx="156">
                  <c:v>9000-04</c:v>
                </c:pt>
                <c:pt idx="157">
                  <c:v>9000-05</c:v>
                </c:pt>
                <c:pt idx="158">
                  <c:v>9000-06</c:v>
                </c:pt>
                <c:pt idx="159">
                  <c:v>9000-07</c:v>
                </c:pt>
                <c:pt idx="160">
                  <c:v>9000-08</c:v>
                </c:pt>
                <c:pt idx="161">
                  <c:v>9000-09</c:v>
                </c:pt>
                <c:pt idx="162">
                  <c:v>10000-01</c:v>
                </c:pt>
                <c:pt idx="163">
                  <c:v>10000-02</c:v>
                </c:pt>
                <c:pt idx="164">
                  <c:v>10000-03</c:v>
                </c:pt>
                <c:pt idx="165">
                  <c:v>10000-04</c:v>
                </c:pt>
                <c:pt idx="166">
                  <c:v>10000-05</c:v>
                </c:pt>
                <c:pt idx="167">
                  <c:v>10000-06</c:v>
                </c:pt>
                <c:pt idx="168">
                  <c:v>10000-07</c:v>
                </c:pt>
                <c:pt idx="169">
                  <c:v>10000-08</c:v>
                </c:pt>
                <c:pt idx="170">
                  <c:v>10000-09</c:v>
                </c:pt>
              </c:strCache>
            </c:strRef>
          </c:xVal>
          <c:yVal>
            <c:numRef>
              <c:f>SAPHIRE!$H$2:$H$172</c:f>
              <c:numCache>
                <c:formatCode>General</c:formatCode>
                <c:ptCount val="171"/>
                <c:pt idx="0">
                  <c:v>4.0960000000000001</c:v>
                </c:pt>
                <c:pt idx="1">
                  <c:v>4.4851200000000002</c:v>
                </c:pt>
                <c:pt idx="2">
                  <c:v>4.0222720000000001</c:v>
                </c:pt>
                <c:pt idx="3">
                  <c:v>4.1451520000000004</c:v>
                </c:pt>
                <c:pt idx="4">
                  <c:v>4.0427520000000001</c:v>
                </c:pt>
                <c:pt idx="5">
                  <c:v>4.1041920000000003</c:v>
                </c:pt>
                <c:pt idx="6">
                  <c:v>6.1276159999999997</c:v>
                </c:pt>
                <c:pt idx="7">
                  <c:v>9.1422720000000002</c:v>
                </c:pt>
                <c:pt idx="8">
                  <c:v>5.2142080000000002</c:v>
                </c:pt>
                <c:pt idx="9">
                  <c:v>10.944512</c:v>
                </c:pt>
                <c:pt idx="10">
                  <c:v>10.846208000000001</c:v>
                </c:pt>
                <c:pt idx="11">
                  <c:v>7.528448</c:v>
                </c:pt>
                <c:pt idx="12">
                  <c:v>16.273408</c:v>
                </c:pt>
                <c:pt idx="13">
                  <c:v>9.1709440000000004</c:v>
                </c:pt>
                <c:pt idx="14">
                  <c:v>10.911744000000001</c:v>
                </c:pt>
                <c:pt idx="15">
                  <c:v>11.20256</c:v>
                </c:pt>
                <c:pt idx="16">
                  <c:v>16.154623999999998</c:v>
                </c:pt>
                <c:pt idx="17">
                  <c:v>4.75136</c:v>
                </c:pt>
                <c:pt idx="18">
                  <c:v>29.216767999999998</c:v>
                </c:pt>
                <c:pt idx="19">
                  <c:v>19.693567999999999</c:v>
                </c:pt>
                <c:pt idx="20">
                  <c:v>18.571263999999999</c:v>
                </c:pt>
                <c:pt idx="21">
                  <c:v>17.465344000000002</c:v>
                </c:pt>
                <c:pt idx="22">
                  <c:v>18.251776</c:v>
                </c:pt>
                <c:pt idx="23">
                  <c:v>18.407423999999999</c:v>
                </c:pt>
                <c:pt idx="24">
                  <c:v>19.509247999999999</c:v>
                </c:pt>
                <c:pt idx="25">
                  <c:v>20.844543999999999</c:v>
                </c:pt>
                <c:pt idx="26">
                  <c:v>21.270527999999999</c:v>
                </c:pt>
                <c:pt idx="27">
                  <c:v>4.0837120000000002</c:v>
                </c:pt>
                <c:pt idx="28">
                  <c:v>9.3675519999999999</c:v>
                </c:pt>
                <c:pt idx="29">
                  <c:v>11.32544</c:v>
                </c:pt>
                <c:pt idx="30">
                  <c:v>4.3171840000000001</c:v>
                </c:pt>
                <c:pt idx="31">
                  <c:v>7.909376</c:v>
                </c:pt>
                <c:pt idx="32">
                  <c:v>13.729792</c:v>
                </c:pt>
                <c:pt idx="33">
                  <c:v>8.9374719999999996</c:v>
                </c:pt>
                <c:pt idx="34">
                  <c:v>8.8432639999999996</c:v>
                </c:pt>
                <c:pt idx="35">
                  <c:v>10.399744</c:v>
                </c:pt>
                <c:pt idx="36">
                  <c:v>5.5418880000000001</c:v>
                </c:pt>
                <c:pt idx="37">
                  <c:v>13.74208</c:v>
                </c:pt>
                <c:pt idx="38">
                  <c:v>11.784192000000001</c:v>
                </c:pt>
                <c:pt idx="39">
                  <c:v>9.8877439999999996</c:v>
                </c:pt>
                <c:pt idx="40">
                  <c:v>14.761984</c:v>
                </c:pt>
                <c:pt idx="41">
                  <c:v>10.014720000000001</c:v>
                </c:pt>
                <c:pt idx="42">
                  <c:v>11.948032</c:v>
                </c:pt>
                <c:pt idx="43">
                  <c:v>15.798272000000001</c:v>
                </c:pt>
                <c:pt idx="44">
                  <c:v>9.0030079999999995</c:v>
                </c:pt>
                <c:pt idx="45">
                  <c:v>9.2200959999999998</c:v>
                </c:pt>
                <c:pt idx="46">
                  <c:v>10.727423999999999</c:v>
                </c:pt>
                <c:pt idx="47">
                  <c:v>9.7361920000000008</c:v>
                </c:pt>
                <c:pt idx="48">
                  <c:v>11.747328</c:v>
                </c:pt>
                <c:pt idx="49">
                  <c:v>10.702847999999999</c:v>
                </c:pt>
                <c:pt idx="50">
                  <c:v>12.091392000000001</c:v>
                </c:pt>
                <c:pt idx="51">
                  <c:v>10.526719999999999</c:v>
                </c:pt>
                <c:pt idx="52">
                  <c:v>10.387456</c:v>
                </c:pt>
                <c:pt idx="53">
                  <c:v>8.7244799999999998</c:v>
                </c:pt>
                <c:pt idx="54">
                  <c:v>11.206656000000001</c:v>
                </c:pt>
                <c:pt idx="55">
                  <c:v>17.702912000000001</c:v>
                </c:pt>
                <c:pt idx="56">
                  <c:v>26.750976000000001</c:v>
                </c:pt>
                <c:pt idx="57">
                  <c:v>12.455935999999999</c:v>
                </c:pt>
                <c:pt idx="58">
                  <c:v>17.608703999999999</c:v>
                </c:pt>
                <c:pt idx="59">
                  <c:v>16.658432000000001</c:v>
                </c:pt>
                <c:pt idx="60">
                  <c:v>17.174527999999999</c:v>
                </c:pt>
                <c:pt idx="61">
                  <c:v>14.897152</c:v>
                </c:pt>
                <c:pt idx="62">
                  <c:v>8.5196799999999993</c:v>
                </c:pt>
                <c:pt idx="63">
                  <c:v>9.1996160000000007</c:v>
                </c:pt>
                <c:pt idx="64">
                  <c:v>10.633215999999999</c:v>
                </c:pt>
                <c:pt idx="65">
                  <c:v>17.006592000000001</c:v>
                </c:pt>
                <c:pt idx="66">
                  <c:v>10.391552000000001</c:v>
                </c:pt>
                <c:pt idx="67">
                  <c:v>10.354687999999999</c:v>
                </c:pt>
                <c:pt idx="68">
                  <c:v>9.2815359999999991</c:v>
                </c:pt>
                <c:pt idx="69">
                  <c:v>9.1791359999999997</c:v>
                </c:pt>
                <c:pt idx="70">
                  <c:v>10.993664000000001</c:v>
                </c:pt>
                <c:pt idx="71">
                  <c:v>10.702847999999999</c:v>
                </c:pt>
                <c:pt idx="72">
                  <c:v>14.52032</c:v>
                </c:pt>
                <c:pt idx="73">
                  <c:v>15.42144</c:v>
                </c:pt>
                <c:pt idx="74">
                  <c:v>13.234176</c:v>
                </c:pt>
                <c:pt idx="75">
                  <c:v>12.533759999999999</c:v>
                </c:pt>
                <c:pt idx="76">
                  <c:v>17.653759999999998</c:v>
                </c:pt>
                <c:pt idx="77">
                  <c:v>13.062144</c:v>
                </c:pt>
                <c:pt idx="78">
                  <c:v>15.147008</c:v>
                </c:pt>
                <c:pt idx="79">
                  <c:v>22.020095999999999</c:v>
                </c:pt>
                <c:pt idx="80">
                  <c:v>17.125375999999999</c:v>
                </c:pt>
                <c:pt idx="81">
                  <c:v>7.4752000000000001</c:v>
                </c:pt>
                <c:pt idx="82">
                  <c:v>12.013567999999999</c:v>
                </c:pt>
                <c:pt idx="83">
                  <c:v>11.083776</c:v>
                </c:pt>
                <c:pt idx="84">
                  <c:v>19.456</c:v>
                </c:pt>
                <c:pt idx="85">
                  <c:v>10.887168000000001</c:v>
                </c:pt>
                <c:pt idx="86">
                  <c:v>12.345344000000001</c:v>
                </c:pt>
                <c:pt idx="87">
                  <c:v>10.719232</c:v>
                </c:pt>
                <c:pt idx="88">
                  <c:v>12.070912</c:v>
                </c:pt>
                <c:pt idx="89">
                  <c:v>16.130047999999999</c:v>
                </c:pt>
                <c:pt idx="90">
                  <c:v>12.43136</c:v>
                </c:pt>
                <c:pt idx="91">
                  <c:v>13.627392</c:v>
                </c:pt>
                <c:pt idx="92">
                  <c:v>10.620927999999999</c:v>
                </c:pt>
                <c:pt idx="93">
                  <c:v>14.266368</c:v>
                </c:pt>
                <c:pt idx="94">
                  <c:v>12.71808</c:v>
                </c:pt>
                <c:pt idx="95">
                  <c:v>14.704639999999999</c:v>
                </c:pt>
                <c:pt idx="96">
                  <c:v>15.847424</c:v>
                </c:pt>
                <c:pt idx="97">
                  <c:v>13.275136</c:v>
                </c:pt>
                <c:pt idx="98">
                  <c:v>13.443072000000001</c:v>
                </c:pt>
                <c:pt idx="99">
                  <c:v>10.952704000000001</c:v>
                </c:pt>
                <c:pt idx="100">
                  <c:v>10.399744</c:v>
                </c:pt>
                <c:pt idx="101">
                  <c:v>10.551296000000001</c:v>
                </c:pt>
                <c:pt idx="102">
                  <c:v>11.423743999999999</c:v>
                </c:pt>
                <c:pt idx="103">
                  <c:v>16.969728</c:v>
                </c:pt>
                <c:pt idx="104">
                  <c:v>12.427263999999999</c:v>
                </c:pt>
                <c:pt idx="105">
                  <c:v>10.67008</c:v>
                </c:pt>
                <c:pt idx="106">
                  <c:v>16.019456000000002</c:v>
                </c:pt>
                <c:pt idx="107">
                  <c:v>11.558911999999999</c:v>
                </c:pt>
                <c:pt idx="108">
                  <c:v>14.467072</c:v>
                </c:pt>
                <c:pt idx="109">
                  <c:v>15.40096</c:v>
                </c:pt>
                <c:pt idx="110">
                  <c:v>10.50624</c:v>
                </c:pt>
                <c:pt idx="111">
                  <c:v>15.335424</c:v>
                </c:pt>
                <c:pt idx="112">
                  <c:v>16.674816</c:v>
                </c:pt>
                <c:pt idx="113">
                  <c:v>16.056319999999999</c:v>
                </c:pt>
                <c:pt idx="114">
                  <c:v>17.457152000000001</c:v>
                </c:pt>
                <c:pt idx="115">
                  <c:v>15.491072000000001</c:v>
                </c:pt>
                <c:pt idx="116">
                  <c:v>19.935231999999999</c:v>
                </c:pt>
                <c:pt idx="117">
                  <c:v>9.9942399999999996</c:v>
                </c:pt>
                <c:pt idx="118">
                  <c:v>10.752000000000001</c:v>
                </c:pt>
                <c:pt idx="119">
                  <c:v>11.567104</c:v>
                </c:pt>
                <c:pt idx="120">
                  <c:v>9.756672</c:v>
                </c:pt>
                <c:pt idx="121">
                  <c:v>13.082623999999999</c:v>
                </c:pt>
                <c:pt idx="122">
                  <c:v>10.964992000000001</c:v>
                </c:pt>
                <c:pt idx="123">
                  <c:v>13.512703999999999</c:v>
                </c:pt>
                <c:pt idx="124">
                  <c:v>12.054527999999999</c:v>
                </c:pt>
                <c:pt idx="125">
                  <c:v>10.747904</c:v>
                </c:pt>
                <c:pt idx="126">
                  <c:v>16.285696000000002</c:v>
                </c:pt>
                <c:pt idx="127">
                  <c:v>28.85632</c:v>
                </c:pt>
                <c:pt idx="128">
                  <c:v>14.864383999999999</c:v>
                </c:pt>
                <c:pt idx="129">
                  <c:v>11.997184000000001</c:v>
                </c:pt>
                <c:pt idx="130">
                  <c:v>12.34944</c:v>
                </c:pt>
                <c:pt idx="131">
                  <c:v>16.73216</c:v>
                </c:pt>
                <c:pt idx="132">
                  <c:v>12.787712000000001</c:v>
                </c:pt>
                <c:pt idx="133">
                  <c:v>13.684735999999999</c:v>
                </c:pt>
                <c:pt idx="134">
                  <c:v>17.047552</c:v>
                </c:pt>
                <c:pt idx="135">
                  <c:v>10.964992000000001</c:v>
                </c:pt>
                <c:pt idx="136">
                  <c:v>10.514431999999999</c:v>
                </c:pt>
                <c:pt idx="137">
                  <c:v>10.8544</c:v>
                </c:pt>
                <c:pt idx="138">
                  <c:v>12.337152</c:v>
                </c:pt>
                <c:pt idx="139">
                  <c:v>10.928127999999999</c:v>
                </c:pt>
                <c:pt idx="140">
                  <c:v>10.006527999999999</c:v>
                </c:pt>
                <c:pt idx="141">
                  <c:v>16.052223999999999</c:v>
                </c:pt>
                <c:pt idx="142">
                  <c:v>10.0352</c:v>
                </c:pt>
                <c:pt idx="143">
                  <c:v>10.69056</c:v>
                </c:pt>
                <c:pt idx="144">
                  <c:v>16.588799999999999</c:v>
                </c:pt>
                <c:pt idx="145">
                  <c:v>7.4178559999999996</c:v>
                </c:pt>
                <c:pt idx="146">
                  <c:v>7.4178559999999996</c:v>
                </c:pt>
                <c:pt idx="147">
                  <c:v>7.4260479999999998</c:v>
                </c:pt>
                <c:pt idx="148">
                  <c:v>7.507968</c:v>
                </c:pt>
                <c:pt idx="149">
                  <c:v>7.4711040000000004</c:v>
                </c:pt>
                <c:pt idx="150">
                  <c:v>7.5038720000000003</c:v>
                </c:pt>
                <c:pt idx="151">
                  <c:v>7.5120639999999996</c:v>
                </c:pt>
                <c:pt idx="152">
                  <c:v>7.4997759999999998</c:v>
                </c:pt>
                <c:pt idx="153">
                  <c:v>3.1825920000000001</c:v>
                </c:pt>
                <c:pt idx="154">
                  <c:v>3.1866880000000002</c:v>
                </c:pt>
                <c:pt idx="155">
                  <c:v>3.1743999999999999</c:v>
                </c:pt>
                <c:pt idx="156">
                  <c:v>3.1825920000000001</c:v>
                </c:pt>
                <c:pt idx="157">
                  <c:v>3.1825920000000001</c:v>
                </c:pt>
                <c:pt idx="158">
                  <c:v>3.162112</c:v>
                </c:pt>
                <c:pt idx="159">
                  <c:v>3.1580159999999999</c:v>
                </c:pt>
                <c:pt idx="160">
                  <c:v>3.1825920000000001</c:v>
                </c:pt>
                <c:pt idx="161">
                  <c:v>3.1662080000000001</c:v>
                </c:pt>
                <c:pt idx="162">
                  <c:v>8.0281599999999997</c:v>
                </c:pt>
                <c:pt idx="163">
                  <c:v>7.9544319999999997</c:v>
                </c:pt>
                <c:pt idx="164">
                  <c:v>8.0322560000000003</c:v>
                </c:pt>
                <c:pt idx="165">
                  <c:v>7.9994880000000004</c:v>
                </c:pt>
                <c:pt idx="166">
                  <c:v>8.0240639999999992</c:v>
                </c:pt>
                <c:pt idx="167">
                  <c:v>8.0281599999999997</c:v>
                </c:pt>
                <c:pt idx="168">
                  <c:v>8.0486400000000007</c:v>
                </c:pt>
                <c:pt idx="169">
                  <c:v>17.457152000000001</c:v>
                </c:pt>
                <c:pt idx="170">
                  <c:v>17.477632</c:v>
                </c:pt>
              </c:numCache>
            </c:numRef>
          </c:yVal>
          <c:smooth val="0"/>
          <c:extLst>
            <c:ext xmlns:c16="http://schemas.microsoft.com/office/drawing/2014/chart" uri="{C3380CC4-5D6E-409C-BE32-E72D297353CC}">
              <c16:uniqueId val="{00000000-A77D-494F-B460-C16A47C8AA57}"/>
            </c:ext>
          </c:extLst>
        </c:ser>
        <c:dLbls>
          <c:showLegendKey val="0"/>
          <c:showVal val="0"/>
          <c:showCatName val="0"/>
          <c:showSerName val="0"/>
          <c:showPercent val="0"/>
          <c:showBubbleSize val="0"/>
        </c:dLbls>
        <c:axId val="1678200576"/>
        <c:axId val="1657882352"/>
      </c:scatterChart>
      <c:valAx>
        <c:axId val="1678200576"/>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82352"/>
        <c:crosses val="autoZero"/>
        <c:crossBetween val="midCat"/>
      </c:valAx>
      <c:valAx>
        <c:axId val="1657882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Memory</a:t>
                </a:r>
                <a:r>
                  <a:rPr lang="en-US" baseline="0"/>
                  <a:t> (MB)</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2005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SAPHIRE-CCF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'SAPHIRE-CCF'!$G$1</c:f>
              <c:strCache>
                <c:ptCount val="1"/>
                <c:pt idx="0">
                  <c:v>CPU Time (Sec)</c:v>
                </c:pt>
              </c:strCache>
            </c:strRef>
          </c:tx>
          <c:spPr>
            <a:ln w="19050" cap="rnd">
              <a:noFill/>
              <a:round/>
            </a:ln>
            <a:effectLst/>
          </c:spPr>
          <c:marker>
            <c:symbol val="circle"/>
            <c:size val="5"/>
            <c:spPr>
              <a:solidFill>
                <a:schemeClr val="accent1"/>
              </a:solidFill>
              <a:ln w="9525">
                <a:solidFill>
                  <a:schemeClr val="accent1"/>
                </a:solidFill>
              </a:ln>
              <a:effectLst/>
            </c:spPr>
          </c:marker>
          <c:xVal>
            <c:strRef>
              <c:f>'SAPHIRE-CCF'!$E$2:$E$90</c:f>
              <c:strCache>
                <c:ptCount val="89"/>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ccf7-600-05</c:v>
                </c:pt>
                <c:pt idx="51">
                  <c:v>ccf8-600-05</c:v>
                </c:pt>
                <c:pt idx="52">
                  <c:v>ccf9-600-05</c:v>
                </c:pt>
                <c:pt idx="53">
                  <c:v>ccf1-700-05</c:v>
                </c:pt>
                <c:pt idx="54">
                  <c:v>ccf2-700-05</c:v>
                </c:pt>
                <c:pt idx="55">
                  <c:v>ccf3-700-05</c:v>
                </c:pt>
                <c:pt idx="56">
                  <c:v>ccf4-700-05</c:v>
                </c:pt>
                <c:pt idx="57">
                  <c:v>ccf5-700-05</c:v>
                </c:pt>
                <c:pt idx="58">
                  <c:v>ccf6-700-05</c:v>
                </c:pt>
                <c:pt idx="59">
                  <c:v>ccf7-700-05</c:v>
                </c:pt>
                <c:pt idx="60">
                  <c:v>ccf8-700-05</c:v>
                </c:pt>
                <c:pt idx="61">
                  <c:v>ccf9-700-05</c:v>
                </c:pt>
                <c:pt idx="62">
                  <c:v>ccf1-800-05</c:v>
                </c:pt>
                <c:pt idx="63">
                  <c:v>ccf2-800-05</c:v>
                </c:pt>
                <c:pt idx="64">
                  <c:v>ccf3-800-05</c:v>
                </c:pt>
                <c:pt idx="65">
                  <c:v>ccf4-800-05</c:v>
                </c:pt>
                <c:pt idx="66">
                  <c:v>ccf5-800-05</c:v>
                </c:pt>
                <c:pt idx="67">
                  <c:v>ccf6-800-05</c:v>
                </c:pt>
                <c:pt idx="68">
                  <c:v>ccf7-800-05</c:v>
                </c:pt>
                <c:pt idx="69">
                  <c:v>ccf8-800-05</c:v>
                </c:pt>
                <c:pt idx="70">
                  <c:v>ccf9-800-05</c:v>
                </c:pt>
                <c:pt idx="71">
                  <c:v>ccf1-900-05</c:v>
                </c:pt>
                <c:pt idx="72">
                  <c:v>ccf2-900-05</c:v>
                </c:pt>
                <c:pt idx="73">
                  <c:v>ccf3-900-05</c:v>
                </c:pt>
                <c:pt idx="74">
                  <c:v>ccf4-900-05</c:v>
                </c:pt>
                <c:pt idx="75">
                  <c:v>ccf5-900-05</c:v>
                </c:pt>
                <c:pt idx="76">
                  <c:v>ccf6-900-05</c:v>
                </c:pt>
                <c:pt idx="77">
                  <c:v>ccf7-900-05</c:v>
                </c:pt>
                <c:pt idx="78">
                  <c:v>ccf8-900-05</c:v>
                </c:pt>
                <c:pt idx="79">
                  <c:v>ccf9-900-05</c:v>
                </c:pt>
                <c:pt idx="80">
                  <c:v>ccf1-1000-05</c:v>
                </c:pt>
                <c:pt idx="81">
                  <c:v>ccf2-1000-05</c:v>
                </c:pt>
                <c:pt idx="82">
                  <c:v>ccf3-1000-05</c:v>
                </c:pt>
                <c:pt idx="83">
                  <c:v>ccf4-1000-05</c:v>
                </c:pt>
                <c:pt idx="84">
                  <c:v>ccf5-1000-05</c:v>
                </c:pt>
                <c:pt idx="85">
                  <c:v>ccf6-1000-05</c:v>
                </c:pt>
                <c:pt idx="86">
                  <c:v>ccf7-1000-05</c:v>
                </c:pt>
                <c:pt idx="87">
                  <c:v>ccf8-1000-05</c:v>
                </c:pt>
                <c:pt idx="88">
                  <c:v>ccf9-1000-05</c:v>
                </c:pt>
              </c:strCache>
            </c:strRef>
          </c:xVal>
          <c:yVal>
            <c:numRef>
              <c:f>'SAPHIRE-CCF'!$G$2:$G$90</c:f>
              <c:numCache>
                <c:formatCode>General</c:formatCode>
                <c:ptCount val="89"/>
                <c:pt idx="0">
                  <c:v>1.3500669970000001</c:v>
                </c:pt>
                <c:pt idx="1">
                  <c:v>0.69035540699999998</c:v>
                </c:pt>
                <c:pt idx="2">
                  <c:v>0.69037317499999995</c:v>
                </c:pt>
                <c:pt idx="3">
                  <c:v>0.69506425599999999</c:v>
                </c:pt>
                <c:pt idx="4">
                  <c:v>0.69999036800000003</c:v>
                </c:pt>
                <c:pt idx="5">
                  <c:v>0.69704843900000002</c:v>
                </c:pt>
                <c:pt idx="6">
                  <c:v>0.68926343999999995</c:v>
                </c:pt>
                <c:pt idx="7">
                  <c:v>0.69785540800000001</c:v>
                </c:pt>
                <c:pt idx="8">
                  <c:v>0.69706136100000005</c:v>
                </c:pt>
                <c:pt idx="9">
                  <c:v>5.2055731280000002</c:v>
                </c:pt>
                <c:pt idx="10">
                  <c:v>4.505479759</c:v>
                </c:pt>
                <c:pt idx="11">
                  <c:v>4.1700678900000003</c:v>
                </c:pt>
                <c:pt idx="12">
                  <c:v>4.3989832780000002</c:v>
                </c:pt>
                <c:pt idx="13">
                  <c:v>5.3829933179999996</c:v>
                </c:pt>
                <c:pt idx="14">
                  <c:v>2.3162434890000001</c:v>
                </c:pt>
                <c:pt idx="15">
                  <c:v>0.84457325900000002</c:v>
                </c:pt>
                <c:pt idx="16">
                  <c:v>0.82696074200000003</c:v>
                </c:pt>
                <c:pt idx="17">
                  <c:v>0.72581151300000002</c:v>
                </c:pt>
                <c:pt idx="18">
                  <c:v>10.465808414</c:v>
                </c:pt>
                <c:pt idx="19">
                  <c:v>237.321831116</c:v>
                </c:pt>
                <c:pt idx="20">
                  <c:v>22.431120881999998</c:v>
                </c:pt>
                <c:pt idx="21">
                  <c:v>7.9663161999999996</c:v>
                </c:pt>
                <c:pt idx="22">
                  <c:v>8.2008451979999997</c:v>
                </c:pt>
                <c:pt idx="23">
                  <c:v>8.9767814169999998</c:v>
                </c:pt>
                <c:pt idx="24">
                  <c:v>2.6882832919999999</c:v>
                </c:pt>
                <c:pt idx="25">
                  <c:v>2.7828299150000002</c:v>
                </c:pt>
                <c:pt idx="26">
                  <c:v>4.4427802920000001</c:v>
                </c:pt>
                <c:pt idx="27">
                  <c:v>23.950073409000002</c:v>
                </c:pt>
                <c:pt idx="28">
                  <c:v>7.1756226920000001</c:v>
                </c:pt>
                <c:pt idx="29">
                  <c:v>2.7962630819999998</c:v>
                </c:pt>
                <c:pt idx="30">
                  <c:v>3.0994193619999999</c:v>
                </c:pt>
                <c:pt idx="31">
                  <c:v>394.12494129200002</c:v>
                </c:pt>
                <c:pt idx="32">
                  <c:v>1.820336612</c:v>
                </c:pt>
                <c:pt idx="33">
                  <c:v>1.0951011070000001</c:v>
                </c:pt>
                <c:pt idx="34">
                  <c:v>1.146465979</c:v>
                </c:pt>
                <c:pt idx="35">
                  <c:v>1.2266385310000001</c:v>
                </c:pt>
                <c:pt idx="36">
                  <c:v>2.5971272179999998</c:v>
                </c:pt>
                <c:pt idx="37">
                  <c:v>1.9241600599999999</c:v>
                </c:pt>
                <c:pt idx="38">
                  <c:v>12.335172748</c:v>
                </c:pt>
                <c:pt idx="39">
                  <c:v>21.613704549000001</c:v>
                </c:pt>
                <c:pt idx="40">
                  <c:v>22.382690664999998</c:v>
                </c:pt>
                <c:pt idx="41">
                  <c:v>42.038208922999999</c:v>
                </c:pt>
                <c:pt idx="42">
                  <c:v>42.485472497000004</c:v>
                </c:pt>
                <c:pt idx="43">
                  <c:v>42.251910942999999</c:v>
                </c:pt>
                <c:pt idx="44">
                  <c:v>50.481164560000003</c:v>
                </c:pt>
                <c:pt idx="45">
                  <c:v>38.828188828000002</c:v>
                </c:pt>
                <c:pt idx="46">
                  <c:v>6.912212426</c:v>
                </c:pt>
                <c:pt idx="47">
                  <c:v>4.5376078240000002</c:v>
                </c:pt>
                <c:pt idx="48">
                  <c:v>4.611081671</c:v>
                </c:pt>
                <c:pt idx="49">
                  <c:v>5.5514072829999996</c:v>
                </c:pt>
                <c:pt idx="50">
                  <c:v>5.5454174490000003</c:v>
                </c:pt>
                <c:pt idx="51">
                  <c:v>7.5289793129999998</c:v>
                </c:pt>
                <c:pt idx="52">
                  <c:v>9.2376000190000003</c:v>
                </c:pt>
                <c:pt idx="53">
                  <c:v>51.214838632000003</c:v>
                </c:pt>
                <c:pt idx="54">
                  <c:v>50.399141475999997</c:v>
                </c:pt>
                <c:pt idx="55">
                  <c:v>77.210103330999999</c:v>
                </c:pt>
                <c:pt idx="56">
                  <c:v>77.044158796999994</c:v>
                </c:pt>
                <c:pt idx="57">
                  <c:v>92.537275596000001</c:v>
                </c:pt>
                <c:pt idx="58">
                  <c:v>98.781555151000006</c:v>
                </c:pt>
                <c:pt idx="59">
                  <c:v>103.653996487</c:v>
                </c:pt>
                <c:pt idx="60">
                  <c:v>113.14174282499999</c:v>
                </c:pt>
                <c:pt idx="61">
                  <c:v>115.955700725</c:v>
                </c:pt>
                <c:pt idx="62">
                  <c:v>5.9463646160000003</c:v>
                </c:pt>
                <c:pt idx="63">
                  <c:v>14.646586884</c:v>
                </c:pt>
                <c:pt idx="64">
                  <c:v>13.721919348</c:v>
                </c:pt>
                <c:pt idx="65">
                  <c:v>13.760245812000001</c:v>
                </c:pt>
                <c:pt idx="66">
                  <c:v>13.733131704</c:v>
                </c:pt>
                <c:pt idx="67">
                  <c:v>27.834757359000001</c:v>
                </c:pt>
                <c:pt idx="68">
                  <c:v>32.362873270000001</c:v>
                </c:pt>
                <c:pt idx="69">
                  <c:v>33.084457843000003</c:v>
                </c:pt>
                <c:pt idx="70">
                  <c:v>1.629985668</c:v>
                </c:pt>
                <c:pt idx="71">
                  <c:v>24.343804406</c:v>
                </c:pt>
                <c:pt idx="72">
                  <c:v>24.604588065000002</c:v>
                </c:pt>
                <c:pt idx="73">
                  <c:v>28.292409703000001</c:v>
                </c:pt>
                <c:pt idx="74">
                  <c:v>30.861425057000002</c:v>
                </c:pt>
                <c:pt idx="75">
                  <c:v>33.385571097000003</c:v>
                </c:pt>
                <c:pt idx="76">
                  <c:v>23.801319678999999</c:v>
                </c:pt>
                <c:pt idx="77">
                  <c:v>26.540617234999999</c:v>
                </c:pt>
                <c:pt idx="78">
                  <c:v>30.277475823</c:v>
                </c:pt>
                <c:pt idx="79">
                  <c:v>30.354565747999999</c:v>
                </c:pt>
                <c:pt idx="80">
                  <c:v>1.8959334269999999</c:v>
                </c:pt>
                <c:pt idx="81">
                  <c:v>1.218303192</c:v>
                </c:pt>
                <c:pt idx="82">
                  <c:v>1.2208236939999999</c:v>
                </c:pt>
                <c:pt idx="83">
                  <c:v>3.098758728</c:v>
                </c:pt>
                <c:pt idx="84">
                  <c:v>3.0694220240000001</c:v>
                </c:pt>
                <c:pt idx="85">
                  <c:v>3.0860809499999999</c:v>
                </c:pt>
                <c:pt idx="86">
                  <c:v>3.184357264</c:v>
                </c:pt>
                <c:pt idx="87">
                  <c:v>4.5833263100000003</c:v>
                </c:pt>
                <c:pt idx="88">
                  <c:v>4.62892992</c:v>
                </c:pt>
              </c:numCache>
            </c:numRef>
          </c:yVal>
          <c:smooth val="0"/>
          <c:extLst>
            <c:ext xmlns:c16="http://schemas.microsoft.com/office/drawing/2014/chart" uri="{C3380CC4-5D6E-409C-BE32-E72D297353CC}">
              <c16:uniqueId val="{00000000-1573-4258-A01D-068A7BF1966F}"/>
            </c:ext>
          </c:extLst>
        </c:ser>
        <c:dLbls>
          <c:showLegendKey val="0"/>
          <c:showVal val="0"/>
          <c:showCatName val="0"/>
          <c:showSerName val="0"/>
          <c:showPercent val="0"/>
          <c:showBubbleSize val="0"/>
        </c:dLbls>
        <c:axId val="1655802720"/>
        <c:axId val="715044960"/>
      </c:scatterChart>
      <c:valAx>
        <c:axId val="165580272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044960"/>
        <c:crosses val="autoZero"/>
        <c:crossBetween val="midCat"/>
      </c:valAx>
      <c:valAx>
        <c:axId val="715044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CPU-time</a:t>
                </a:r>
                <a:r>
                  <a:rPr lang="en-US" baseline="0"/>
                  <a:t> (sec)</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8027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SAPHIRE-CCF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'SAPHIRE-CCF'!$I$1</c:f>
              <c:strCache>
                <c:ptCount val="1"/>
                <c:pt idx="0">
                  <c:v>Memory (MB)</c:v>
                </c:pt>
              </c:strCache>
            </c:strRef>
          </c:tx>
          <c:spPr>
            <a:ln w="19050" cap="rnd">
              <a:noFill/>
              <a:round/>
            </a:ln>
            <a:effectLst/>
          </c:spPr>
          <c:marker>
            <c:symbol val="circle"/>
            <c:size val="5"/>
            <c:spPr>
              <a:solidFill>
                <a:schemeClr val="accent1"/>
              </a:solidFill>
              <a:ln w="9525">
                <a:solidFill>
                  <a:schemeClr val="accent1"/>
                </a:solidFill>
              </a:ln>
              <a:effectLst/>
            </c:spPr>
          </c:marker>
          <c:xVal>
            <c:strRef>
              <c:f>'SAPHIRE-CCF'!$E$2:$E$90</c:f>
              <c:strCache>
                <c:ptCount val="89"/>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ccf7-600-05</c:v>
                </c:pt>
                <c:pt idx="51">
                  <c:v>ccf8-600-05</c:v>
                </c:pt>
                <c:pt idx="52">
                  <c:v>ccf9-600-05</c:v>
                </c:pt>
                <c:pt idx="53">
                  <c:v>ccf1-700-05</c:v>
                </c:pt>
                <c:pt idx="54">
                  <c:v>ccf2-700-05</c:v>
                </c:pt>
                <c:pt idx="55">
                  <c:v>ccf3-700-05</c:v>
                </c:pt>
                <c:pt idx="56">
                  <c:v>ccf4-700-05</c:v>
                </c:pt>
                <c:pt idx="57">
                  <c:v>ccf5-700-05</c:v>
                </c:pt>
                <c:pt idx="58">
                  <c:v>ccf6-700-05</c:v>
                </c:pt>
                <c:pt idx="59">
                  <c:v>ccf7-700-05</c:v>
                </c:pt>
                <c:pt idx="60">
                  <c:v>ccf8-700-05</c:v>
                </c:pt>
                <c:pt idx="61">
                  <c:v>ccf9-700-05</c:v>
                </c:pt>
                <c:pt idx="62">
                  <c:v>ccf1-800-05</c:v>
                </c:pt>
                <c:pt idx="63">
                  <c:v>ccf2-800-05</c:v>
                </c:pt>
                <c:pt idx="64">
                  <c:v>ccf3-800-05</c:v>
                </c:pt>
                <c:pt idx="65">
                  <c:v>ccf4-800-05</c:v>
                </c:pt>
                <c:pt idx="66">
                  <c:v>ccf5-800-05</c:v>
                </c:pt>
                <c:pt idx="67">
                  <c:v>ccf6-800-05</c:v>
                </c:pt>
                <c:pt idx="68">
                  <c:v>ccf7-800-05</c:v>
                </c:pt>
                <c:pt idx="69">
                  <c:v>ccf8-800-05</c:v>
                </c:pt>
                <c:pt idx="70">
                  <c:v>ccf9-800-05</c:v>
                </c:pt>
                <c:pt idx="71">
                  <c:v>ccf1-900-05</c:v>
                </c:pt>
                <c:pt idx="72">
                  <c:v>ccf2-900-05</c:v>
                </c:pt>
                <c:pt idx="73">
                  <c:v>ccf3-900-05</c:v>
                </c:pt>
                <c:pt idx="74">
                  <c:v>ccf4-900-05</c:v>
                </c:pt>
                <c:pt idx="75">
                  <c:v>ccf5-900-05</c:v>
                </c:pt>
                <c:pt idx="76">
                  <c:v>ccf6-900-05</c:v>
                </c:pt>
                <c:pt idx="77">
                  <c:v>ccf7-900-05</c:v>
                </c:pt>
                <c:pt idx="78">
                  <c:v>ccf8-900-05</c:v>
                </c:pt>
                <c:pt idx="79">
                  <c:v>ccf9-900-05</c:v>
                </c:pt>
                <c:pt idx="80">
                  <c:v>ccf1-1000-05</c:v>
                </c:pt>
                <c:pt idx="81">
                  <c:v>ccf2-1000-05</c:v>
                </c:pt>
                <c:pt idx="82">
                  <c:v>ccf3-1000-05</c:v>
                </c:pt>
                <c:pt idx="83">
                  <c:v>ccf4-1000-05</c:v>
                </c:pt>
                <c:pt idx="84">
                  <c:v>ccf5-1000-05</c:v>
                </c:pt>
                <c:pt idx="85">
                  <c:v>ccf6-1000-05</c:v>
                </c:pt>
                <c:pt idx="86">
                  <c:v>ccf7-1000-05</c:v>
                </c:pt>
                <c:pt idx="87">
                  <c:v>ccf8-1000-05</c:v>
                </c:pt>
                <c:pt idx="88">
                  <c:v>ccf9-1000-05</c:v>
                </c:pt>
              </c:strCache>
            </c:strRef>
          </c:xVal>
          <c:yVal>
            <c:numRef>
              <c:f>'SAPHIRE-CCF'!$I$2:$I$90</c:f>
              <c:numCache>
                <c:formatCode>General</c:formatCode>
                <c:ptCount val="89"/>
                <c:pt idx="0">
                  <c:v>4.5219839999999998</c:v>
                </c:pt>
                <c:pt idx="1">
                  <c:v>4.0304640000000003</c:v>
                </c:pt>
                <c:pt idx="2">
                  <c:v>4.0960000000000001</c:v>
                </c:pt>
                <c:pt idx="3">
                  <c:v>4.0222720000000001</c:v>
                </c:pt>
                <c:pt idx="4">
                  <c:v>4.0386559999999996</c:v>
                </c:pt>
                <c:pt idx="5">
                  <c:v>4.1615359999999999</c:v>
                </c:pt>
                <c:pt idx="6">
                  <c:v>4.0345599999999999</c:v>
                </c:pt>
                <c:pt idx="7">
                  <c:v>4.1123839999999996</c:v>
                </c:pt>
                <c:pt idx="8">
                  <c:v>4.0263679999999997</c:v>
                </c:pt>
                <c:pt idx="9">
                  <c:v>7.8151679999999999</c:v>
                </c:pt>
                <c:pt idx="10">
                  <c:v>7.8397439999999996</c:v>
                </c:pt>
                <c:pt idx="11">
                  <c:v>7.6595199999999997</c:v>
                </c:pt>
                <c:pt idx="12">
                  <c:v>7.4874879999999999</c:v>
                </c:pt>
                <c:pt idx="13">
                  <c:v>7.7701120000000001</c:v>
                </c:pt>
                <c:pt idx="14">
                  <c:v>7.3646079999999996</c:v>
                </c:pt>
                <c:pt idx="15">
                  <c:v>5.6238080000000004</c:v>
                </c:pt>
                <c:pt idx="16">
                  <c:v>9.0112000000000005</c:v>
                </c:pt>
                <c:pt idx="17">
                  <c:v>4.2311680000000003</c:v>
                </c:pt>
                <c:pt idx="18">
                  <c:v>10.829824</c:v>
                </c:pt>
                <c:pt idx="19">
                  <c:v>20.787199999999999</c:v>
                </c:pt>
                <c:pt idx="20">
                  <c:v>10.563584000000001</c:v>
                </c:pt>
                <c:pt idx="21">
                  <c:v>10.6496</c:v>
                </c:pt>
                <c:pt idx="22">
                  <c:v>10.645504000000001</c:v>
                </c:pt>
                <c:pt idx="23">
                  <c:v>9.3757439999999992</c:v>
                </c:pt>
                <c:pt idx="24">
                  <c:v>9.4986239999999995</c:v>
                </c:pt>
                <c:pt idx="25">
                  <c:v>9.5518719999999995</c:v>
                </c:pt>
                <c:pt idx="26">
                  <c:v>10.534912</c:v>
                </c:pt>
                <c:pt idx="27">
                  <c:v>10.379263999999999</c:v>
                </c:pt>
                <c:pt idx="28">
                  <c:v>9.1791359999999997</c:v>
                </c:pt>
                <c:pt idx="29">
                  <c:v>8.7818240000000003</c:v>
                </c:pt>
                <c:pt idx="30">
                  <c:v>8.8637440000000005</c:v>
                </c:pt>
                <c:pt idx="31">
                  <c:v>19.460096</c:v>
                </c:pt>
                <c:pt idx="32">
                  <c:v>8.6958079999999995</c:v>
                </c:pt>
                <c:pt idx="33">
                  <c:v>7.5939839999999998</c:v>
                </c:pt>
                <c:pt idx="34">
                  <c:v>7.7987840000000004</c:v>
                </c:pt>
                <c:pt idx="35">
                  <c:v>7.7660159999999996</c:v>
                </c:pt>
                <c:pt idx="36">
                  <c:v>10.752000000000001</c:v>
                </c:pt>
                <c:pt idx="37">
                  <c:v>10.752000000000001</c:v>
                </c:pt>
                <c:pt idx="38">
                  <c:v>11.263999999999999</c:v>
                </c:pt>
                <c:pt idx="39">
                  <c:v>13.299712</c:v>
                </c:pt>
                <c:pt idx="40">
                  <c:v>16.859135999999999</c:v>
                </c:pt>
                <c:pt idx="41">
                  <c:v>17.231871999999999</c:v>
                </c:pt>
                <c:pt idx="42">
                  <c:v>17.334271999999999</c:v>
                </c:pt>
                <c:pt idx="43">
                  <c:v>17.34656</c:v>
                </c:pt>
                <c:pt idx="44">
                  <c:v>12.775423999999999</c:v>
                </c:pt>
                <c:pt idx="45">
                  <c:v>18.7392</c:v>
                </c:pt>
                <c:pt idx="46">
                  <c:v>10.862591999999999</c:v>
                </c:pt>
                <c:pt idx="47">
                  <c:v>10.645504000000001</c:v>
                </c:pt>
                <c:pt idx="48">
                  <c:v>10.702847999999999</c:v>
                </c:pt>
                <c:pt idx="49">
                  <c:v>10.821631999999999</c:v>
                </c:pt>
                <c:pt idx="50">
                  <c:v>10.809343999999999</c:v>
                </c:pt>
                <c:pt idx="51">
                  <c:v>10.81344</c:v>
                </c:pt>
                <c:pt idx="52">
                  <c:v>10.973184</c:v>
                </c:pt>
                <c:pt idx="53">
                  <c:v>13.33248</c:v>
                </c:pt>
                <c:pt idx="54">
                  <c:v>13.365247999999999</c:v>
                </c:pt>
                <c:pt idx="55">
                  <c:v>14.008319999999999</c:v>
                </c:pt>
                <c:pt idx="56">
                  <c:v>13.901824</c:v>
                </c:pt>
                <c:pt idx="57">
                  <c:v>14.409727999999999</c:v>
                </c:pt>
                <c:pt idx="58">
                  <c:v>14.385152</c:v>
                </c:pt>
                <c:pt idx="59">
                  <c:v>14.52032</c:v>
                </c:pt>
                <c:pt idx="60">
                  <c:v>14.548992</c:v>
                </c:pt>
                <c:pt idx="61">
                  <c:v>14.536704</c:v>
                </c:pt>
                <c:pt idx="62">
                  <c:v>10.891264</c:v>
                </c:pt>
                <c:pt idx="63">
                  <c:v>11.567104</c:v>
                </c:pt>
                <c:pt idx="64">
                  <c:v>11.370495999999999</c:v>
                </c:pt>
                <c:pt idx="65">
                  <c:v>11.390976</c:v>
                </c:pt>
                <c:pt idx="66">
                  <c:v>11.378688</c:v>
                </c:pt>
                <c:pt idx="67">
                  <c:v>12.439552000000001</c:v>
                </c:pt>
                <c:pt idx="68">
                  <c:v>12.9024</c:v>
                </c:pt>
                <c:pt idx="69">
                  <c:v>12.959744000000001</c:v>
                </c:pt>
                <c:pt idx="70">
                  <c:v>10.493952</c:v>
                </c:pt>
                <c:pt idx="71">
                  <c:v>11.530239999999999</c:v>
                </c:pt>
                <c:pt idx="72">
                  <c:v>11.575296</c:v>
                </c:pt>
                <c:pt idx="73">
                  <c:v>12.136448</c:v>
                </c:pt>
                <c:pt idx="74">
                  <c:v>12.234752</c:v>
                </c:pt>
                <c:pt idx="75">
                  <c:v>12.267519999999999</c:v>
                </c:pt>
                <c:pt idx="76">
                  <c:v>11.231232</c:v>
                </c:pt>
                <c:pt idx="77">
                  <c:v>11.698176</c:v>
                </c:pt>
                <c:pt idx="78">
                  <c:v>12.079103999999999</c:v>
                </c:pt>
                <c:pt idx="79">
                  <c:v>12.054527999999999</c:v>
                </c:pt>
                <c:pt idx="80">
                  <c:v>9.1709440000000004</c:v>
                </c:pt>
                <c:pt idx="81">
                  <c:v>8.7203839999999992</c:v>
                </c:pt>
                <c:pt idx="82">
                  <c:v>8.753152</c:v>
                </c:pt>
                <c:pt idx="83">
                  <c:v>11.108352</c:v>
                </c:pt>
                <c:pt idx="84">
                  <c:v>11.177984</c:v>
                </c:pt>
                <c:pt idx="85">
                  <c:v>11.169791999999999</c:v>
                </c:pt>
                <c:pt idx="86">
                  <c:v>11.20256</c:v>
                </c:pt>
                <c:pt idx="87">
                  <c:v>11.603968</c:v>
                </c:pt>
                <c:pt idx="88">
                  <c:v>11.579392</c:v>
                </c:pt>
              </c:numCache>
            </c:numRef>
          </c:yVal>
          <c:smooth val="0"/>
          <c:extLst>
            <c:ext xmlns:c16="http://schemas.microsoft.com/office/drawing/2014/chart" uri="{C3380CC4-5D6E-409C-BE32-E72D297353CC}">
              <c16:uniqueId val="{00000000-FFD1-458F-AC03-93C439E51D91}"/>
            </c:ext>
          </c:extLst>
        </c:ser>
        <c:dLbls>
          <c:showLegendKey val="0"/>
          <c:showVal val="0"/>
          <c:showCatName val="0"/>
          <c:showSerName val="0"/>
          <c:showPercent val="0"/>
          <c:showBubbleSize val="0"/>
        </c:dLbls>
        <c:axId val="1662659360"/>
        <c:axId val="1139156880"/>
      </c:scatterChart>
      <c:valAx>
        <c:axId val="1662659360"/>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156880"/>
        <c:crosses val="autoZero"/>
        <c:crossBetween val="midCat"/>
      </c:valAx>
      <c:valAx>
        <c:axId val="1139156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Memory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6593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SCRAM-NON-CCF-Prob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'SCRAM-Prob-NON-CCF'!$B$1</c:f>
              <c:strCache>
                <c:ptCount val="1"/>
                <c:pt idx="0">
                  <c:v>CPU Time-BDD</c:v>
                </c:pt>
              </c:strCache>
            </c:strRef>
          </c:tx>
          <c:spPr>
            <a:ln w="19050" cap="rnd">
              <a:noFill/>
              <a:round/>
            </a:ln>
            <a:effectLst/>
          </c:spPr>
          <c:marker>
            <c:symbol val="circle"/>
            <c:size val="5"/>
            <c:spPr>
              <a:solidFill>
                <a:schemeClr val="accent1"/>
              </a:solidFill>
              <a:ln w="9525">
                <a:solidFill>
                  <a:schemeClr val="accent1"/>
                </a:solidFill>
              </a:ln>
              <a:effectLst/>
            </c:spPr>
          </c:marker>
          <c:xVal>
            <c:strRef>
              <c:f>'SCRAM-Prob-NON-CCF'!$A$2:$A$173</c:f>
              <c:strCache>
                <c:ptCount val="171"/>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8000-05</c:v>
                </c:pt>
                <c:pt idx="149">
                  <c:v>8000-06</c:v>
                </c:pt>
                <c:pt idx="150">
                  <c:v>8000-07</c:v>
                </c:pt>
                <c:pt idx="151">
                  <c:v>8000-08</c:v>
                </c:pt>
                <c:pt idx="152">
                  <c:v>8000-09</c:v>
                </c:pt>
                <c:pt idx="153">
                  <c:v>9000-01</c:v>
                </c:pt>
                <c:pt idx="154">
                  <c:v>9000-02</c:v>
                </c:pt>
                <c:pt idx="155">
                  <c:v>9000-03</c:v>
                </c:pt>
                <c:pt idx="156">
                  <c:v>9000-04</c:v>
                </c:pt>
                <c:pt idx="157">
                  <c:v>9000-05</c:v>
                </c:pt>
                <c:pt idx="158">
                  <c:v>9000-06</c:v>
                </c:pt>
                <c:pt idx="159">
                  <c:v>9000-07</c:v>
                </c:pt>
                <c:pt idx="160">
                  <c:v>9000-08</c:v>
                </c:pt>
                <c:pt idx="161">
                  <c:v>9000-09</c:v>
                </c:pt>
                <c:pt idx="162">
                  <c:v>10000-01</c:v>
                </c:pt>
                <c:pt idx="163">
                  <c:v>10000-02</c:v>
                </c:pt>
                <c:pt idx="164">
                  <c:v>10000-03</c:v>
                </c:pt>
                <c:pt idx="165">
                  <c:v>10000-04</c:v>
                </c:pt>
                <c:pt idx="166">
                  <c:v>10000-05</c:v>
                </c:pt>
                <c:pt idx="167">
                  <c:v>10000-06</c:v>
                </c:pt>
                <c:pt idx="168">
                  <c:v>10000-07</c:v>
                </c:pt>
                <c:pt idx="169">
                  <c:v>10000-08</c:v>
                </c:pt>
                <c:pt idx="170">
                  <c:v>10000-09</c:v>
                </c:pt>
              </c:strCache>
            </c:strRef>
          </c:xVal>
          <c:yVal>
            <c:numRef>
              <c:f>'SCRAM-Prob-NON-CCF'!$B$2:$B$173</c:f>
              <c:numCache>
                <c:formatCode>General</c:formatCode>
                <c:ptCount val="172"/>
                <c:pt idx="0">
                  <c:v>0.11244756</c:v>
                </c:pt>
                <c:pt idx="1">
                  <c:v>0.21960044500000001</c:v>
                </c:pt>
                <c:pt idx="2">
                  <c:v>9.7503664000000004E-2</c:v>
                </c:pt>
                <c:pt idx="3">
                  <c:v>0.10509741</c:v>
                </c:pt>
                <c:pt idx="4">
                  <c:v>9.4771300000000003E-2</c:v>
                </c:pt>
                <c:pt idx="5">
                  <c:v>0.110762124</c:v>
                </c:pt>
                <c:pt idx="6">
                  <c:v>0.103812877</c:v>
                </c:pt>
                <c:pt idx="7">
                  <c:v>0.221237831</c:v>
                </c:pt>
                <c:pt idx="8">
                  <c:v>0.23065189999999999</c:v>
                </c:pt>
                <c:pt idx="9">
                  <c:v>0.133368608</c:v>
                </c:pt>
                <c:pt idx="10">
                  <c:v>14.98442949</c:v>
                </c:pt>
                <c:pt idx="11">
                  <c:v>1.103876946</c:v>
                </c:pt>
                <c:pt idx="12">
                  <c:v>0.103748514</c:v>
                </c:pt>
                <c:pt idx="13">
                  <c:v>0.221674606</c:v>
                </c:pt>
                <c:pt idx="14">
                  <c:v>2.024685963</c:v>
                </c:pt>
                <c:pt idx="15">
                  <c:v>12.893044789999999</c:v>
                </c:pt>
                <c:pt idx="16">
                  <c:v>2.676052678</c:v>
                </c:pt>
                <c:pt idx="17">
                  <c:v>34.973116781999998</c:v>
                </c:pt>
                <c:pt idx="18">
                  <c:v>97.869962161999993</c:v>
                </c:pt>
                <c:pt idx="19">
                  <c:v>0.71975614899999996</c:v>
                </c:pt>
                <c:pt idx="20">
                  <c:v>60.492957058999998</c:v>
                </c:pt>
                <c:pt idx="21">
                  <c:v>10.85593667</c:v>
                </c:pt>
                <c:pt idx="22">
                  <c:v>218.84672197699999</c:v>
                </c:pt>
                <c:pt idx="23">
                  <c:v>39.990834282999998</c:v>
                </c:pt>
                <c:pt idx="24">
                  <c:v>901.61510736599996</c:v>
                </c:pt>
                <c:pt idx="25">
                  <c:v>28.092711954999999</c:v>
                </c:pt>
                <c:pt idx="26">
                  <c:v>900.58322742300004</c:v>
                </c:pt>
                <c:pt idx="27">
                  <c:v>588.20149731499998</c:v>
                </c:pt>
                <c:pt idx="28">
                  <c:v>18.724334727999999</c:v>
                </c:pt>
                <c:pt idx="29">
                  <c:v>901.00444697399996</c:v>
                </c:pt>
                <c:pt idx="30">
                  <c:v>7.1043324700000001</c:v>
                </c:pt>
                <c:pt idx="31">
                  <c:v>900.38726370300003</c:v>
                </c:pt>
                <c:pt idx="32">
                  <c:v>901.01694426100005</c:v>
                </c:pt>
                <c:pt idx="33">
                  <c:v>900.44910126100001</c:v>
                </c:pt>
                <c:pt idx="34">
                  <c:v>101.949352749</c:v>
                </c:pt>
                <c:pt idx="35">
                  <c:v>900.36842554600003</c:v>
                </c:pt>
                <c:pt idx="36">
                  <c:v>900.70740531299998</c:v>
                </c:pt>
                <c:pt idx="37">
                  <c:v>284.23696863700002</c:v>
                </c:pt>
                <c:pt idx="38">
                  <c:v>512.98595976499996</c:v>
                </c:pt>
                <c:pt idx="39">
                  <c:v>900.39855015000001</c:v>
                </c:pt>
                <c:pt idx="40">
                  <c:v>900.73680904599996</c:v>
                </c:pt>
                <c:pt idx="41">
                  <c:v>900.94614853099995</c:v>
                </c:pt>
                <c:pt idx="42">
                  <c:v>441.01398707800001</c:v>
                </c:pt>
                <c:pt idx="43">
                  <c:v>900.702252284</c:v>
                </c:pt>
                <c:pt idx="44">
                  <c:v>900.66008242700002</c:v>
                </c:pt>
                <c:pt idx="45">
                  <c:v>901.00476944499997</c:v>
                </c:pt>
                <c:pt idx="46">
                  <c:v>408.48152690400002</c:v>
                </c:pt>
                <c:pt idx="47">
                  <c:v>900.43066589900002</c:v>
                </c:pt>
                <c:pt idx="48">
                  <c:v>900.561535456</c:v>
                </c:pt>
                <c:pt idx="49">
                  <c:v>901.17603198100005</c:v>
                </c:pt>
                <c:pt idx="50">
                  <c:v>267.69128387000001</c:v>
                </c:pt>
                <c:pt idx="51">
                  <c:v>353.15547186499998</c:v>
                </c:pt>
                <c:pt idx="52">
                  <c:v>304.63777496900002</c:v>
                </c:pt>
                <c:pt idx="53">
                  <c:v>362.21633642299997</c:v>
                </c:pt>
                <c:pt idx="54">
                  <c:v>900.44122453299997</c:v>
                </c:pt>
                <c:pt idx="55">
                  <c:v>900.20509299000003</c:v>
                </c:pt>
                <c:pt idx="56">
                  <c:v>301.40909507700002</c:v>
                </c:pt>
                <c:pt idx="57">
                  <c:v>245.078564148</c:v>
                </c:pt>
                <c:pt idx="58">
                  <c:v>275.43281568700002</c:v>
                </c:pt>
                <c:pt idx="59">
                  <c:v>334.769823761</c:v>
                </c:pt>
                <c:pt idx="60">
                  <c:v>900.58257210299996</c:v>
                </c:pt>
                <c:pt idx="61">
                  <c:v>374.39203918700002</c:v>
                </c:pt>
                <c:pt idx="62">
                  <c:v>285.26687088199998</c:v>
                </c:pt>
                <c:pt idx="63">
                  <c:v>900.59894763700004</c:v>
                </c:pt>
                <c:pt idx="64">
                  <c:v>900.29491190199997</c:v>
                </c:pt>
                <c:pt idx="65">
                  <c:v>359.24753006700001</c:v>
                </c:pt>
                <c:pt idx="66">
                  <c:v>900.66301364499998</c:v>
                </c:pt>
                <c:pt idx="67">
                  <c:v>900.53138542600004</c:v>
                </c:pt>
                <c:pt idx="68">
                  <c:v>410.08142751999998</c:v>
                </c:pt>
                <c:pt idx="69">
                  <c:v>372.54315026699999</c:v>
                </c:pt>
                <c:pt idx="70">
                  <c:v>258.93554730199997</c:v>
                </c:pt>
                <c:pt idx="71">
                  <c:v>254.275946734</c:v>
                </c:pt>
                <c:pt idx="72">
                  <c:v>900.420728822</c:v>
                </c:pt>
                <c:pt idx="73">
                  <c:v>674.48660142899996</c:v>
                </c:pt>
                <c:pt idx="74">
                  <c:v>358.23981279600002</c:v>
                </c:pt>
                <c:pt idx="75">
                  <c:v>388.22756268199998</c:v>
                </c:pt>
                <c:pt idx="76">
                  <c:v>329.31005549000002</c:v>
                </c:pt>
                <c:pt idx="77">
                  <c:v>866.81160497999997</c:v>
                </c:pt>
                <c:pt idx="78">
                  <c:v>417.370231547</c:v>
                </c:pt>
                <c:pt idx="79">
                  <c:v>292.96268531999999</c:v>
                </c:pt>
                <c:pt idx="80">
                  <c:v>264.60447728499997</c:v>
                </c:pt>
                <c:pt idx="81">
                  <c:v>454.91475658100001</c:v>
                </c:pt>
                <c:pt idx="82">
                  <c:v>301.25968962399998</c:v>
                </c:pt>
                <c:pt idx="83">
                  <c:v>271.32480610300001</c:v>
                </c:pt>
                <c:pt idx="84">
                  <c:v>348.37115927100001</c:v>
                </c:pt>
                <c:pt idx="85">
                  <c:v>274.56951914199999</c:v>
                </c:pt>
                <c:pt idx="86">
                  <c:v>250.412556239</c:v>
                </c:pt>
                <c:pt idx="87">
                  <c:v>262.63546230899999</c:v>
                </c:pt>
                <c:pt idx="88">
                  <c:v>290.33938035800003</c:v>
                </c:pt>
                <c:pt idx="89">
                  <c:v>260.84487040300002</c:v>
                </c:pt>
                <c:pt idx="90">
                  <c:v>580.43816354600006</c:v>
                </c:pt>
                <c:pt idx="91">
                  <c:v>244.57435914300001</c:v>
                </c:pt>
                <c:pt idx="92">
                  <c:v>314.65199078500001</c:v>
                </c:pt>
                <c:pt idx="93">
                  <c:v>249.62426269299999</c:v>
                </c:pt>
                <c:pt idx="94">
                  <c:v>900.47565701200006</c:v>
                </c:pt>
                <c:pt idx="95">
                  <c:v>314.24517816399998</c:v>
                </c:pt>
                <c:pt idx="96">
                  <c:v>260.58133175699999</c:v>
                </c:pt>
                <c:pt idx="97">
                  <c:v>275.57270638099999</c:v>
                </c:pt>
                <c:pt idx="98">
                  <c:v>579.44181760499998</c:v>
                </c:pt>
                <c:pt idx="99">
                  <c:v>276.798249849</c:v>
                </c:pt>
                <c:pt idx="100">
                  <c:v>283.46968845800001</c:v>
                </c:pt>
                <c:pt idx="101">
                  <c:v>240.79882419899999</c:v>
                </c:pt>
                <c:pt idx="102">
                  <c:v>269.47697736399999</c:v>
                </c:pt>
                <c:pt idx="103">
                  <c:v>337.81699579299999</c:v>
                </c:pt>
                <c:pt idx="104">
                  <c:v>267.942629275</c:v>
                </c:pt>
                <c:pt idx="105">
                  <c:v>343.37022203399999</c:v>
                </c:pt>
                <c:pt idx="106">
                  <c:v>328.44329129400001</c:v>
                </c:pt>
                <c:pt idx="107">
                  <c:v>304.29222677600001</c:v>
                </c:pt>
                <c:pt idx="108">
                  <c:v>234.739752428</c:v>
                </c:pt>
                <c:pt idx="109">
                  <c:v>248.36849641800001</c:v>
                </c:pt>
                <c:pt idx="110">
                  <c:v>371.58849856099999</c:v>
                </c:pt>
                <c:pt idx="111">
                  <c:v>552.37968263699997</c:v>
                </c:pt>
                <c:pt idx="112">
                  <c:v>243.15779695500001</c:v>
                </c:pt>
                <c:pt idx="113">
                  <c:v>357.00022468600002</c:v>
                </c:pt>
                <c:pt idx="114">
                  <c:v>231.61617044799999</c:v>
                </c:pt>
                <c:pt idx="115">
                  <c:v>259.16878341</c:v>
                </c:pt>
                <c:pt idx="116">
                  <c:v>243.76971373699999</c:v>
                </c:pt>
                <c:pt idx="117">
                  <c:v>258.32480092399999</c:v>
                </c:pt>
                <c:pt idx="118">
                  <c:v>285.222728335</c:v>
                </c:pt>
                <c:pt idx="119">
                  <c:v>318.10460129500001</c:v>
                </c:pt>
                <c:pt idx="120">
                  <c:v>277.56154948599999</c:v>
                </c:pt>
                <c:pt idx="121">
                  <c:v>235.699196046</c:v>
                </c:pt>
                <c:pt idx="122">
                  <c:v>264.69390834000001</c:v>
                </c:pt>
                <c:pt idx="123">
                  <c:v>389.89451014799999</c:v>
                </c:pt>
                <c:pt idx="124">
                  <c:v>335.482892064</c:v>
                </c:pt>
                <c:pt idx="125">
                  <c:v>281.96022654500001</c:v>
                </c:pt>
                <c:pt idx="126">
                  <c:v>300.14612388799998</c:v>
                </c:pt>
                <c:pt idx="127">
                  <c:v>289.84874341400001</c:v>
                </c:pt>
                <c:pt idx="128">
                  <c:v>282.41454880399999</c:v>
                </c:pt>
                <c:pt idx="129">
                  <c:v>274.79770590800001</c:v>
                </c:pt>
                <c:pt idx="130">
                  <c:v>283.02608759899999</c:v>
                </c:pt>
                <c:pt idx="131">
                  <c:v>264.491244849</c:v>
                </c:pt>
                <c:pt idx="132">
                  <c:v>269.666747988</c:v>
                </c:pt>
                <c:pt idx="133">
                  <c:v>445.36496587699997</c:v>
                </c:pt>
                <c:pt idx="134">
                  <c:v>247.78415055299999</c:v>
                </c:pt>
                <c:pt idx="135">
                  <c:v>313.86192082100001</c:v>
                </c:pt>
                <c:pt idx="136">
                  <c:v>387.22107886499998</c:v>
                </c:pt>
                <c:pt idx="137">
                  <c:v>274.65657055600002</c:v>
                </c:pt>
                <c:pt idx="138">
                  <c:v>276.39855823800002</c:v>
                </c:pt>
                <c:pt idx="139">
                  <c:v>318.03187783999999</c:v>
                </c:pt>
                <c:pt idx="140">
                  <c:v>234.46538080400001</c:v>
                </c:pt>
                <c:pt idx="141">
                  <c:v>258.46980444500002</c:v>
                </c:pt>
                <c:pt idx="142">
                  <c:v>235.786291006</c:v>
                </c:pt>
                <c:pt idx="143">
                  <c:v>395.26628126200001</c:v>
                </c:pt>
                <c:pt idx="144">
                  <c:v>251.63941311900001</c:v>
                </c:pt>
                <c:pt idx="145">
                  <c:v>236.77150342900001</c:v>
                </c:pt>
                <c:pt idx="146">
                  <c:v>306.68264920199999</c:v>
                </c:pt>
                <c:pt idx="147">
                  <c:v>230.87440232200001</c:v>
                </c:pt>
                <c:pt idx="148">
                  <c:v>286.46572742400002</c:v>
                </c:pt>
                <c:pt idx="149">
                  <c:v>250.789363288</c:v>
                </c:pt>
                <c:pt idx="150">
                  <c:v>305.01056910199998</c:v>
                </c:pt>
                <c:pt idx="151">
                  <c:v>345.69724319099998</c:v>
                </c:pt>
                <c:pt idx="152">
                  <c:v>358.51379549400002</c:v>
                </c:pt>
                <c:pt idx="153">
                  <c:v>286.59009589599998</c:v>
                </c:pt>
                <c:pt idx="154">
                  <c:v>334.15315001099998</c:v>
                </c:pt>
                <c:pt idx="155">
                  <c:v>240.748013421</c:v>
                </c:pt>
                <c:pt idx="156">
                  <c:v>258.24059554199999</c:v>
                </c:pt>
                <c:pt idx="157">
                  <c:v>242.97418495100001</c:v>
                </c:pt>
                <c:pt idx="158">
                  <c:v>227.788611014</c:v>
                </c:pt>
                <c:pt idx="159">
                  <c:v>256.34232049600001</c:v>
                </c:pt>
                <c:pt idx="160">
                  <c:v>239.04418958900001</c:v>
                </c:pt>
                <c:pt idx="161">
                  <c:v>239.28766783200001</c:v>
                </c:pt>
                <c:pt idx="162">
                  <c:v>258.41481858700001</c:v>
                </c:pt>
                <c:pt idx="163">
                  <c:v>384.91719468100001</c:v>
                </c:pt>
                <c:pt idx="164">
                  <c:v>385.39433057899998</c:v>
                </c:pt>
                <c:pt idx="165">
                  <c:v>261.67438487099997</c:v>
                </c:pt>
                <c:pt idx="166">
                  <c:v>235.53142177199999</c:v>
                </c:pt>
                <c:pt idx="167">
                  <c:v>292.54950083199998</c:v>
                </c:pt>
                <c:pt idx="168">
                  <c:v>259.89299405000003</c:v>
                </c:pt>
                <c:pt idx="169">
                  <c:v>275.90569621899999</c:v>
                </c:pt>
                <c:pt idx="170">
                  <c:v>297.64236547799999</c:v>
                </c:pt>
              </c:numCache>
            </c:numRef>
          </c:yVal>
          <c:smooth val="0"/>
          <c:extLst>
            <c:ext xmlns:c16="http://schemas.microsoft.com/office/drawing/2014/chart" uri="{C3380CC4-5D6E-409C-BE32-E72D297353CC}">
              <c16:uniqueId val="{00000000-86EF-420F-9DC9-84DBFC26009E}"/>
            </c:ext>
          </c:extLst>
        </c:ser>
        <c:ser>
          <c:idx val="1"/>
          <c:order val="1"/>
          <c:tx>
            <c:strRef>
              <c:f>'SCRAM-Prob-NON-CCF'!$C$1</c:f>
              <c:strCache>
                <c:ptCount val="1"/>
                <c:pt idx="0">
                  <c:v>CPU Time-mocus</c:v>
                </c:pt>
              </c:strCache>
            </c:strRef>
          </c:tx>
          <c:spPr>
            <a:ln w="19050" cap="rnd">
              <a:noFill/>
              <a:round/>
            </a:ln>
            <a:effectLst/>
          </c:spPr>
          <c:marker>
            <c:symbol val="circle"/>
            <c:size val="5"/>
            <c:spPr>
              <a:solidFill>
                <a:schemeClr val="accent2"/>
              </a:solidFill>
              <a:ln w="9525">
                <a:solidFill>
                  <a:schemeClr val="accent2"/>
                </a:solidFill>
              </a:ln>
              <a:effectLst/>
            </c:spPr>
          </c:marker>
          <c:xVal>
            <c:strRef>
              <c:f>'SCRAM-Prob-NON-CCF'!$A$2:$A$173</c:f>
              <c:strCache>
                <c:ptCount val="171"/>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8000-05</c:v>
                </c:pt>
                <c:pt idx="149">
                  <c:v>8000-06</c:v>
                </c:pt>
                <c:pt idx="150">
                  <c:v>8000-07</c:v>
                </c:pt>
                <c:pt idx="151">
                  <c:v>8000-08</c:v>
                </c:pt>
                <c:pt idx="152">
                  <c:v>8000-09</c:v>
                </c:pt>
                <c:pt idx="153">
                  <c:v>9000-01</c:v>
                </c:pt>
                <c:pt idx="154">
                  <c:v>9000-02</c:v>
                </c:pt>
                <c:pt idx="155">
                  <c:v>9000-03</c:v>
                </c:pt>
                <c:pt idx="156">
                  <c:v>9000-04</c:v>
                </c:pt>
                <c:pt idx="157">
                  <c:v>9000-05</c:v>
                </c:pt>
                <c:pt idx="158">
                  <c:v>9000-06</c:v>
                </c:pt>
                <c:pt idx="159">
                  <c:v>9000-07</c:v>
                </c:pt>
                <c:pt idx="160">
                  <c:v>9000-08</c:v>
                </c:pt>
                <c:pt idx="161">
                  <c:v>9000-09</c:v>
                </c:pt>
                <c:pt idx="162">
                  <c:v>10000-01</c:v>
                </c:pt>
                <c:pt idx="163">
                  <c:v>10000-02</c:v>
                </c:pt>
                <c:pt idx="164">
                  <c:v>10000-03</c:v>
                </c:pt>
                <c:pt idx="165">
                  <c:v>10000-04</c:v>
                </c:pt>
                <c:pt idx="166">
                  <c:v>10000-05</c:v>
                </c:pt>
                <c:pt idx="167">
                  <c:v>10000-06</c:v>
                </c:pt>
                <c:pt idx="168">
                  <c:v>10000-07</c:v>
                </c:pt>
                <c:pt idx="169">
                  <c:v>10000-08</c:v>
                </c:pt>
                <c:pt idx="170">
                  <c:v>10000-09</c:v>
                </c:pt>
              </c:strCache>
            </c:strRef>
          </c:xVal>
          <c:yVal>
            <c:numRef>
              <c:f>'SCRAM-Prob-NON-CCF'!$C$2:$C$173</c:f>
              <c:numCache>
                <c:formatCode>General</c:formatCode>
                <c:ptCount val="172"/>
                <c:pt idx="0">
                  <c:v>0.118721988</c:v>
                </c:pt>
                <c:pt idx="1">
                  <c:v>0.226832702</c:v>
                </c:pt>
                <c:pt idx="2">
                  <c:v>0.102652994</c:v>
                </c:pt>
                <c:pt idx="3">
                  <c:v>0.110802336</c:v>
                </c:pt>
                <c:pt idx="4">
                  <c:v>0.100050083</c:v>
                </c:pt>
                <c:pt idx="5">
                  <c:v>0.118666935</c:v>
                </c:pt>
                <c:pt idx="6">
                  <c:v>0.10818058799999999</c:v>
                </c:pt>
                <c:pt idx="7">
                  <c:v>0.22956998200000001</c:v>
                </c:pt>
                <c:pt idx="8">
                  <c:v>0.238241487</c:v>
                </c:pt>
                <c:pt idx="9">
                  <c:v>0.13105389100000001</c:v>
                </c:pt>
                <c:pt idx="10">
                  <c:v>15.169111383000001</c:v>
                </c:pt>
                <c:pt idx="11">
                  <c:v>1.1165375120000001</c:v>
                </c:pt>
                <c:pt idx="12">
                  <c:v>0.107384961</c:v>
                </c:pt>
                <c:pt idx="13">
                  <c:v>0.22412981400000001</c:v>
                </c:pt>
                <c:pt idx="14">
                  <c:v>0.38593401300000002</c:v>
                </c:pt>
                <c:pt idx="15">
                  <c:v>13.077579808999999</c:v>
                </c:pt>
                <c:pt idx="16">
                  <c:v>0.74678053899999997</c:v>
                </c:pt>
                <c:pt idx="17">
                  <c:v>35.598312591999999</c:v>
                </c:pt>
                <c:pt idx="18">
                  <c:v>98.121022095000001</c:v>
                </c:pt>
                <c:pt idx="19">
                  <c:v>0.71364370399999999</c:v>
                </c:pt>
                <c:pt idx="20">
                  <c:v>58.751759880999998</c:v>
                </c:pt>
                <c:pt idx="21">
                  <c:v>11.095838485</c:v>
                </c:pt>
                <c:pt idx="22">
                  <c:v>219.57988500299999</c:v>
                </c:pt>
                <c:pt idx="23">
                  <c:v>38.383026800000003</c:v>
                </c:pt>
                <c:pt idx="24">
                  <c:v>900.06407556500005</c:v>
                </c:pt>
                <c:pt idx="25">
                  <c:v>27.018760514</c:v>
                </c:pt>
                <c:pt idx="26">
                  <c:v>900.55886227899998</c:v>
                </c:pt>
                <c:pt idx="27">
                  <c:v>581.83965657199997</c:v>
                </c:pt>
                <c:pt idx="28">
                  <c:v>18.937684114</c:v>
                </c:pt>
                <c:pt idx="29">
                  <c:v>900.50645831400004</c:v>
                </c:pt>
                <c:pt idx="30">
                  <c:v>7.654047813</c:v>
                </c:pt>
                <c:pt idx="31">
                  <c:v>900.741932185</c:v>
                </c:pt>
                <c:pt idx="32">
                  <c:v>901.00057588699997</c:v>
                </c:pt>
                <c:pt idx="33">
                  <c:v>900.69165591499996</c:v>
                </c:pt>
                <c:pt idx="34">
                  <c:v>104.875892791</c:v>
                </c:pt>
                <c:pt idx="35">
                  <c:v>900.42206032399997</c:v>
                </c:pt>
                <c:pt idx="36">
                  <c:v>900.62601442699997</c:v>
                </c:pt>
                <c:pt idx="37">
                  <c:v>900.58179121700005</c:v>
                </c:pt>
                <c:pt idx="38">
                  <c:v>900.87519253300002</c:v>
                </c:pt>
                <c:pt idx="39">
                  <c:v>900.66302862299995</c:v>
                </c:pt>
                <c:pt idx="40">
                  <c:v>900.69834227499996</c:v>
                </c:pt>
                <c:pt idx="41">
                  <c:v>900.67368546700004</c:v>
                </c:pt>
                <c:pt idx="42">
                  <c:v>900.76833597899997</c:v>
                </c:pt>
                <c:pt idx="43">
                  <c:v>900.62503227900004</c:v>
                </c:pt>
                <c:pt idx="44">
                  <c:v>900.71990403799998</c:v>
                </c:pt>
                <c:pt idx="45">
                  <c:v>900.63798706900002</c:v>
                </c:pt>
                <c:pt idx="46">
                  <c:v>900.84312740200005</c:v>
                </c:pt>
                <c:pt idx="47">
                  <c:v>900.88179477400001</c:v>
                </c:pt>
                <c:pt idx="48">
                  <c:v>900.73007248500005</c:v>
                </c:pt>
                <c:pt idx="49">
                  <c:v>900.70331985200005</c:v>
                </c:pt>
                <c:pt idx="50">
                  <c:v>900.22800648199996</c:v>
                </c:pt>
                <c:pt idx="51">
                  <c:v>900.80350098400004</c:v>
                </c:pt>
                <c:pt idx="52">
                  <c:v>900.80721770800005</c:v>
                </c:pt>
                <c:pt idx="53">
                  <c:v>901.07363602400005</c:v>
                </c:pt>
                <c:pt idx="54">
                  <c:v>900.61743040800002</c:v>
                </c:pt>
                <c:pt idx="55">
                  <c:v>900.61855696700002</c:v>
                </c:pt>
                <c:pt idx="56">
                  <c:v>900.72696442999995</c:v>
                </c:pt>
                <c:pt idx="57">
                  <c:v>901.12117005100004</c:v>
                </c:pt>
                <c:pt idx="58">
                  <c:v>900.59310218300004</c:v>
                </c:pt>
                <c:pt idx="59">
                  <c:v>900.87606576400003</c:v>
                </c:pt>
                <c:pt idx="60">
                  <c:v>900.56319834700003</c:v>
                </c:pt>
                <c:pt idx="61">
                  <c:v>901.26092959599998</c:v>
                </c:pt>
                <c:pt idx="62">
                  <c:v>900.92642051899998</c:v>
                </c:pt>
                <c:pt idx="63">
                  <c:v>900.70924787000001</c:v>
                </c:pt>
                <c:pt idx="64">
                  <c:v>900.71652265700004</c:v>
                </c:pt>
                <c:pt idx="65">
                  <c:v>900.76153183400004</c:v>
                </c:pt>
                <c:pt idx="66">
                  <c:v>900.52037272099994</c:v>
                </c:pt>
                <c:pt idx="67">
                  <c:v>900.62532965900004</c:v>
                </c:pt>
                <c:pt idx="68">
                  <c:v>900.97381410599996</c:v>
                </c:pt>
                <c:pt idx="69">
                  <c:v>900.19326328299996</c:v>
                </c:pt>
                <c:pt idx="70">
                  <c:v>900.73389185799999</c:v>
                </c:pt>
                <c:pt idx="71">
                  <c:v>900.49925293000001</c:v>
                </c:pt>
                <c:pt idx="72">
                  <c:v>900.20344078300002</c:v>
                </c:pt>
                <c:pt idx="73">
                  <c:v>900.61311889299998</c:v>
                </c:pt>
                <c:pt idx="74">
                  <c:v>901.16613682299999</c:v>
                </c:pt>
                <c:pt idx="75">
                  <c:v>900.99737023099999</c:v>
                </c:pt>
                <c:pt idx="76">
                  <c:v>901.65688570600003</c:v>
                </c:pt>
                <c:pt idx="77">
                  <c:v>900.57624852499998</c:v>
                </c:pt>
                <c:pt idx="78">
                  <c:v>901.29184270500002</c:v>
                </c:pt>
                <c:pt idx="79">
                  <c:v>900.28142052400005</c:v>
                </c:pt>
                <c:pt idx="80">
                  <c:v>592.45020705900004</c:v>
                </c:pt>
                <c:pt idx="81">
                  <c:v>900.81580006800004</c:v>
                </c:pt>
                <c:pt idx="82">
                  <c:v>900.42025803700005</c:v>
                </c:pt>
                <c:pt idx="83">
                  <c:v>782.29875594400005</c:v>
                </c:pt>
                <c:pt idx="84">
                  <c:v>900.74761833900004</c:v>
                </c:pt>
                <c:pt idx="85">
                  <c:v>663.28898936500002</c:v>
                </c:pt>
                <c:pt idx="86">
                  <c:v>900.36913307099996</c:v>
                </c:pt>
                <c:pt idx="87">
                  <c:v>704.30006337099996</c:v>
                </c:pt>
                <c:pt idx="88">
                  <c:v>900.92998198800001</c:v>
                </c:pt>
                <c:pt idx="89">
                  <c:v>900.65596497800004</c:v>
                </c:pt>
                <c:pt idx="90">
                  <c:v>900.45897315399998</c:v>
                </c:pt>
                <c:pt idx="91">
                  <c:v>900.71818734500005</c:v>
                </c:pt>
                <c:pt idx="92">
                  <c:v>900.80344073200001</c:v>
                </c:pt>
                <c:pt idx="93">
                  <c:v>901.329464723</c:v>
                </c:pt>
                <c:pt idx="94">
                  <c:v>900.63067360000002</c:v>
                </c:pt>
                <c:pt idx="95">
                  <c:v>900.98780075800005</c:v>
                </c:pt>
                <c:pt idx="96">
                  <c:v>900.74241049600005</c:v>
                </c:pt>
                <c:pt idx="97">
                  <c:v>871.35900070299999</c:v>
                </c:pt>
                <c:pt idx="98">
                  <c:v>901.000313914</c:v>
                </c:pt>
                <c:pt idx="99">
                  <c:v>901.19518481199998</c:v>
                </c:pt>
                <c:pt idx="100">
                  <c:v>901.10289617900003</c:v>
                </c:pt>
                <c:pt idx="101">
                  <c:v>900.73601434600005</c:v>
                </c:pt>
                <c:pt idx="102">
                  <c:v>743.21841240900005</c:v>
                </c:pt>
                <c:pt idx="103">
                  <c:v>786.88196169599996</c:v>
                </c:pt>
                <c:pt idx="104">
                  <c:v>901.00845111399997</c:v>
                </c:pt>
                <c:pt idx="105">
                  <c:v>900.91634880599997</c:v>
                </c:pt>
                <c:pt idx="106">
                  <c:v>900.96021605600004</c:v>
                </c:pt>
                <c:pt idx="107">
                  <c:v>684.75595167200004</c:v>
                </c:pt>
                <c:pt idx="108">
                  <c:v>900.796229584</c:v>
                </c:pt>
                <c:pt idx="109">
                  <c:v>901.20382762199995</c:v>
                </c:pt>
                <c:pt idx="110">
                  <c:v>901.01939975599998</c:v>
                </c:pt>
                <c:pt idx="111">
                  <c:v>900.94177709899998</c:v>
                </c:pt>
                <c:pt idx="112">
                  <c:v>900.87342429399996</c:v>
                </c:pt>
                <c:pt idx="113">
                  <c:v>901.05077969599995</c:v>
                </c:pt>
                <c:pt idx="114">
                  <c:v>900.67826023400005</c:v>
                </c:pt>
                <c:pt idx="115">
                  <c:v>901.05255565699997</c:v>
                </c:pt>
                <c:pt idx="116">
                  <c:v>900.95453154500001</c:v>
                </c:pt>
                <c:pt idx="117">
                  <c:v>782.445824786</c:v>
                </c:pt>
                <c:pt idx="118">
                  <c:v>901.10427113399999</c:v>
                </c:pt>
                <c:pt idx="119">
                  <c:v>901.11981507500002</c:v>
                </c:pt>
                <c:pt idx="120">
                  <c:v>737.48011999799996</c:v>
                </c:pt>
                <c:pt idx="121">
                  <c:v>749.01904489799995</c:v>
                </c:pt>
                <c:pt idx="122">
                  <c:v>901.037702846</c:v>
                </c:pt>
                <c:pt idx="123">
                  <c:v>900.759742254</c:v>
                </c:pt>
                <c:pt idx="124">
                  <c:v>900.861964908</c:v>
                </c:pt>
                <c:pt idx="125">
                  <c:v>889.46840442300004</c:v>
                </c:pt>
                <c:pt idx="126">
                  <c:v>900.80388904999995</c:v>
                </c:pt>
                <c:pt idx="127">
                  <c:v>900.88279217100001</c:v>
                </c:pt>
                <c:pt idx="128">
                  <c:v>900.74573001299996</c:v>
                </c:pt>
                <c:pt idx="129">
                  <c:v>808.56434757299996</c:v>
                </c:pt>
                <c:pt idx="130">
                  <c:v>901.20853455199995</c:v>
                </c:pt>
                <c:pt idx="131">
                  <c:v>901.12133119199996</c:v>
                </c:pt>
                <c:pt idx="132">
                  <c:v>794.39109446199996</c:v>
                </c:pt>
                <c:pt idx="133">
                  <c:v>901.35649847000002</c:v>
                </c:pt>
                <c:pt idx="134">
                  <c:v>707.400409653</c:v>
                </c:pt>
                <c:pt idx="135">
                  <c:v>799.57869366499995</c:v>
                </c:pt>
                <c:pt idx="136">
                  <c:v>817.53879359400003</c:v>
                </c:pt>
                <c:pt idx="137">
                  <c:v>900.83351148199995</c:v>
                </c:pt>
                <c:pt idx="138">
                  <c:v>901.03639334699994</c:v>
                </c:pt>
                <c:pt idx="139">
                  <c:v>825.18769141400003</c:v>
                </c:pt>
                <c:pt idx="140">
                  <c:v>900.80964833400003</c:v>
                </c:pt>
                <c:pt idx="141">
                  <c:v>900.81326489800006</c:v>
                </c:pt>
                <c:pt idx="142">
                  <c:v>603.54956849799999</c:v>
                </c:pt>
                <c:pt idx="143">
                  <c:v>589.68770482699995</c:v>
                </c:pt>
                <c:pt idx="144">
                  <c:v>674.36812564399997</c:v>
                </c:pt>
                <c:pt idx="145">
                  <c:v>782.20751877500004</c:v>
                </c:pt>
                <c:pt idx="146">
                  <c:v>691.00651817100004</c:v>
                </c:pt>
                <c:pt idx="147">
                  <c:v>901.13898750299995</c:v>
                </c:pt>
                <c:pt idx="148">
                  <c:v>662.27781862300003</c:v>
                </c:pt>
                <c:pt idx="149">
                  <c:v>900.77883559999998</c:v>
                </c:pt>
                <c:pt idx="150">
                  <c:v>901.08244443599995</c:v>
                </c:pt>
                <c:pt idx="151">
                  <c:v>754.51687681500005</c:v>
                </c:pt>
                <c:pt idx="152">
                  <c:v>756.57567970699995</c:v>
                </c:pt>
                <c:pt idx="153">
                  <c:v>900.73143060500001</c:v>
                </c:pt>
                <c:pt idx="154">
                  <c:v>900.73565080100002</c:v>
                </c:pt>
                <c:pt idx="155">
                  <c:v>865.81533198</c:v>
                </c:pt>
                <c:pt idx="156">
                  <c:v>901.11088607299996</c:v>
                </c:pt>
                <c:pt idx="157">
                  <c:v>897.86626549799996</c:v>
                </c:pt>
                <c:pt idx="158">
                  <c:v>901.12989532200004</c:v>
                </c:pt>
                <c:pt idx="159">
                  <c:v>746.57821592000005</c:v>
                </c:pt>
                <c:pt idx="160">
                  <c:v>570.86494316200003</c:v>
                </c:pt>
                <c:pt idx="161">
                  <c:v>813.23098905100005</c:v>
                </c:pt>
                <c:pt idx="162">
                  <c:v>901.03297192000002</c:v>
                </c:pt>
                <c:pt idx="163">
                  <c:v>828.50521643599996</c:v>
                </c:pt>
                <c:pt idx="164">
                  <c:v>834.22791353100001</c:v>
                </c:pt>
                <c:pt idx="165">
                  <c:v>519.21344740100005</c:v>
                </c:pt>
                <c:pt idx="166">
                  <c:v>900.90492355699996</c:v>
                </c:pt>
                <c:pt idx="167">
                  <c:v>900.98597761799999</c:v>
                </c:pt>
                <c:pt idx="168">
                  <c:v>901.12883448399998</c:v>
                </c:pt>
                <c:pt idx="169">
                  <c:v>901.27909736900006</c:v>
                </c:pt>
                <c:pt idx="170">
                  <c:v>901.12417811399996</c:v>
                </c:pt>
              </c:numCache>
            </c:numRef>
          </c:yVal>
          <c:smooth val="0"/>
          <c:extLst>
            <c:ext xmlns:c16="http://schemas.microsoft.com/office/drawing/2014/chart" uri="{C3380CC4-5D6E-409C-BE32-E72D297353CC}">
              <c16:uniqueId val="{00000001-86EF-420F-9DC9-84DBFC26009E}"/>
            </c:ext>
          </c:extLst>
        </c:ser>
        <c:ser>
          <c:idx val="2"/>
          <c:order val="2"/>
          <c:tx>
            <c:strRef>
              <c:f>'SCRAM-Prob-NON-CCF'!$D$1</c:f>
              <c:strCache>
                <c:ptCount val="1"/>
                <c:pt idx="0">
                  <c:v>CPU Time-zbdd</c:v>
                </c:pt>
              </c:strCache>
            </c:strRef>
          </c:tx>
          <c:spPr>
            <a:ln w="19050" cap="rnd">
              <a:noFill/>
              <a:round/>
            </a:ln>
            <a:effectLst/>
          </c:spPr>
          <c:marker>
            <c:symbol val="circle"/>
            <c:size val="5"/>
            <c:spPr>
              <a:solidFill>
                <a:schemeClr val="accent3"/>
              </a:solidFill>
              <a:ln w="9525">
                <a:solidFill>
                  <a:schemeClr val="accent3"/>
                </a:solidFill>
              </a:ln>
              <a:effectLst/>
            </c:spPr>
          </c:marker>
          <c:xVal>
            <c:strRef>
              <c:f>'SCRAM-Prob-NON-CCF'!$A$2:$A$173</c:f>
              <c:strCache>
                <c:ptCount val="171"/>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8000-05</c:v>
                </c:pt>
                <c:pt idx="149">
                  <c:v>8000-06</c:v>
                </c:pt>
                <c:pt idx="150">
                  <c:v>8000-07</c:v>
                </c:pt>
                <c:pt idx="151">
                  <c:v>8000-08</c:v>
                </c:pt>
                <c:pt idx="152">
                  <c:v>8000-09</c:v>
                </c:pt>
                <c:pt idx="153">
                  <c:v>9000-01</c:v>
                </c:pt>
                <c:pt idx="154">
                  <c:v>9000-02</c:v>
                </c:pt>
                <c:pt idx="155">
                  <c:v>9000-03</c:v>
                </c:pt>
                <c:pt idx="156">
                  <c:v>9000-04</c:v>
                </c:pt>
                <c:pt idx="157">
                  <c:v>9000-05</c:v>
                </c:pt>
                <c:pt idx="158">
                  <c:v>9000-06</c:v>
                </c:pt>
                <c:pt idx="159">
                  <c:v>9000-07</c:v>
                </c:pt>
                <c:pt idx="160">
                  <c:v>9000-08</c:v>
                </c:pt>
                <c:pt idx="161">
                  <c:v>9000-09</c:v>
                </c:pt>
                <c:pt idx="162">
                  <c:v>10000-01</c:v>
                </c:pt>
                <c:pt idx="163">
                  <c:v>10000-02</c:v>
                </c:pt>
                <c:pt idx="164">
                  <c:v>10000-03</c:v>
                </c:pt>
                <c:pt idx="165">
                  <c:v>10000-04</c:v>
                </c:pt>
                <c:pt idx="166">
                  <c:v>10000-05</c:v>
                </c:pt>
                <c:pt idx="167">
                  <c:v>10000-06</c:v>
                </c:pt>
                <c:pt idx="168">
                  <c:v>10000-07</c:v>
                </c:pt>
                <c:pt idx="169">
                  <c:v>10000-08</c:v>
                </c:pt>
                <c:pt idx="170">
                  <c:v>10000-09</c:v>
                </c:pt>
              </c:strCache>
            </c:strRef>
          </c:xVal>
          <c:yVal>
            <c:numRef>
              <c:f>'SCRAM-Prob-NON-CCF'!$D$2:$D$173</c:f>
              <c:numCache>
                <c:formatCode>General</c:formatCode>
                <c:ptCount val="172"/>
                <c:pt idx="0">
                  <c:v>0.113772972</c:v>
                </c:pt>
                <c:pt idx="1">
                  <c:v>0.221840754</c:v>
                </c:pt>
                <c:pt idx="2">
                  <c:v>0.100072827</c:v>
                </c:pt>
                <c:pt idx="3">
                  <c:v>0.105313641</c:v>
                </c:pt>
                <c:pt idx="4">
                  <c:v>9.5055674000000007E-2</c:v>
                </c:pt>
                <c:pt idx="5">
                  <c:v>0.110468444</c:v>
                </c:pt>
                <c:pt idx="6">
                  <c:v>0.10284903500000001</c:v>
                </c:pt>
                <c:pt idx="7">
                  <c:v>0.223540244</c:v>
                </c:pt>
                <c:pt idx="8">
                  <c:v>0.233140597</c:v>
                </c:pt>
                <c:pt idx="9">
                  <c:v>0.13125976</c:v>
                </c:pt>
                <c:pt idx="10">
                  <c:v>14.991968522000001</c:v>
                </c:pt>
                <c:pt idx="11">
                  <c:v>1.110123379</c:v>
                </c:pt>
                <c:pt idx="12">
                  <c:v>0.10867394900000001</c:v>
                </c:pt>
                <c:pt idx="13">
                  <c:v>0.22820383899999999</c:v>
                </c:pt>
                <c:pt idx="14">
                  <c:v>0.39378183500000002</c:v>
                </c:pt>
                <c:pt idx="15">
                  <c:v>12.958363910999999</c:v>
                </c:pt>
                <c:pt idx="16">
                  <c:v>0.74224239000000003</c:v>
                </c:pt>
                <c:pt idx="17">
                  <c:v>35.772169886</c:v>
                </c:pt>
                <c:pt idx="18">
                  <c:v>101.288234077</c:v>
                </c:pt>
                <c:pt idx="19">
                  <c:v>0.729909162</c:v>
                </c:pt>
                <c:pt idx="20">
                  <c:v>62.211099359999999</c:v>
                </c:pt>
                <c:pt idx="21">
                  <c:v>11.784253142000001</c:v>
                </c:pt>
                <c:pt idx="22">
                  <c:v>224.09513117200001</c:v>
                </c:pt>
                <c:pt idx="23">
                  <c:v>41.355713903999998</c:v>
                </c:pt>
                <c:pt idx="24">
                  <c:v>901.037127983</c:v>
                </c:pt>
                <c:pt idx="25">
                  <c:v>29.181718298</c:v>
                </c:pt>
                <c:pt idx="26">
                  <c:v>900.63898362500004</c:v>
                </c:pt>
                <c:pt idx="27">
                  <c:v>579.47119474399994</c:v>
                </c:pt>
                <c:pt idx="28">
                  <c:v>18.884020980999999</c:v>
                </c:pt>
                <c:pt idx="29">
                  <c:v>900.26928459700002</c:v>
                </c:pt>
                <c:pt idx="30">
                  <c:v>7.0912967929999997</c:v>
                </c:pt>
                <c:pt idx="31">
                  <c:v>900.37790500000006</c:v>
                </c:pt>
                <c:pt idx="32">
                  <c:v>901.00074585499999</c:v>
                </c:pt>
                <c:pt idx="33">
                  <c:v>900.51190014899998</c:v>
                </c:pt>
                <c:pt idx="34">
                  <c:v>103.669575352</c:v>
                </c:pt>
                <c:pt idx="35">
                  <c:v>900.61249708499997</c:v>
                </c:pt>
                <c:pt idx="36">
                  <c:v>900.71484535299999</c:v>
                </c:pt>
                <c:pt idx="37">
                  <c:v>900.75066494500004</c:v>
                </c:pt>
                <c:pt idx="38">
                  <c:v>300.68815876000002</c:v>
                </c:pt>
                <c:pt idx="39">
                  <c:v>900.70903568200004</c:v>
                </c:pt>
                <c:pt idx="40">
                  <c:v>900.74183300899995</c:v>
                </c:pt>
                <c:pt idx="41">
                  <c:v>900.73926895600005</c:v>
                </c:pt>
                <c:pt idx="42">
                  <c:v>900.81984434000003</c:v>
                </c:pt>
                <c:pt idx="43">
                  <c:v>900.59683742200002</c:v>
                </c:pt>
                <c:pt idx="44">
                  <c:v>900.61001479799995</c:v>
                </c:pt>
                <c:pt idx="45">
                  <c:v>900.54030226299994</c:v>
                </c:pt>
                <c:pt idx="46">
                  <c:v>291.886774559</c:v>
                </c:pt>
                <c:pt idx="47">
                  <c:v>900.67661845500004</c:v>
                </c:pt>
                <c:pt idx="48">
                  <c:v>900.67804614500005</c:v>
                </c:pt>
                <c:pt idx="49">
                  <c:v>900.80257170499999</c:v>
                </c:pt>
                <c:pt idx="50">
                  <c:v>901.01228915199999</c:v>
                </c:pt>
                <c:pt idx="51">
                  <c:v>900.80656674299996</c:v>
                </c:pt>
                <c:pt idx="52">
                  <c:v>900.56225555799995</c:v>
                </c:pt>
                <c:pt idx="53">
                  <c:v>374.22668306600002</c:v>
                </c:pt>
                <c:pt idx="54">
                  <c:v>900.63187374799998</c:v>
                </c:pt>
                <c:pt idx="55">
                  <c:v>900.61639546499998</c:v>
                </c:pt>
                <c:pt idx="56">
                  <c:v>293.36675469599999</c:v>
                </c:pt>
                <c:pt idx="57">
                  <c:v>299.48153785900001</c:v>
                </c:pt>
                <c:pt idx="58">
                  <c:v>900.57180929799995</c:v>
                </c:pt>
                <c:pt idx="59">
                  <c:v>316.588640446</c:v>
                </c:pt>
                <c:pt idx="60">
                  <c:v>900.56790247599997</c:v>
                </c:pt>
                <c:pt idx="61">
                  <c:v>808.36159149299999</c:v>
                </c:pt>
                <c:pt idx="62">
                  <c:v>420.396835082</c:v>
                </c:pt>
                <c:pt idx="63">
                  <c:v>326.96078279199997</c:v>
                </c:pt>
                <c:pt idx="64">
                  <c:v>900.69381047399997</c:v>
                </c:pt>
                <c:pt idx="65">
                  <c:v>900.752875668</c:v>
                </c:pt>
                <c:pt idx="66">
                  <c:v>900.56751756699998</c:v>
                </c:pt>
                <c:pt idx="67">
                  <c:v>900.70315056799996</c:v>
                </c:pt>
                <c:pt idx="68">
                  <c:v>330.98709936</c:v>
                </c:pt>
                <c:pt idx="69">
                  <c:v>900.58493330700003</c:v>
                </c:pt>
                <c:pt idx="70">
                  <c:v>900.75519294200001</c:v>
                </c:pt>
                <c:pt idx="71">
                  <c:v>900.72834091799996</c:v>
                </c:pt>
                <c:pt idx="72">
                  <c:v>900.52688756600003</c:v>
                </c:pt>
                <c:pt idx="73">
                  <c:v>900.959565097</c:v>
                </c:pt>
                <c:pt idx="74">
                  <c:v>339.77320929799998</c:v>
                </c:pt>
                <c:pt idx="75">
                  <c:v>901.00127026200005</c:v>
                </c:pt>
                <c:pt idx="76">
                  <c:v>264.983251198</c:v>
                </c:pt>
                <c:pt idx="77">
                  <c:v>900.610461364</c:v>
                </c:pt>
                <c:pt idx="78">
                  <c:v>343.39237315899999</c:v>
                </c:pt>
                <c:pt idx="79">
                  <c:v>900.62451302700003</c:v>
                </c:pt>
                <c:pt idx="80">
                  <c:v>314.53130529600003</c:v>
                </c:pt>
                <c:pt idx="81">
                  <c:v>315.54649961400003</c:v>
                </c:pt>
                <c:pt idx="82">
                  <c:v>900.56801208900004</c:v>
                </c:pt>
                <c:pt idx="83">
                  <c:v>243.529617159</c:v>
                </c:pt>
                <c:pt idx="84">
                  <c:v>900.88740633600003</c:v>
                </c:pt>
                <c:pt idx="85">
                  <c:v>323.44657573400002</c:v>
                </c:pt>
                <c:pt idx="86">
                  <c:v>900.69767796500003</c:v>
                </c:pt>
                <c:pt idx="87">
                  <c:v>425.866931185</c:v>
                </c:pt>
                <c:pt idx="88">
                  <c:v>294.09185460499998</c:v>
                </c:pt>
                <c:pt idx="89">
                  <c:v>235.278147838</c:v>
                </c:pt>
                <c:pt idx="90">
                  <c:v>900.25743851899995</c:v>
                </c:pt>
                <c:pt idx="91">
                  <c:v>318.26600759399997</c:v>
                </c:pt>
                <c:pt idx="92">
                  <c:v>667.359824688</c:v>
                </c:pt>
                <c:pt idx="93">
                  <c:v>310.288242287</c:v>
                </c:pt>
                <c:pt idx="94">
                  <c:v>900.59843831199998</c:v>
                </c:pt>
                <c:pt idx="95">
                  <c:v>495.25355326200003</c:v>
                </c:pt>
                <c:pt idx="96">
                  <c:v>233.588615465</c:v>
                </c:pt>
                <c:pt idx="97">
                  <c:v>347.33163368700002</c:v>
                </c:pt>
                <c:pt idx="98">
                  <c:v>360.17948710100001</c:v>
                </c:pt>
                <c:pt idx="99">
                  <c:v>625.67023580099999</c:v>
                </c:pt>
                <c:pt idx="100">
                  <c:v>274.973767603</c:v>
                </c:pt>
                <c:pt idx="101">
                  <c:v>378.66010631</c:v>
                </c:pt>
                <c:pt idx="102">
                  <c:v>224.29583413899999</c:v>
                </c:pt>
                <c:pt idx="103">
                  <c:v>317.85088365199999</c:v>
                </c:pt>
                <c:pt idx="104">
                  <c:v>458.920008741</c:v>
                </c:pt>
                <c:pt idx="105">
                  <c:v>253.841023331</c:v>
                </c:pt>
                <c:pt idx="106">
                  <c:v>314.91615663699997</c:v>
                </c:pt>
                <c:pt idx="107">
                  <c:v>341.88798187499998</c:v>
                </c:pt>
                <c:pt idx="108">
                  <c:v>643.863641164</c:v>
                </c:pt>
                <c:pt idx="109">
                  <c:v>687.99533256999996</c:v>
                </c:pt>
                <c:pt idx="110">
                  <c:v>337.49577777299999</c:v>
                </c:pt>
                <c:pt idx="111">
                  <c:v>901.15080430499995</c:v>
                </c:pt>
                <c:pt idx="112">
                  <c:v>315.044307135</c:v>
                </c:pt>
                <c:pt idx="113">
                  <c:v>901.29869364700005</c:v>
                </c:pt>
                <c:pt idx="114">
                  <c:v>333.38547047600002</c:v>
                </c:pt>
                <c:pt idx="115">
                  <c:v>321.05283604900001</c:v>
                </c:pt>
                <c:pt idx="116">
                  <c:v>363.76030083400002</c:v>
                </c:pt>
                <c:pt idx="117">
                  <c:v>378.569240304</c:v>
                </c:pt>
                <c:pt idx="118">
                  <c:v>308.859145227</c:v>
                </c:pt>
                <c:pt idx="119">
                  <c:v>310.61370849399998</c:v>
                </c:pt>
                <c:pt idx="120">
                  <c:v>354.56063649100003</c:v>
                </c:pt>
                <c:pt idx="121">
                  <c:v>362.02640970900001</c:v>
                </c:pt>
                <c:pt idx="122">
                  <c:v>234.092200977</c:v>
                </c:pt>
                <c:pt idx="123">
                  <c:v>239.19009989400001</c:v>
                </c:pt>
                <c:pt idx="124">
                  <c:v>901.34047057600003</c:v>
                </c:pt>
                <c:pt idx="125">
                  <c:v>326.931436491</c:v>
                </c:pt>
                <c:pt idx="126">
                  <c:v>358.632021726</c:v>
                </c:pt>
                <c:pt idx="127">
                  <c:v>900.80486848700002</c:v>
                </c:pt>
                <c:pt idx="128">
                  <c:v>277.39041941900001</c:v>
                </c:pt>
                <c:pt idx="129">
                  <c:v>316.06534569399997</c:v>
                </c:pt>
                <c:pt idx="130">
                  <c:v>371.42841855799998</c:v>
                </c:pt>
                <c:pt idx="131">
                  <c:v>314.09170927899999</c:v>
                </c:pt>
                <c:pt idx="132">
                  <c:v>816.26279474399996</c:v>
                </c:pt>
                <c:pt idx="133">
                  <c:v>375.210583434</c:v>
                </c:pt>
                <c:pt idx="134">
                  <c:v>685.27386797300005</c:v>
                </c:pt>
                <c:pt idx="135">
                  <c:v>655.70206682800006</c:v>
                </c:pt>
                <c:pt idx="136">
                  <c:v>588.46509837400004</c:v>
                </c:pt>
                <c:pt idx="137">
                  <c:v>307.73059558800003</c:v>
                </c:pt>
                <c:pt idx="138">
                  <c:v>480.17590314099999</c:v>
                </c:pt>
                <c:pt idx="139">
                  <c:v>488.02787016600001</c:v>
                </c:pt>
                <c:pt idx="140">
                  <c:v>860.82649957599995</c:v>
                </c:pt>
                <c:pt idx="141">
                  <c:v>471.00332027399998</c:v>
                </c:pt>
                <c:pt idx="142">
                  <c:v>360.51183251700002</c:v>
                </c:pt>
                <c:pt idx="143">
                  <c:v>900.94627722099995</c:v>
                </c:pt>
                <c:pt idx="144">
                  <c:v>900.97405518699998</c:v>
                </c:pt>
                <c:pt idx="145">
                  <c:v>900.95746463</c:v>
                </c:pt>
                <c:pt idx="146">
                  <c:v>241.36001009</c:v>
                </c:pt>
                <c:pt idx="147">
                  <c:v>420.31236422000001</c:v>
                </c:pt>
                <c:pt idx="148">
                  <c:v>269.81448065199999</c:v>
                </c:pt>
                <c:pt idx="149">
                  <c:v>751.81305029500004</c:v>
                </c:pt>
                <c:pt idx="150">
                  <c:v>625.52228361000004</c:v>
                </c:pt>
                <c:pt idx="151">
                  <c:v>329.61227969100003</c:v>
                </c:pt>
                <c:pt idx="152">
                  <c:v>331.45483824399997</c:v>
                </c:pt>
                <c:pt idx="153">
                  <c:v>580.61234234300002</c:v>
                </c:pt>
                <c:pt idx="154">
                  <c:v>576.83813253999995</c:v>
                </c:pt>
                <c:pt idx="155">
                  <c:v>275.95552676599999</c:v>
                </c:pt>
                <c:pt idx="156">
                  <c:v>304.54295888799999</c:v>
                </c:pt>
                <c:pt idx="157">
                  <c:v>901.11610701200004</c:v>
                </c:pt>
                <c:pt idx="158">
                  <c:v>312.29015045</c:v>
                </c:pt>
                <c:pt idx="159">
                  <c:v>859.38169605500002</c:v>
                </c:pt>
                <c:pt idx="160">
                  <c:v>311.643517266</c:v>
                </c:pt>
                <c:pt idx="161">
                  <c:v>328.82778323399998</c:v>
                </c:pt>
                <c:pt idx="162">
                  <c:v>314.83853890500001</c:v>
                </c:pt>
                <c:pt idx="163">
                  <c:v>382.59614033899999</c:v>
                </c:pt>
                <c:pt idx="164">
                  <c:v>361.34888046499998</c:v>
                </c:pt>
                <c:pt idx="165">
                  <c:v>610.57680147899998</c:v>
                </c:pt>
                <c:pt idx="166">
                  <c:v>505.47076003000001</c:v>
                </c:pt>
                <c:pt idx="167">
                  <c:v>900.77313423400005</c:v>
                </c:pt>
                <c:pt idx="168">
                  <c:v>725.29241300599995</c:v>
                </c:pt>
                <c:pt idx="169">
                  <c:v>306.87938292500002</c:v>
                </c:pt>
                <c:pt idx="170">
                  <c:v>816.742567947</c:v>
                </c:pt>
              </c:numCache>
            </c:numRef>
          </c:yVal>
          <c:smooth val="0"/>
          <c:extLst>
            <c:ext xmlns:c16="http://schemas.microsoft.com/office/drawing/2014/chart" uri="{C3380CC4-5D6E-409C-BE32-E72D297353CC}">
              <c16:uniqueId val="{00000002-86EF-420F-9DC9-84DBFC26009E}"/>
            </c:ext>
          </c:extLst>
        </c:ser>
        <c:dLbls>
          <c:showLegendKey val="0"/>
          <c:showVal val="0"/>
          <c:showCatName val="0"/>
          <c:showSerName val="0"/>
          <c:showPercent val="0"/>
          <c:showBubbleSize val="0"/>
        </c:dLbls>
        <c:axId val="1490852944"/>
        <c:axId val="1499636960"/>
      </c:scatterChart>
      <c:valAx>
        <c:axId val="1490852944"/>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636960"/>
        <c:crosses val="autoZero"/>
        <c:crossBetween val="midCat"/>
      </c:valAx>
      <c:valAx>
        <c:axId val="1499636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CPU-Time</a:t>
                </a:r>
                <a:r>
                  <a:rPr lang="en-US" baseline="0"/>
                  <a:t> (Sec)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8529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SCRAM-NON-CCF-Prob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'SCRAM-Prob-NON-CCF'!$H$1</c:f>
              <c:strCache>
                <c:ptCount val="1"/>
                <c:pt idx="0">
                  <c:v>Memory -BDD</c:v>
                </c:pt>
              </c:strCache>
            </c:strRef>
          </c:tx>
          <c:spPr>
            <a:ln w="19050" cap="rnd">
              <a:noFill/>
              <a:round/>
            </a:ln>
            <a:effectLst/>
          </c:spPr>
          <c:marker>
            <c:symbol val="circle"/>
            <c:size val="5"/>
            <c:spPr>
              <a:solidFill>
                <a:schemeClr val="accent1"/>
              </a:solidFill>
              <a:ln w="9525">
                <a:solidFill>
                  <a:schemeClr val="accent1"/>
                </a:solidFill>
              </a:ln>
              <a:effectLst/>
            </c:spPr>
          </c:marker>
          <c:xVal>
            <c:strRef>
              <c:f>'SCRAM-Prob-NON-CCF'!$G$2:$G$173</c:f>
              <c:strCache>
                <c:ptCount val="171"/>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8000-05</c:v>
                </c:pt>
                <c:pt idx="149">
                  <c:v>8000-06</c:v>
                </c:pt>
                <c:pt idx="150">
                  <c:v>8000-07</c:v>
                </c:pt>
                <c:pt idx="151">
                  <c:v>8000-08</c:v>
                </c:pt>
                <c:pt idx="152">
                  <c:v>8000-09</c:v>
                </c:pt>
                <c:pt idx="153">
                  <c:v>9000-01</c:v>
                </c:pt>
                <c:pt idx="154">
                  <c:v>9000-02</c:v>
                </c:pt>
                <c:pt idx="155">
                  <c:v>9000-03</c:v>
                </c:pt>
                <c:pt idx="156">
                  <c:v>9000-04</c:v>
                </c:pt>
                <c:pt idx="157">
                  <c:v>9000-05</c:v>
                </c:pt>
                <c:pt idx="158">
                  <c:v>9000-06</c:v>
                </c:pt>
                <c:pt idx="159">
                  <c:v>9000-07</c:v>
                </c:pt>
                <c:pt idx="160">
                  <c:v>9000-08</c:v>
                </c:pt>
                <c:pt idx="161">
                  <c:v>9000-09</c:v>
                </c:pt>
                <c:pt idx="162">
                  <c:v>10000-01</c:v>
                </c:pt>
                <c:pt idx="163">
                  <c:v>10000-02</c:v>
                </c:pt>
                <c:pt idx="164">
                  <c:v>10000-03</c:v>
                </c:pt>
                <c:pt idx="165">
                  <c:v>10000-04</c:v>
                </c:pt>
                <c:pt idx="166">
                  <c:v>10000-05</c:v>
                </c:pt>
                <c:pt idx="167">
                  <c:v>10000-06</c:v>
                </c:pt>
                <c:pt idx="168">
                  <c:v>10000-07</c:v>
                </c:pt>
                <c:pt idx="169">
                  <c:v>10000-08</c:v>
                </c:pt>
                <c:pt idx="170">
                  <c:v>10000-09</c:v>
                </c:pt>
              </c:strCache>
            </c:strRef>
          </c:xVal>
          <c:yVal>
            <c:numRef>
              <c:f>'SCRAM-Prob-NON-CCF'!$H$2:$H$173</c:f>
              <c:numCache>
                <c:formatCode>General</c:formatCode>
                <c:ptCount val="172"/>
                <c:pt idx="0">
                  <c:v>6.3324160000000003</c:v>
                </c:pt>
                <c:pt idx="1">
                  <c:v>6.303744</c:v>
                </c:pt>
                <c:pt idx="2">
                  <c:v>6.2054400000000003</c:v>
                </c:pt>
                <c:pt idx="3">
                  <c:v>6.283264</c:v>
                </c:pt>
                <c:pt idx="4">
                  <c:v>6.0784640000000003</c:v>
                </c:pt>
                <c:pt idx="5">
                  <c:v>6.1890559999999999</c:v>
                </c:pt>
                <c:pt idx="6">
                  <c:v>6.230016</c:v>
                </c:pt>
                <c:pt idx="7">
                  <c:v>6.1849600000000002</c:v>
                </c:pt>
                <c:pt idx="8">
                  <c:v>6.3406079999999996</c:v>
                </c:pt>
                <c:pt idx="9">
                  <c:v>6.557696</c:v>
                </c:pt>
                <c:pt idx="10">
                  <c:v>12.759040000000001</c:v>
                </c:pt>
                <c:pt idx="11">
                  <c:v>6.8198400000000001</c:v>
                </c:pt>
                <c:pt idx="12">
                  <c:v>6.2545919999999997</c:v>
                </c:pt>
                <c:pt idx="13">
                  <c:v>6.4675840000000004</c:v>
                </c:pt>
                <c:pt idx="14">
                  <c:v>108.04428799999999</c:v>
                </c:pt>
                <c:pt idx="15">
                  <c:v>8.8186879999999999</c:v>
                </c:pt>
                <c:pt idx="16">
                  <c:v>116.744192</c:v>
                </c:pt>
                <c:pt idx="17">
                  <c:v>7.3564160000000003</c:v>
                </c:pt>
                <c:pt idx="18">
                  <c:v>8.9210879999999992</c:v>
                </c:pt>
                <c:pt idx="19">
                  <c:v>7.708672</c:v>
                </c:pt>
                <c:pt idx="20">
                  <c:v>9.6501760000000001</c:v>
                </c:pt>
                <c:pt idx="21">
                  <c:v>18.137087999999999</c:v>
                </c:pt>
                <c:pt idx="22">
                  <c:v>17.739775999999999</c:v>
                </c:pt>
                <c:pt idx="23">
                  <c:v>9.7443840000000002</c:v>
                </c:pt>
                <c:pt idx="24">
                  <c:v>9172.8814079999993</c:v>
                </c:pt>
                <c:pt idx="25">
                  <c:v>7.0696960000000004</c:v>
                </c:pt>
                <c:pt idx="26">
                  <c:v>80.785408000000004</c:v>
                </c:pt>
                <c:pt idx="27">
                  <c:v>8.6958079999999995</c:v>
                </c:pt>
                <c:pt idx="28">
                  <c:v>7.5366400000000002</c:v>
                </c:pt>
                <c:pt idx="29">
                  <c:v>11.976704</c:v>
                </c:pt>
                <c:pt idx="30">
                  <c:v>26.923007999999999</c:v>
                </c:pt>
                <c:pt idx="31">
                  <c:v>7.7045760000000003</c:v>
                </c:pt>
                <c:pt idx="32">
                  <c:v>159.428608</c:v>
                </c:pt>
                <c:pt idx="33">
                  <c:v>312.52480000000003</c:v>
                </c:pt>
                <c:pt idx="34">
                  <c:v>7.5202559999999998</c:v>
                </c:pt>
                <c:pt idx="35">
                  <c:v>123.379712</c:v>
                </c:pt>
                <c:pt idx="36">
                  <c:v>114.73715199999999</c:v>
                </c:pt>
                <c:pt idx="37">
                  <c:v>16000</c:v>
                </c:pt>
                <c:pt idx="38">
                  <c:v>16000</c:v>
                </c:pt>
                <c:pt idx="39">
                  <c:v>8.3025920000000006</c:v>
                </c:pt>
                <c:pt idx="40">
                  <c:v>2067.1733760000002</c:v>
                </c:pt>
                <c:pt idx="41">
                  <c:v>4929.6670720000002</c:v>
                </c:pt>
                <c:pt idx="42">
                  <c:v>16000</c:v>
                </c:pt>
                <c:pt idx="43">
                  <c:v>533.90540799999997</c:v>
                </c:pt>
                <c:pt idx="44">
                  <c:v>20.774912</c:v>
                </c:pt>
                <c:pt idx="45">
                  <c:v>14.315519999999999</c:v>
                </c:pt>
                <c:pt idx="46">
                  <c:v>16000</c:v>
                </c:pt>
                <c:pt idx="47">
                  <c:v>15.486976</c:v>
                </c:pt>
                <c:pt idx="48">
                  <c:v>31.764479999999999</c:v>
                </c:pt>
                <c:pt idx="49">
                  <c:v>9054.9493760000005</c:v>
                </c:pt>
                <c:pt idx="50">
                  <c:v>16000</c:v>
                </c:pt>
                <c:pt idx="51">
                  <c:v>16000</c:v>
                </c:pt>
                <c:pt idx="52">
                  <c:v>16000</c:v>
                </c:pt>
                <c:pt idx="53">
                  <c:v>16000</c:v>
                </c:pt>
                <c:pt idx="54">
                  <c:v>9.9983360000000001</c:v>
                </c:pt>
                <c:pt idx="55">
                  <c:v>13.021184</c:v>
                </c:pt>
                <c:pt idx="56">
                  <c:v>16000</c:v>
                </c:pt>
                <c:pt idx="57">
                  <c:v>16000</c:v>
                </c:pt>
                <c:pt idx="58">
                  <c:v>16000</c:v>
                </c:pt>
                <c:pt idx="59">
                  <c:v>16000</c:v>
                </c:pt>
                <c:pt idx="60">
                  <c:v>8.8268799999999992</c:v>
                </c:pt>
                <c:pt idx="61">
                  <c:v>16000</c:v>
                </c:pt>
                <c:pt idx="62">
                  <c:v>16000</c:v>
                </c:pt>
                <c:pt idx="63">
                  <c:v>773.341184</c:v>
                </c:pt>
                <c:pt idx="64">
                  <c:v>833.94969600000002</c:v>
                </c:pt>
                <c:pt idx="65">
                  <c:v>16000</c:v>
                </c:pt>
                <c:pt idx="66">
                  <c:v>2636.0872960000002</c:v>
                </c:pt>
                <c:pt idx="67">
                  <c:v>219.52511999999999</c:v>
                </c:pt>
                <c:pt idx="68">
                  <c:v>16000</c:v>
                </c:pt>
                <c:pt idx="69">
                  <c:v>16000</c:v>
                </c:pt>
                <c:pt idx="70">
                  <c:v>16000</c:v>
                </c:pt>
                <c:pt idx="71">
                  <c:v>16000</c:v>
                </c:pt>
                <c:pt idx="72">
                  <c:v>32.694271999999998</c:v>
                </c:pt>
                <c:pt idx="73">
                  <c:v>16000</c:v>
                </c:pt>
                <c:pt idx="74">
                  <c:v>16000</c:v>
                </c:pt>
                <c:pt idx="75">
                  <c:v>16000</c:v>
                </c:pt>
                <c:pt idx="76">
                  <c:v>16000</c:v>
                </c:pt>
                <c:pt idx="77">
                  <c:v>16000</c:v>
                </c:pt>
                <c:pt idx="78">
                  <c:v>16000</c:v>
                </c:pt>
                <c:pt idx="79">
                  <c:v>16000</c:v>
                </c:pt>
                <c:pt idx="80">
                  <c:v>16000</c:v>
                </c:pt>
                <c:pt idx="81">
                  <c:v>16000</c:v>
                </c:pt>
                <c:pt idx="82">
                  <c:v>16000</c:v>
                </c:pt>
                <c:pt idx="83">
                  <c:v>16000</c:v>
                </c:pt>
                <c:pt idx="84">
                  <c:v>16000</c:v>
                </c:pt>
                <c:pt idx="85">
                  <c:v>16000</c:v>
                </c:pt>
                <c:pt idx="86">
                  <c:v>16000</c:v>
                </c:pt>
                <c:pt idx="87">
                  <c:v>16000</c:v>
                </c:pt>
                <c:pt idx="88">
                  <c:v>16000</c:v>
                </c:pt>
                <c:pt idx="89">
                  <c:v>16000</c:v>
                </c:pt>
                <c:pt idx="90">
                  <c:v>16000</c:v>
                </c:pt>
                <c:pt idx="91">
                  <c:v>16000</c:v>
                </c:pt>
                <c:pt idx="92">
                  <c:v>16000</c:v>
                </c:pt>
                <c:pt idx="93">
                  <c:v>16000</c:v>
                </c:pt>
                <c:pt idx="94">
                  <c:v>17.539072000000001</c:v>
                </c:pt>
                <c:pt idx="95">
                  <c:v>16000</c:v>
                </c:pt>
                <c:pt idx="96">
                  <c:v>16000</c:v>
                </c:pt>
                <c:pt idx="97">
                  <c:v>16000</c:v>
                </c:pt>
                <c:pt idx="98">
                  <c:v>16000</c:v>
                </c:pt>
                <c:pt idx="99">
                  <c:v>16000</c:v>
                </c:pt>
                <c:pt idx="100">
                  <c:v>16000</c:v>
                </c:pt>
                <c:pt idx="101">
                  <c:v>16000</c:v>
                </c:pt>
                <c:pt idx="102">
                  <c:v>16000</c:v>
                </c:pt>
                <c:pt idx="103">
                  <c:v>16000</c:v>
                </c:pt>
                <c:pt idx="104">
                  <c:v>16000</c:v>
                </c:pt>
                <c:pt idx="105">
                  <c:v>16000</c:v>
                </c:pt>
                <c:pt idx="106">
                  <c:v>16000</c:v>
                </c:pt>
                <c:pt idx="107">
                  <c:v>16000</c:v>
                </c:pt>
                <c:pt idx="108">
                  <c:v>16000</c:v>
                </c:pt>
                <c:pt idx="109">
                  <c:v>16000</c:v>
                </c:pt>
                <c:pt idx="110">
                  <c:v>16000</c:v>
                </c:pt>
                <c:pt idx="111">
                  <c:v>16000</c:v>
                </c:pt>
                <c:pt idx="112">
                  <c:v>16000</c:v>
                </c:pt>
                <c:pt idx="113">
                  <c:v>16000</c:v>
                </c:pt>
                <c:pt idx="114">
                  <c:v>16000</c:v>
                </c:pt>
                <c:pt idx="115">
                  <c:v>16000</c:v>
                </c:pt>
                <c:pt idx="116">
                  <c:v>16000</c:v>
                </c:pt>
                <c:pt idx="117">
                  <c:v>16000</c:v>
                </c:pt>
                <c:pt idx="118">
                  <c:v>16000</c:v>
                </c:pt>
                <c:pt idx="119">
                  <c:v>16000</c:v>
                </c:pt>
                <c:pt idx="120">
                  <c:v>16000</c:v>
                </c:pt>
                <c:pt idx="121">
                  <c:v>16000</c:v>
                </c:pt>
                <c:pt idx="122">
                  <c:v>16000</c:v>
                </c:pt>
                <c:pt idx="123">
                  <c:v>16000</c:v>
                </c:pt>
                <c:pt idx="124">
                  <c:v>16000</c:v>
                </c:pt>
                <c:pt idx="125">
                  <c:v>16000</c:v>
                </c:pt>
                <c:pt idx="126">
                  <c:v>16000</c:v>
                </c:pt>
                <c:pt idx="127">
                  <c:v>16000</c:v>
                </c:pt>
                <c:pt idx="128">
                  <c:v>16000</c:v>
                </c:pt>
                <c:pt idx="129">
                  <c:v>16000</c:v>
                </c:pt>
                <c:pt idx="130">
                  <c:v>16000</c:v>
                </c:pt>
                <c:pt idx="131">
                  <c:v>16000</c:v>
                </c:pt>
                <c:pt idx="132">
                  <c:v>16000</c:v>
                </c:pt>
                <c:pt idx="133">
                  <c:v>16000</c:v>
                </c:pt>
                <c:pt idx="134">
                  <c:v>16000</c:v>
                </c:pt>
                <c:pt idx="135">
                  <c:v>16000</c:v>
                </c:pt>
                <c:pt idx="136">
                  <c:v>16000</c:v>
                </c:pt>
                <c:pt idx="137">
                  <c:v>16000</c:v>
                </c:pt>
                <c:pt idx="138">
                  <c:v>16000</c:v>
                </c:pt>
                <c:pt idx="139">
                  <c:v>16000</c:v>
                </c:pt>
                <c:pt idx="140">
                  <c:v>16000</c:v>
                </c:pt>
                <c:pt idx="141">
                  <c:v>16000</c:v>
                </c:pt>
                <c:pt idx="142">
                  <c:v>16000</c:v>
                </c:pt>
                <c:pt idx="143">
                  <c:v>16000</c:v>
                </c:pt>
                <c:pt idx="144">
                  <c:v>16000</c:v>
                </c:pt>
                <c:pt idx="145">
                  <c:v>16000</c:v>
                </c:pt>
                <c:pt idx="146">
                  <c:v>16000</c:v>
                </c:pt>
                <c:pt idx="147">
                  <c:v>16000</c:v>
                </c:pt>
                <c:pt idx="148">
                  <c:v>16000</c:v>
                </c:pt>
                <c:pt idx="149">
                  <c:v>16000</c:v>
                </c:pt>
                <c:pt idx="150">
                  <c:v>16000</c:v>
                </c:pt>
                <c:pt idx="151">
                  <c:v>16000</c:v>
                </c:pt>
                <c:pt idx="152">
                  <c:v>16000</c:v>
                </c:pt>
                <c:pt idx="153">
                  <c:v>16000</c:v>
                </c:pt>
                <c:pt idx="154">
                  <c:v>16000</c:v>
                </c:pt>
                <c:pt idx="155">
                  <c:v>16000</c:v>
                </c:pt>
                <c:pt idx="156">
                  <c:v>16000</c:v>
                </c:pt>
                <c:pt idx="157">
                  <c:v>16000</c:v>
                </c:pt>
                <c:pt idx="158">
                  <c:v>16000</c:v>
                </c:pt>
                <c:pt idx="159">
                  <c:v>16000</c:v>
                </c:pt>
                <c:pt idx="160">
                  <c:v>16000</c:v>
                </c:pt>
                <c:pt idx="161">
                  <c:v>16000</c:v>
                </c:pt>
                <c:pt idx="162">
                  <c:v>16000</c:v>
                </c:pt>
                <c:pt idx="163">
                  <c:v>16000</c:v>
                </c:pt>
                <c:pt idx="164">
                  <c:v>16000</c:v>
                </c:pt>
                <c:pt idx="165">
                  <c:v>16000</c:v>
                </c:pt>
                <c:pt idx="166">
                  <c:v>16000</c:v>
                </c:pt>
                <c:pt idx="167">
                  <c:v>16000</c:v>
                </c:pt>
                <c:pt idx="168">
                  <c:v>16000</c:v>
                </c:pt>
                <c:pt idx="169">
                  <c:v>16000</c:v>
                </c:pt>
                <c:pt idx="170">
                  <c:v>16000</c:v>
                </c:pt>
              </c:numCache>
            </c:numRef>
          </c:yVal>
          <c:smooth val="0"/>
          <c:extLst>
            <c:ext xmlns:c16="http://schemas.microsoft.com/office/drawing/2014/chart" uri="{C3380CC4-5D6E-409C-BE32-E72D297353CC}">
              <c16:uniqueId val="{00000000-4716-4E5B-AB23-10FC9DB5F9AB}"/>
            </c:ext>
          </c:extLst>
        </c:ser>
        <c:ser>
          <c:idx val="1"/>
          <c:order val="1"/>
          <c:tx>
            <c:strRef>
              <c:f>'SCRAM-Prob-NON-CCF'!$I$1</c:f>
              <c:strCache>
                <c:ptCount val="1"/>
                <c:pt idx="0">
                  <c:v>Memory-Mocus</c:v>
                </c:pt>
              </c:strCache>
            </c:strRef>
          </c:tx>
          <c:spPr>
            <a:ln w="19050" cap="rnd">
              <a:noFill/>
              <a:round/>
            </a:ln>
            <a:effectLst/>
          </c:spPr>
          <c:marker>
            <c:symbol val="circle"/>
            <c:size val="5"/>
            <c:spPr>
              <a:solidFill>
                <a:schemeClr val="accent2"/>
              </a:solidFill>
              <a:ln w="9525">
                <a:solidFill>
                  <a:schemeClr val="accent2"/>
                </a:solidFill>
              </a:ln>
              <a:effectLst/>
            </c:spPr>
          </c:marker>
          <c:xVal>
            <c:strRef>
              <c:f>'SCRAM-Prob-NON-CCF'!$G$2:$G$173</c:f>
              <c:strCache>
                <c:ptCount val="171"/>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8000-05</c:v>
                </c:pt>
                <c:pt idx="149">
                  <c:v>8000-06</c:v>
                </c:pt>
                <c:pt idx="150">
                  <c:v>8000-07</c:v>
                </c:pt>
                <c:pt idx="151">
                  <c:v>8000-08</c:v>
                </c:pt>
                <c:pt idx="152">
                  <c:v>8000-09</c:v>
                </c:pt>
                <c:pt idx="153">
                  <c:v>9000-01</c:v>
                </c:pt>
                <c:pt idx="154">
                  <c:v>9000-02</c:v>
                </c:pt>
                <c:pt idx="155">
                  <c:v>9000-03</c:v>
                </c:pt>
                <c:pt idx="156">
                  <c:v>9000-04</c:v>
                </c:pt>
                <c:pt idx="157">
                  <c:v>9000-05</c:v>
                </c:pt>
                <c:pt idx="158">
                  <c:v>9000-06</c:v>
                </c:pt>
                <c:pt idx="159">
                  <c:v>9000-07</c:v>
                </c:pt>
                <c:pt idx="160">
                  <c:v>9000-08</c:v>
                </c:pt>
                <c:pt idx="161">
                  <c:v>9000-09</c:v>
                </c:pt>
                <c:pt idx="162">
                  <c:v>10000-01</c:v>
                </c:pt>
                <c:pt idx="163">
                  <c:v>10000-02</c:v>
                </c:pt>
                <c:pt idx="164">
                  <c:v>10000-03</c:v>
                </c:pt>
                <c:pt idx="165">
                  <c:v>10000-04</c:v>
                </c:pt>
                <c:pt idx="166">
                  <c:v>10000-05</c:v>
                </c:pt>
                <c:pt idx="167">
                  <c:v>10000-06</c:v>
                </c:pt>
                <c:pt idx="168">
                  <c:v>10000-07</c:v>
                </c:pt>
                <c:pt idx="169">
                  <c:v>10000-08</c:v>
                </c:pt>
                <c:pt idx="170">
                  <c:v>10000-09</c:v>
                </c:pt>
              </c:strCache>
            </c:strRef>
          </c:xVal>
          <c:yVal>
            <c:numRef>
              <c:f>'SCRAM-Prob-NON-CCF'!$I$2:$I$173</c:f>
              <c:numCache>
                <c:formatCode>General</c:formatCode>
                <c:ptCount val="172"/>
                <c:pt idx="0">
                  <c:v>6.2177280000000001</c:v>
                </c:pt>
                <c:pt idx="1">
                  <c:v>6.2136319999999996</c:v>
                </c:pt>
                <c:pt idx="2">
                  <c:v>6.1235200000000001</c:v>
                </c:pt>
                <c:pt idx="3">
                  <c:v>6.2095359999999999</c:v>
                </c:pt>
                <c:pt idx="4">
                  <c:v>6.0170240000000002</c:v>
                </c:pt>
                <c:pt idx="5">
                  <c:v>6.2095359999999999</c:v>
                </c:pt>
                <c:pt idx="6">
                  <c:v>6.0743679999999998</c:v>
                </c:pt>
                <c:pt idx="7">
                  <c:v>6.1235200000000001</c:v>
                </c:pt>
                <c:pt idx="8">
                  <c:v>6.3406079999999996</c:v>
                </c:pt>
                <c:pt idx="9">
                  <c:v>6.5863680000000002</c:v>
                </c:pt>
                <c:pt idx="10">
                  <c:v>7.8929919999999996</c:v>
                </c:pt>
                <c:pt idx="11">
                  <c:v>6.7706879999999998</c:v>
                </c:pt>
                <c:pt idx="12">
                  <c:v>6.2668799999999996</c:v>
                </c:pt>
                <c:pt idx="13">
                  <c:v>6.4716800000000001</c:v>
                </c:pt>
                <c:pt idx="14">
                  <c:v>8.3066879999999994</c:v>
                </c:pt>
                <c:pt idx="15">
                  <c:v>6.9959680000000004</c:v>
                </c:pt>
                <c:pt idx="16">
                  <c:v>6.9959680000000004</c:v>
                </c:pt>
                <c:pt idx="17">
                  <c:v>6.6437119999999998</c:v>
                </c:pt>
                <c:pt idx="18">
                  <c:v>7.4588159999999997</c:v>
                </c:pt>
                <c:pt idx="19">
                  <c:v>7.12704</c:v>
                </c:pt>
                <c:pt idx="20">
                  <c:v>7.2704000000000004</c:v>
                </c:pt>
                <c:pt idx="21">
                  <c:v>7.7824</c:v>
                </c:pt>
                <c:pt idx="22">
                  <c:v>7.4301440000000003</c:v>
                </c:pt>
                <c:pt idx="23">
                  <c:v>7.4997759999999998</c:v>
                </c:pt>
                <c:pt idx="24">
                  <c:v>84.119551999999999</c:v>
                </c:pt>
                <c:pt idx="25">
                  <c:v>7.0041599999999997</c:v>
                </c:pt>
                <c:pt idx="26">
                  <c:v>13.811712</c:v>
                </c:pt>
                <c:pt idx="27">
                  <c:v>7.9134719999999996</c:v>
                </c:pt>
                <c:pt idx="28">
                  <c:v>7.327744</c:v>
                </c:pt>
                <c:pt idx="29">
                  <c:v>8.0609280000000005</c:v>
                </c:pt>
                <c:pt idx="30">
                  <c:v>7.7824</c:v>
                </c:pt>
                <c:pt idx="31">
                  <c:v>7.3400319999999999</c:v>
                </c:pt>
                <c:pt idx="32">
                  <c:v>8.2001919999999995</c:v>
                </c:pt>
                <c:pt idx="33">
                  <c:v>8.4008959999999995</c:v>
                </c:pt>
                <c:pt idx="34">
                  <c:v>7.5161600000000002</c:v>
                </c:pt>
                <c:pt idx="35">
                  <c:v>7.9134719999999996</c:v>
                </c:pt>
                <c:pt idx="36">
                  <c:v>34.082816000000001</c:v>
                </c:pt>
                <c:pt idx="37">
                  <c:v>66.756608</c:v>
                </c:pt>
                <c:pt idx="38">
                  <c:v>3886.1824000000001</c:v>
                </c:pt>
                <c:pt idx="39">
                  <c:v>7.909376</c:v>
                </c:pt>
                <c:pt idx="40">
                  <c:v>83.668992000000003</c:v>
                </c:pt>
                <c:pt idx="41">
                  <c:v>117.850112</c:v>
                </c:pt>
                <c:pt idx="42">
                  <c:v>912.69939199999999</c:v>
                </c:pt>
                <c:pt idx="43">
                  <c:v>8.5729279999999992</c:v>
                </c:pt>
                <c:pt idx="44">
                  <c:v>10.006527999999999</c:v>
                </c:pt>
                <c:pt idx="45">
                  <c:v>8.7080959999999994</c:v>
                </c:pt>
                <c:pt idx="46">
                  <c:v>898.67468799999995</c:v>
                </c:pt>
                <c:pt idx="47">
                  <c:v>8.7367679999999996</c:v>
                </c:pt>
                <c:pt idx="48">
                  <c:v>9.0562559999999994</c:v>
                </c:pt>
                <c:pt idx="49">
                  <c:v>20.23424</c:v>
                </c:pt>
                <c:pt idx="50">
                  <c:v>28.749824</c:v>
                </c:pt>
                <c:pt idx="51">
                  <c:v>288.42803199999997</c:v>
                </c:pt>
                <c:pt idx="52">
                  <c:v>67.293183999999997</c:v>
                </c:pt>
                <c:pt idx="53">
                  <c:v>14957.645823999999</c:v>
                </c:pt>
                <c:pt idx="54">
                  <c:v>8.7777279999999998</c:v>
                </c:pt>
                <c:pt idx="55">
                  <c:v>8.9620479999999993</c:v>
                </c:pt>
                <c:pt idx="56">
                  <c:v>7481.135104</c:v>
                </c:pt>
                <c:pt idx="57">
                  <c:v>14920.269824000001</c:v>
                </c:pt>
                <c:pt idx="58">
                  <c:v>4038.6396159999999</c:v>
                </c:pt>
                <c:pt idx="59">
                  <c:v>10440.806399999999</c:v>
                </c:pt>
                <c:pt idx="60">
                  <c:v>8.8350720000000003</c:v>
                </c:pt>
                <c:pt idx="61">
                  <c:v>15194.312704</c:v>
                </c:pt>
                <c:pt idx="62">
                  <c:v>9631.8750720000007</c:v>
                </c:pt>
                <c:pt idx="63">
                  <c:v>2270.2407680000001</c:v>
                </c:pt>
                <c:pt idx="64">
                  <c:v>21.54496</c:v>
                </c:pt>
                <c:pt idx="65">
                  <c:v>304.75059199999998</c:v>
                </c:pt>
                <c:pt idx="66">
                  <c:v>14.598144</c:v>
                </c:pt>
                <c:pt idx="67">
                  <c:v>15.937536</c:v>
                </c:pt>
                <c:pt idx="68">
                  <c:v>7359.2872960000004</c:v>
                </c:pt>
                <c:pt idx="69">
                  <c:v>65.736704000000003</c:v>
                </c:pt>
                <c:pt idx="70">
                  <c:v>2062.0697599999999</c:v>
                </c:pt>
                <c:pt idx="71">
                  <c:v>1092.4236800000001</c:v>
                </c:pt>
                <c:pt idx="72">
                  <c:v>11.583487999999999</c:v>
                </c:pt>
                <c:pt idx="73">
                  <c:v>4594.0654080000004</c:v>
                </c:pt>
                <c:pt idx="74">
                  <c:v>14906.597376</c:v>
                </c:pt>
                <c:pt idx="75">
                  <c:v>10.788864</c:v>
                </c:pt>
                <c:pt idx="76">
                  <c:v>15309.49632</c:v>
                </c:pt>
                <c:pt idx="77">
                  <c:v>304.79155200000002</c:v>
                </c:pt>
                <c:pt idx="78">
                  <c:v>15830.695936</c:v>
                </c:pt>
                <c:pt idx="79">
                  <c:v>21.54496</c:v>
                </c:pt>
                <c:pt idx="80">
                  <c:v>16000</c:v>
                </c:pt>
                <c:pt idx="81">
                  <c:v>9467.0766079999994</c:v>
                </c:pt>
                <c:pt idx="82">
                  <c:v>943.23916799999995</c:v>
                </c:pt>
                <c:pt idx="83">
                  <c:v>16000</c:v>
                </c:pt>
                <c:pt idx="84">
                  <c:v>10332.061696000001</c:v>
                </c:pt>
                <c:pt idx="85">
                  <c:v>16000</c:v>
                </c:pt>
                <c:pt idx="86">
                  <c:v>3666.0346880000002</c:v>
                </c:pt>
                <c:pt idx="87">
                  <c:v>16000</c:v>
                </c:pt>
                <c:pt idx="88">
                  <c:v>10521.063424</c:v>
                </c:pt>
                <c:pt idx="89">
                  <c:v>7385.82528</c:v>
                </c:pt>
                <c:pt idx="90">
                  <c:v>30.457856</c:v>
                </c:pt>
                <c:pt idx="91">
                  <c:v>8522.3792639999992</c:v>
                </c:pt>
                <c:pt idx="92">
                  <c:v>7514.9352959999997</c:v>
                </c:pt>
                <c:pt idx="93">
                  <c:v>14911.746048000001</c:v>
                </c:pt>
                <c:pt idx="94">
                  <c:v>14.635007999999999</c:v>
                </c:pt>
                <c:pt idx="95">
                  <c:v>14905.683967999999</c:v>
                </c:pt>
                <c:pt idx="96">
                  <c:v>8621.2157439999992</c:v>
                </c:pt>
                <c:pt idx="97">
                  <c:v>16000</c:v>
                </c:pt>
                <c:pt idx="98">
                  <c:v>14943.694847999999</c:v>
                </c:pt>
                <c:pt idx="99">
                  <c:v>15003.078656</c:v>
                </c:pt>
                <c:pt idx="100">
                  <c:v>10300.735488</c:v>
                </c:pt>
                <c:pt idx="101">
                  <c:v>10185.46176</c:v>
                </c:pt>
                <c:pt idx="102">
                  <c:v>16000</c:v>
                </c:pt>
                <c:pt idx="103">
                  <c:v>16000</c:v>
                </c:pt>
                <c:pt idx="104">
                  <c:v>14924.554239999999</c:v>
                </c:pt>
                <c:pt idx="105">
                  <c:v>8135.3400320000001</c:v>
                </c:pt>
                <c:pt idx="106">
                  <c:v>14971.211776</c:v>
                </c:pt>
                <c:pt idx="107">
                  <c:v>16000</c:v>
                </c:pt>
                <c:pt idx="108">
                  <c:v>7410.0613119999998</c:v>
                </c:pt>
                <c:pt idx="109">
                  <c:v>14961.782784000001</c:v>
                </c:pt>
                <c:pt idx="110">
                  <c:v>14905.962496</c:v>
                </c:pt>
                <c:pt idx="111">
                  <c:v>10020.491264</c:v>
                </c:pt>
                <c:pt idx="112">
                  <c:v>9184.8089600000003</c:v>
                </c:pt>
                <c:pt idx="113">
                  <c:v>15258.398719999999</c:v>
                </c:pt>
                <c:pt idx="114">
                  <c:v>7444.3980799999999</c:v>
                </c:pt>
                <c:pt idx="115">
                  <c:v>9544.6958080000004</c:v>
                </c:pt>
                <c:pt idx="116">
                  <c:v>7422.0298240000002</c:v>
                </c:pt>
                <c:pt idx="117">
                  <c:v>16000</c:v>
                </c:pt>
                <c:pt idx="118">
                  <c:v>14914.207743999999</c:v>
                </c:pt>
                <c:pt idx="119">
                  <c:v>14955.364352000001</c:v>
                </c:pt>
                <c:pt idx="120">
                  <c:v>16000</c:v>
                </c:pt>
                <c:pt idx="121">
                  <c:v>16000</c:v>
                </c:pt>
                <c:pt idx="122">
                  <c:v>14931.116032</c:v>
                </c:pt>
                <c:pt idx="123">
                  <c:v>8517.5992320000005</c:v>
                </c:pt>
                <c:pt idx="124">
                  <c:v>9655.4639360000001</c:v>
                </c:pt>
                <c:pt idx="125">
                  <c:v>16000</c:v>
                </c:pt>
                <c:pt idx="126">
                  <c:v>10394.300416</c:v>
                </c:pt>
                <c:pt idx="127">
                  <c:v>15024.828416</c:v>
                </c:pt>
                <c:pt idx="128">
                  <c:v>10560.397311999999</c:v>
                </c:pt>
                <c:pt idx="129">
                  <c:v>16000</c:v>
                </c:pt>
                <c:pt idx="130">
                  <c:v>14957.199360000001</c:v>
                </c:pt>
                <c:pt idx="131">
                  <c:v>15279.906816000001</c:v>
                </c:pt>
                <c:pt idx="132">
                  <c:v>16000</c:v>
                </c:pt>
                <c:pt idx="133">
                  <c:v>15172.99712</c:v>
                </c:pt>
                <c:pt idx="134">
                  <c:v>16000</c:v>
                </c:pt>
                <c:pt idx="135">
                  <c:v>16000</c:v>
                </c:pt>
                <c:pt idx="136">
                  <c:v>16000</c:v>
                </c:pt>
                <c:pt idx="137">
                  <c:v>10145.280000000001</c:v>
                </c:pt>
                <c:pt idx="138">
                  <c:v>15004.7744</c:v>
                </c:pt>
                <c:pt idx="139">
                  <c:v>16000</c:v>
                </c:pt>
                <c:pt idx="140">
                  <c:v>8771.7601279999999</c:v>
                </c:pt>
                <c:pt idx="141">
                  <c:v>8304.6973440000002</c:v>
                </c:pt>
                <c:pt idx="142">
                  <c:v>16000</c:v>
                </c:pt>
                <c:pt idx="143">
                  <c:v>16000</c:v>
                </c:pt>
                <c:pt idx="144">
                  <c:v>16000</c:v>
                </c:pt>
                <c:pt idx="145">
                  <c:v>16000</c:v>
                </c:pt>
                <c:pt idx="146">
                  <c:v>16000</c:v>
                </c:pt>
                <c:pt idx="147">
                  <c:v>14969.774079999999</c:v>
                </c:pt>
                <c:pt idx="148">
                  <c:v>16000</c:v>
                </c:pt>
                <c:pt idx="149">
                  <c:v>8776.1510400000006</c:v>
                </c:pt>
                <c:pt idx="150">
                  <c:v>14930.464768</c:v>
                </c:pt>
                <c:pt idx="151">
                  <c:v>16000</c:v>
                </c:pt>
                <c:pt idx="152">
                  <c:v>16000</c:v>
                </c:pt>
                <c:pt idx="153">
                  <c:v>7379.1242240000001</c:v>
                </c:pt>
                <c:pt idx="154">
                  <c:v>7430.2750720000004</c:v>
                </c:pt>
                <c:pt idx="155">
                  <c:v>16000</c:v>
                </c:pt>
                <c:pt idx="156">
                  <c:v>14930.759679999999</c:v>
                </c:pt>
                <c:pt idx="157">
                  <c:v>16000</c:v>
                </c:pt>
                <c:pt idx="158">
                  <c:v>14891.057151999999</c:v>
                </c:pt>
                <c:pt idx="159">
                  <c:v>16000</c:v>
                </c:pt>
                <c:pt idx="160">
                  <c:v>16000</c:v>
                </c:pt>
                <c:pt idx="161">
                  <c:v>16000</c:v>
                </c:pt>
                <c:pt idx="162">
                  <c:v>14910.472191999999</c:v>
                </c:pt>
                <c:pt idx="163">
                  <c:v>16000</c:v>
                </c:pt>
                <c:pt idx="164">
                  <c:v>16000</c:v>
                </c:pt>
                <c:pt idx="165">
                  <c:v>16000</c:v>
                </c:pt>
                <c:pt idx="166">
                  <c:v>9915.5435519999992</c:v>
                </c:pt>
                <c:pt idx="167">
                  <c:v>15330.816000000001</c:v>
                </c:pt>
                <c:pt idx="168">
                  <c:v>15059.476479999999</c:v>
                </c:pt>
                <c:pt idx="169">
                  <c:v>15984.381952</c:v>
                </c:pt>
                <c:pt idx="170">
                  <c:v>15057.567744</c:v>
                </c:pt>
              </c:numCache>
            </c:numRef>
          </c:yVal>
          <c:smooth val="0"/>
          <c:extLst>
            <c:ext xmlns:c16="http://schemas.microsoft.com/office/drawing/2014/chart" uri="{C3380CC4-5D6E-409C-BE32-E72D297353CC}">
              <c16:uniqueId val="{00000001-4716-4E5B-AB23-10FC9DB5F9AB}"/>
            </c:ext>
          </c:extLst>
        </c:ser>
        <c:ser>
          <c:idx val="2"/>
          <c:order val="2"/>
          <c:tx>
            <c:strRef>
              <c:f>'SCRAM-Prob-NON-CCF'!$J$1</c:f>
              <c:strCache>
                <c:ptCount val="1"/>
                <c:pt idx="0">
                  <c:v>Memory-ZBDD</c:v>
                </c:pt>
              </c:strCache>
            </c:strRef>
          </c:tx>
          <c:spPr>
            <a:ln w="19050" cap="rnd">
              <a:noFill/>
              <a:round/>
            </a:ln>
            <a:effectLst/>
          </c:spPr>
          <c:marker>
            <c:symbol val="circle"/>
            <c:size val="5"/>
            <c:spPr>
              <a:solidFill>
                <a:schemeClr val="accent3"/>
              </a:solidFill>
              <a:ln w="9525">
                <a:solidFill>
                  <a:schemeClr val="accent3"/>
                </a:solidFill>
              </a:ln>
              <a:effectLst/>
            </c:spPr>
          </c:marker>
          <c:xVal>
            <c:strRef>
              <c:f>'SCRAM-Prob-NON-CCF'!$G$2:$G$173</c:f>
              <c:strCache>
                <c:ptCount val="171"/>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8000-05</c:v>
                </c:pt>
                <c:pt idx="149">
                  <c:v>8000-06</c:v>
                </c:pt>
                <c:pt idx="150">
                  <c:v>8000-07</c:v>
                </c:pt>
                <c:pt idx="151">
                  <c:v>8000-08</c:v>
                </c:pt>
                <c:pt idx="152">
                  <c:v>8000-09</c:v>
                </c:pt>
                <c:pt idx="153">
                  <c:v>9000-01</c:v>
                </c:pt>
                <c:pt idx="154">
                  <c:v>9000-02</c:v>
                </c:pt>
                <c:pt idx="155">
                  <c:v>9000-03</c:v>
                </c:pt>
                <c:pt idx="156">
                  <c:v>9000-04</c:v>
                </c:pt>
                <c:pt idx="157">
                  <c:v>9000-05</c:v>
                </c:pt>
                <c:pt idx="158">
                  <c:v>9000-06</c:v>
                </c:pt>
                <c:pt idx="159">
                  <c:v>9000-07</c:v>
                </c:pt>
                <c:pt idx="160">
                  <c:v>9000-08</c:v>
                </c:pt>
                <c:pt idx="161">
                  <c:v>9000-09</c:v>
                </c:pt>
                <c:pt idx="162">
                  <c:v>10000-01</c:v>
                </c:pt>
                <c:pt idx="163">
                  <c:v>10000-02</c:v>
                </c:pt>
                <c:pt idx="164">
                  <c:v>10000-03</c:v>
                </c:pt>
                <c:pt idx="165">
                  <c:v>10000-04</c:v>
                </c:pt>
                <c:pt idx="166">
                  <c:v>10000-05</c:v>
                </c:pt>
                <c:pt idx="167">
                  <c:v>10000-06</c:v>
                </c:pt>
                <c:pt idx="168">
                  <c:v>10000-07</c:v>
                </c:pt>
                <c:pt idx="169">
                  <c:v>10000-08</c:v>
                </c:pt>
                <c:pt idx="170">
                  <c:v>10000-09</c:v>
                </c:pt>
              </c:strCache>
            </c:strRef>
          </c:xVal>
          <c:yVal>
            <c:numRef>
              <c:f>'SCRAM-Prob-NON-CCF'!$J$2:$J$173</c:f>
              <c:numCache>
                <c:formatCode>General</c:formatCode>
                <c:ptCount val="172"/>
                <c:pt idx="0">
                  <c:v>6.2709760000000001</c:v>
                </c:pt>
                <c:pt idx="1">
                  <c:v>6.1521920000000003</c:v>
                </c:pt>
                <c:pt idx="2">
                  <c:v>6.0784640000000003</c:v>
                </c:pt>
                <c:pt idx="3">
                  <c:v>6.1685759999999998</c:v>
                </c:pt>
                <c:pt idx="4">
                  <c:v>5.9637760000000002</c:v>
                </c:pt>
                <c:pt idx="5">
                  <c:v>6.2136319999999996</c:v>
                </c:pt>
                <c:pt idx="6">
                  <c:v>6.1685759999999998</c:v>
                </c:pt>
                <c:pt idx="7">
                  <c:v>6.1890559999999999</c:v>
                </c:pt>
                <c:pt idx="8">
                  <c:v>6.2423039999999999</c:v>
                </c:pt>
                <c:pt idx="9">
                  <c:v>6.4757759999999998</c:v>
                </c:pt>
                <c:pt idx="10">
                  <c:v>8.1756159999999998</c:v>
                </c:pt>
                <c:pt idx="11">
                  <c:v>6.7338240000000003</c:v>
                </c:pt>
                <c:pt idx="12">
                  <c:v>6.2054400000000003</c:v>
                </c:pt>
                <c:pt idx="13">
                  <c:v>6.4716800000000001</c:v>
                </c:pt>
                <c:pt idx="14">
                  <c:v>9.8672640000000005</c:v>
                </c:pt>
                <c:pt idx="15">
                  <c:v>8.6958079999999995</c:v>
                </c:pt>
                <c:pt idx="16">
                  <c:v>9.7443840000000002</c:v>
                </c:pt>
                <c:pt idx="17">
                  <c:v>6.5986560000000001</c:v>
                </c:pt>
                <c:pt idx="18">
                  <c:v>7.6513280000000004</c:v>
                </c:pt>
                <c:pt idx="19">
                  <c:v>7.1352320000000002</c:v>
                </c:pt>
                <c:pt idx="20">
                  <c:v>7.3482240000000001</c:v>
                </c:pt>
                <c:pt idx="21">
                  <c:v>7.909376</c:v>
                </c:pt>
                <c:pt idx="22">
                  <c:v>7.6472319999999998</c:v>
                </c:pt>
                <c:pt idx="23">
                  <c:v>7.708672</c:v>
                </c:pt>
                <c:pt idx="24">
                  <c:v>338.931712</c:v>
                </c:pt>
                <c:pt idx="25">
                  <c:v>6.9918719999999999</c:v>
                </c:pt>
                <c:pt idx="26">
                  <c:v>22.58944</c:v>
                </c:pt>
                <c:pt idx="27">
                  <c:v>8.0363520000000008</c:v>
                </c:pt>
                <c:pt idx="28">
                  <c:v>7.2622080000000002</c:v>
                </c:pt>
                <c:pt idx="29">
                  <c:v>8.2534399999999994</c:v>
                </c:pt>
                <c:pt idx="30">
                  <c:v>8.0404479999999996</c:v>
                </c:pt>
                <c:pt idx="31">
                  <c:v>7.3891840000000002</c:v>
                </c:pt>
                <c:pt idx="32">
                  <c:v>8.3066879999999994</c:v>
                </c:pt>
                <c:pt idx="33">
                  <c:v>8.7080959999999994</c:v>
                </c:pt>
                <c:pt idx="34">
                  <c:v>7.4670079999999999</c:v>
                </c:pt>
                <c:pt idx="35">
                  <c:v>7.9175680000000002</c:v>
                </c:pt>
                <c:pt idx="36">
                  <c:v>118.14502400000001</c:v>
                </c:pt>
                <c:pt idx="37">
                  <c:v>129.417216</c:v>
                </c:pt>
                <c:pt idx="38">
                  <c:v>16000</c:v>
                </c:pt>
                <c:pt idx="39">
                  <c:v>8.3025920000000006</c:v>
                </c:pt>
                <c:pt idx="40">
                  <c:v>141.34067200000001</c:v>
                </c:pt>
                <c:pt idx="41">
                  <c:v>158.25305599999999</c:v>
                </c:pt>
                <c:pt idx="42">
                  <c:v>2162.60608</c:v>
                </c:pt>
                <c:pt idx="43">
                  <c:v>9.7443840000000002</c:v>
                </c:pt>
                <c:pt idx="44">
                  <c:v>14.336</c:v>
                </c:pt>
                <c:pt idx="45">
                  <c:v>8.8391680000000008</c:v>
                </c:pt>
                <c:pt idx="46">
                  <c:v>16000</c:v>
                </c:pt>
                <c:pt idx="47">
                  <c:v>8.8064</c:v>
                </c:pt>
                <c:pt idx="48">
                  <c:v>9.2282879999999992</c:v>
                </c:pt>
                <c:pt idx="49">
                  <c:v>54.439936000000003</c:v>
                </c:pt>
                <c:pt idx="50">
                  <c:v>106.217472</c:v>
                </c:pt>
                <c:pt idx="51">
                  <c:v>1264.898048</c:v>
                </c:pt>
                <c:pt idx="52">
                  <c:v>141.47584000000001</c:v>
                </c:pt>
                <c:pt idx="53">
                  <c:v>16000</c:v>
                </c:pt>
                <c:pt idx="54">
                  <c:v>9.2979199999999995</c:v>
                </c:pt>
                <c:pt idx="55">
                  <c:v>11.862016000000001</c:v>
                </c:pt>
                <c:pt idx="56">
                  <c:v>16000</c:v>
                </c:pt>
                <c:pt idx="57">
                  <c:v>16000</c:v>
                </c:pt>
                <c:pt idx="58">
                  <c:v>4239.4378239999996</c:v>
                </c:pt>
                <c:pt idx="59">
                  <c:v>16000</c:v>
                </c:pt>
                <c:pt idx="60">
                  <c:v>8.8432639999999996</c:v>
                </c:pt>
                <c:pt idx="61">
                  <c:v>16000</c:v>
                </c:pt>
                <c:pt idx="62">
                  <c:v>16000</c:v>
                </c:pt>
                <c:pt idx="63">
                  <c:v>16000</c:v>
                </c:pt>
                <c:pt idx="64">
                  <c:v>43.040768</c:v>
                </c:pt>
                <c:pt idx="65">
                  <c:v>575.27910399999996</c:v>
                </c:pt>
                <c:pt idx="66">
                  <c:v>17.887232000000001</c:v>
                </c:pt>
                <c:pt idx="67">
                  <c:v>27.570176</c:v>
                </c:pt>
                <c:pt idx="68">
                  <c:v>16000</c:v>
                </c:pt>
                <c:pt idx="69">
                  <c:v>2277.56032</c:v>
                </c:pt>
                <c:pt idx="70">
                  <c:v>2515.02592</c:v>
                </c:pt>
                <c:pt idx="71">
                  <c:v>2225.9712</c:v>
                </c:pt>
                <c:pt idx="72">
                  <c:v>20.275200000000002</c:v>
                </c:pt>
                <c:pt idx="73">
                  <c:v>9696.1126399999994</c:v>
                </c:pt>
                <c:pt idx="74">
                  <c:v>16000</c:v>
                </c:pt>
                <c:pt idx="75">
                  <c:v>13.414400000000001</c:v>
                </c:pt>
                <c:pt idx="76">
                  <c:v>16000</c:v>
                </c:pt>
                <c:pt idx="77">
                  <c:v>504.79513600000001</c:v>
                </c:pt>
                <c:pt idx="78">
                  <c:v>16000</c:v>
                </c:pt>
                <c:pt idx="79">
                  <c:v>28.225536000000002</c:v>
                </c:pt>
                <c:pt idx="80">
                  <c:v>16000</c:v>
                </c:pt>
                <c:pt idx="81">
                  <c:v>16000</c:v>
                </c:pt>
                <c:pt idx="82">
                  <c:v>1172.226048</c:v>
                </c:pt>
                <c:pt idx="83">
                  <c:v>16000</c:v>
                </c:pt>
                <c:pt idx="84">
                  <c:v>15441.301503999999</c:v>
                </c:pt>
                <c:pt idx="85">
                  <c:v>16000</c:v>
                </c:pt>
                <c:pt idx="86">
                  <c:v>3724.7221760000002</c:v>
                </c:pt>
                <c:pt idx="87">
                  <c:v>16000</c:v>
                </c:pt>
                <c:pt idx="88">
                  <c:v>16000</c:v>
                </c:pt>
                <c:pt idx="89">
                  <c:v>16000</c:v>
                </c:pt>
                <c:pt idx="90">
                  <c:v>42.647551999999997</c:v>
                </c:pt>
                <c:pt idx="91">
                  <c:v>16000</c:v>
                </c:pt>
                <c:pt idx="92">
                  <c:v>16000</c:v>
                </c:pt>
                <c:pt idx="93">
                  <c:v>16000</c:v>
                </c:pt>
                <c:pt idx="94">
                  <c:v>15.38048</c:v>
                </c:pt>
                <c:pt idx="95">
                  <c:v>16000</c:v>
                </c:pt>
                <c:pt idx="96">
                  <c:v>16000</c:v>
                </c:pt>
                <c:pt idx="97">
                  <c:v>16000</c:v>
                </c:pt>
                <c:pt idx="98">
                  <c:v>16000</c:v>
                </c:pt>
                <c:pt idx="99">
                  <c:v>16000</c:v>
                </c:pt>
                <c:pt idx="100">
                  <c:v>16000</c:v>
                </c:pt>
                <c:pt idx="101">
                  <c:v>16000</c:v>
                </c:pt>
                <c:pt idx="102">
                  <c:v>16000</c:v>
                </c:pt>
                <c:pt idx="103">
                  <c:v>16000</c:v>
                </c:pt>
                <c:pt idx="104">
                  <c:v>16000</c:v>
                </c:pt>
                <c:pt idx="105">
                  <c:v>16000</c:v>
                </c:pt>
                <c:pt idx="106">
                  <c:v>16000</c:v>
                </c:pt>
                <c:pt idx="107">
                  <c:v>16000</c:v>
                </c:pt>
                <c:pt idx="108">
                  <c:v>16000</c:v>
                </c:pt>
                <c:pt idx="109">
                  <c:v>16000</c:v>
                </c:pt>
                <c:pt idx="110">
                  <c:v>16000</c:v>
                </c:pt>
                <c:pt idx="111">
                  <c:v>12243.918847999999</c:v>
                </c:pt>
                <c:pt idx="112">
                  <c:v>16000</c:v>
                </c:pt>
                <c:pt idx="113">
                  <c:v>15414.505472000001</c:v>
                </c:pt>
                <c:pt idx="114">
                  <c:v>16000</c:v>
                </c:pt>
                <c:pt idx="115">
                  <c:v>16000</c:v>
                </c:pt>
                <c:pt idx="116">
                  <c:v>16000</c:v>
                </c:pt>
                <c:pt idx="117">
                  <c:v>16000</c:v>
                </c:pt>
                <c:pt idx="118">
                  <c:v>16000</c:v>
                </c:pt>
                <c:pt idx="119">
                  <c:v>16000</c:v>
                </c:pt>
                <c:pt idx="120">
                  <c:v>16000</c:v>
                </c:pt>
                <c:pt idx="121">
                  <c:v>16000</c:v>
                </c:pt>
                <c:pt idx="122">
                  <c:v>16000</c:v>
                </c:pt>
                <c:pt idx="123">
                  <c:v>16000</c:v>
                </c:pt>
                <c:pt idx="124">
                  <c:v>15150.600192</c:v>
                </c:pt>
                <c:pt idx="125">
                  <c:v>16000</c:v>
                </c:pt>
                <c:pt idx="126">
                  <c:v>16000</c:v>
                </c:pt>
                <c:pt idx="127">
                  <c:v>8577.7981440000003</c:v>
                </c:pt>
                <c:pt idx="128">
                  <c:v>16000</c:v>
                </c:pt>
                <c:pt idx="129">
                  <c:v>16000</c:v>
                </c:pt>
                <c:pt idx="130">
                  <c:v>16000</c:v>
                </c:pt>
                <c:pt idx="131">
                  <c:v>16000</c:v>
                </c:pt>
                <c:pt idx="132">
                  <c:v>16000</c:v>
                </c:pt>
                <c:pt idx="133">
                  <c:v>16000</c:v>
                </c:pt>
                <c:pt idx="134">
                  <c:v>16000</c:v>
                </c:pt>
                <c:pt idx="135">
                  <c:v>16000</c:v>
                </c:pt>
                <c:pt idx="136">
                  <c:v>16000</c:v>
                </c:pt>
                <c:pt idx="137">
                  <c:v>16000</c:v>
                </c:pt>
                <c:pt idx="138">
                  <c:v>16000</c:v>
                </c:pt>
                <c:pt idx="139">
                  <c:v>16000</c:v>
                </c:pt>
                <c:pt idx="140">
                  <c:v>16000</c:v>
                </c:pt>
                <c:pt idx="141">
                  <c:v>16000</c:v>
                </c:pt>
                <c:pt idx="142">
                  <c:v>16000</c:v>
                </c:pt>
                <c:pt idx="143">
                  <c:v>9157.9432959999995</c:v>
                </c:pt>
                <c:pt idx="144">
                  <c:v>8666.5297919999994</c:v>
                </c:pt>
                <c:pt idx="145">
                  <c:v>9373.6714240000001</c:v>
                </c:pt>
                <c:pt idx="146">
                  <c:v>16000</c:v>
                </c:pt>
                <c:pt idx="147">
                  <c:v>16000</c:v>
                </c:pt>
                <c:pt idx="148">
                  <c:v>16000</c:v>
                </c:pt>
                <c:pt idx="149">
                  <c:v>16000</c:v>
                </c:pt>
                <c:pt idx="150">
                  <c:v>16000</c:v>
                </c:pt>
                <c:pt idx="151">
                  <c:v>16000</c:v>
                </c:pt>
                <c:pt idx="152">
                  <c:v>16000</c:v>
                </c:pt>
                <c:pt idx="153">
                  <c:v>16000</c:v>
                </c:pt>
                <c:pt idx="154">
                  <c:v>16000</c:v>
                </c:pt>
                <c:pt idx="155">
                  <c:v>16000</c:v>
                </c:pt>
                <c:pt idx="156">
                  <c:v>16000</c:v>
                </c:pt>
                <c:pt idx="157">
                  <c:v>11087.314944</c:v>
                </c:pt>
                <c:pt idx="158">
                  <c:v>16000</c:v>
                </c:pt>
                <c:pt idx="159">
                  <c:v>16000</c:v>
                </c:pt>
                <c:pt idx="160">
                  <c:v>16000</c:v>
                </c:pt>
                <c:pt idx="161">
                  <c:v>16000</c:v>
                </c:pt>
                <c:pt idx="162">
                  <c:v>16000</c:v>
                </c:pt>
                <c:pt idx="163">
                  <c:v>16000</c:v>
                </c:pt>
                <c:pt idx="164">
                  <c:v>16000</c:v>
                </c:pt>
                <c:pt idx="165">
                  <c:v>16000</c:v>
                </c:pt>
                <c:pt idx="166">
                  <c:v>16000</c:v>
                </c:pt>
                <c:pt idx="167">
                  <c:v>10000.5888</c:v>
                </c:pt>
                <c:pt idx="168">
                  <c:v>16000</c:v>
                </c:pt>
                <c:pt idx="169">
                  <c:v>16000</c:v>
                </c:pt>
                <c:pt idx="170">
                  <c:v>16000</c:v>
                </c:pt>
              </c:numCache>
            </c:numRef>
          </c:yVal>
          <c:smooth val="0"/>
          <c:extLst>
            <c:ext xmlns:c16="http://schemas.microsoft.com/office/drawing/2014/chart" uri="{C3380CC4-5D6E-409C-BE32-E72D297353CC}">
              <c16:uniqueId val="{00000002-4716-4E5B-AB23-10FC9DB5F9AB}"/>
            </c:ext>
          </c:extLst>
        </c:ser>
        <c:dLbls>
          <c:showLegendKey val="0"/>
          <c:showVal val="0"/>
          <c:showCatName val="0"/>
          <c:showSerName val="0"/>
          <c:showPercent val="0"/>
          <c:showBubbleSize val="0"/>
        </c:dLbls>
        <c:axId val="1470508576"/>
        <c:axId val="1148685424"/>
      </c:scatterChart>
      <c:valAx>
        <c:axId val="1470508576"/>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685424"/>
        <c:crosses val="autoZero"/>
        <c:crossBetween val="midCat"/>
      </c:valAx>
      <c:valAx>
        <c:axId val="114868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Memory</a:t>
                </a:r>
                <a:r>
                  <a:rPr lang="en-US" baseline="0"/>
                  <a:t> (MB)</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5085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SCRAM-CCF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'SCRAM-Prob-CCF'!$B$1</c:f>
              <c:strCache>
                <c:ptCount val="1"/>
                <c:pt idx="0">
                  <c:v>CPU Time -BDD</c:v>
                </c:pt>
              </c:strCache>
            </c:strRef>
          </c:tx>
          <c:spPr>
            <a:ln w="19050" cap="rnd">
              <a:noFill/>
              <a:round/>
            </a:ln>
            <a:effectLst/>
          </c:spPr>
          <c:marker>
            <c:symbol val="circle"/>
            <c:size val="5"/>
            <c:spPr>
              <a:solidFill>
                <a:schemeClr val="accent1"/>
              </a:solidFill>
              <a:ln w="9525">
                <a:solidFill>
                  <a:schemeClr val="accent1"/>
                </a:solidFill>
              </a:ln>
              <a:effectLst/>
            </c:spPr>
          </c:marker>
          <c:xVal>
            <c:strRef>
              <c:f>'SCRAM-Prob-CCF'!$A$2:$A$92</c:f>
              <c:strCache>
                <c:ptCount val="90"/>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ccf6-600-05</c:v>
                </c:pt>
                <c:pt idx="51">
                  <c:v>ccf7-600-05</c:v>
                </c:pt>
                <c:pt idx="52">
                  <c:v>ccf8-600-05</c:v>
                </c:pt>
                <c:pt idx="53">
                  <c:v>ccf9-600-05</c:v>
                </c:pt>
                <c:pt idx="54">
                  <c:v>ccf1-700-05</c:v>
                </c:pt>
                <c:pt idx="55">
                  <c:v>ccf2-700-05</c:v>
                </c:pt>
                <c:pt idx="56">
                  <c:v>ccf3-700-05</c:v>
                </c:pt>
                <c:pt idx="57">
                  <c:v>ccf4-700-05</c:v>
                </c:pt>
                <c:pt idx="58">
                  <c:v>ccf5-700-05</c:v>
                </c:pt>
                <c:pt idx="59">
                  <c:v>ccf6-700-05</c:v>
                </c:pt>
                <c:pt idx="60">
                  <c:v>ccf7-700-05</c:v>
                </c:pt>
                <c:pt idx="61">
                  <c:v>ccf8-700-05</c:v>
                </c:pt>
                <c:pt idx="62">
                  <c:v>ccf9-700-05</c:v>
                </c:pt>
                <c:pt idx="63">
                  <c:v>ccf1-800-05</c:v>
                </c:pt>
                <c:pt idx="64">
                  <c:v>ccf2-800-05</c:v>
                </c:pt>
                <c:pt idx="65">
                  <c:v>ccf3-800-05</c:v>
                </c:pt>
                <c:pt idx="66">
                  <c:v>ccf4-800-05</c:v>
                </c:pt>
                <c:pt idx="67">
                  <c:v>ccf5-800-05</c:v>
                </c:pt>
                <c:pt idx="68">
                  <c:v>ccf6-800-05</c:v>
                </c:pt>
                <c:pt idx="69">
                  <c:v>ccf7-800-05</c:v>
                </c:pt>
                <c:pt idx="70">
                  <c:v>ccf8-800-05</c:v>
                </c:pt>
                <c:pt idx="71">
                  <c:v>ccf9-800-05</c:v>
                </c:pt>
                <c:pt idx="72">
                  <c:v>ccf1-900-05</c:v>
                </c:pt>
                <c:pt idx="73">
                  <c:v>ccf2-900-05</c:v>
                </c:pt>
                <c:pt idx="74">
                  <c:v>ccf3-900-05</c:v>
                </c:pt>
                <c:pt idx="75">
                  <c:v>ccf4-900-05</c:v>
                </c:pt>
                <c:pt idx="76">
                  <c:v>ccf5-900-05</c:v>
                </c:pt>
                <c:pt idx="77">
                  <c:v>ccf6-900-05</c:v>
                </c:pt>
                <c:pt idx="78">
                  <c:v>ccf7-900-05</c:v>
                </c:pt>
                <c:pt idx="79">
                  <c:v>ccf8-900-05</c:v>
                </c:pt>
                <c:pt idx="80">
                  <c:v>ccf9-900-05</c:v>
                </c:pt>
                <c:pt idx="81">
                  <c:v>ccf1-1000-05</c:v>
                </c:pt>
                <c:pt idx="82">
                  <c:v>ccf2-1000-05</c:v>
                </c:pt>
                <c:pt idx="83">
                  <c:v>ccf3-1000-05</c:v>
                </c:pt>
                <c:pt idx="84">
                  <c:v>ccf4-1000-05</c:v>
                </c:pt>
                <c:pt idx="85">
                  <c:v>ccf5-1000-05</c:v>
                </c:pt>
                <c:pt idx="86">
                  <c:v>ccf6-1000-05</c:v>
                </c:pt>
                <c:pt idx="87">
                  <c:v>ccf7-1000-05</c:v>
                </c:pt>
                <c:pt idx="88">
                  <c:v>ccf8-1000-05</c:v>
                </c:pt>
                <c:pt idx="89">
                  <c:v>ccf9-1000-05</c:v>
                </c:pt>
              </c:strCache>
            </c:strRef>
          </c:xVal>
          <c:yVal>
            <c:numRef>
              <c:f>'SCRAM-Prob-CCF'!$B$2:$B$92</c:f>
              <c:numCache>
                <c:formatCode>General</c:formatCode>
                <c:ptCount val="91"/>
                <c:pt idx="0">
                  <c:v>0.112576778</c:v>
                </c:pt>
                <c:pt idx="1">
                  <c:v>2.84156977</c:v>
                </c:pt>
                <c:pt idx="2">
                  <c:v>48.333348209999997</c:v>
                </c:pt>
                <c:pt idx="3">
                  <c:v>901.00027503900003</c:v>
                </c:pt>
                <c:pt idx="4">
                  <c:v>901.00263383100003</c:v>
                </c:pt>
                <c:pt idx="5">
                  <c:v>900.46385791399996</c:v>
                </c:pt>
                <c:pt idx="6">
                  <c:v>900.317365827</c:v>
                </c:pt>
                <c:pt idx="7">
                  <c:v>900.56415408700002</c:v>
                </c:pt>
                <c:pt idx="8">
                  <c:v>900.49929923900004</c:v>
                </c:pt>
                <c:pt idx="9">
                  <c:v>1.176530842</c:v>
                </c:pt>
                <c:pt idx="10">
                  <c:v>16.807068467000001</c:v>
                </c:pt>
                <c:pt idx="11">
                  <c:v>152.107668872</c:v>
                </c:pt>
                <c:pt idx="12">
                  <c:v>901.01205639900002</c:v>
                </c:pt>
                <c:pt idx="13">
                  <c:v>900.49836832599999</c:v>
                </c:pt>
                <c:pt idx="14">
                  <c:v>900.64608491599995</c:v>
                </c:pt>
                <c:pt idx="15">
                  <c:v>900.65055078900002</c:v>
                </c:pt>
                <c:pt idx="16">
                  <c:v>900.94669834299998</c:v>
                </c:pt>
                <c:pt idx="17">
                  <c:v>900.42187422400002</c:v>
                </c:pt>
                <c:pt idx="18">
                  <c:v>901.023330418</c:v>
                </c:pt>
                <c:pt idx="19">
                  <c:v>900.55485027700001</c:v>
                </c:pt>
                <c:pt idx="20">
                  <c:v>900.60671619100003</c:v>
                </c:pt>
                <c:pt idx="21">
                  <c:v>352.25189193099999</c:v>
                </c:pt>
                <c:pt idx="22">
                  <c:v>363.07352179399999</c:v>
                </c:pt>
                <c:pt idx="23">
                  <c:v>504.89603783799998</c:v>
                </c:pt>
                <c:pt idx="24">
                  <c:v>341.68712385399999</c:v>
                </c:pt>
                <c:pt idx="25">
                  <c:v>269.39371121300002</c:v>
                </c:pt>
                <c:pt idx="26">
                  <c:v>316.08627189200001</c:v>
                </c:pt>
                <c:pt idx="27">
                  <c:v>900.66514474200005</c:v>
                </c:pt>
                <c:pt idx="28">
                  <c:v>900.76302212999997</c:v>
                </c:pt>
                <c:pt idx="29">
                  <c:v>900.67187615700004</c:v>
                </c:pt>
                <c:pt idx="30">
                  <c:v>901.01818298000001</c:v>
                </c:pt>
                <c:pt idx="31">
                  <c:v>900.95290756700001</c:v>
                </c:pt>
                <c:pt idx="32">
                  <c:v>266.272871834</c:v>
                </c:pt>
                <c:pt idx="33">
                  <c:v>307.44254313200003</c:v>
                </c:pt>
                <c:pt idx="34">
                  <c:v>334.28958532199999</c:v>
                </c:pt>
                <c:pt idx="35">
                  <c:v>466.617252501</c:v>
                </c:pt>
                <c:pt idx="36">
                  <c:v>490.56377439800002</c:v>
                </c:pt>
                <c:pt idx="37">
                  <c:v>900.51390483900002</c:v>
                </c:pt>
                <c:pt idx="38">
                  <c:v>712.81715030099997</c:v>
                </c:pt>
                <c:pt idx="39">
                  <c:v>296.79090823400003</c:v>
                </c:pt>
                <c:pt idx="40">
                  <c:v>328.85356646499997</c:v>
                </c:pt>
                <c:pt idx="41">
                  <c:v>257.00031512300001</c:v>
                </c:pt>
                <c:pt idx="42">
                  <c:v>294.535845241</c:v>
                </c:pt>
                <c:pt idx="43">
                  <c:v>331.31139919200001</c:v>
                </c:pt>
                <c:pt idx="44">
                  <c:v>250.72438263199999</c:v>
                </c:pt>
                <c:pt idx="45">
                  <c:v>342.52406618499998</c:v>
                </c:pt>
                <c:pt idx="46">
                  <c:v>471.00320042599998</c:v>
                </c:pt>
                <c:pt idx="47">
                  <c:v>243.255597913</c:v>
                </c:pt>
                <c:pt idx="48">
                  <c:v>251.46731956799999</c:v>
                </c:pt>
                <c:pt idx="49">
                  <c:v>266.97374978699997</c:v>
                </c:pt>
                <c:pt idx="50">
                  <c:v>266.99391716299999</c:v>
                </c:pt>
                <c:pt idx="51">
                  <c:v>356.90721315899998</c:v>
                </c:pt>
                <c:pt idx="52">
                  <c:v>261.43500637699998</c:v>
                </c:pt>
                <c:pt idx="53">
                  <c:v>287.66383600900002</c:v>
                </c:pt>
                <c:pt idx="54">
                  <c:v>278.68518135599999</c:v>
                </c:pt>
                <c:pt idx="55">
                  <c:v>270.873135838</c:v>
                </c:pt>
                <c:pt idx="56">
                  <c:v>287.843376154</c:v>
                </c:pt>
                <c:pt idx="57">
                  <c:v>333.97865297499999</c:v>
                </c:pt>
                <c:pt idx="58">
                  <c:v>410.31732945599998</c:v>
                </c:pt>
                <c:pt idx="59">
                  <c:v>336.01508636599999</c:v>
                </c:pt>
                <c:pt idx="60">
                  <c:v>250.43410346100001</c:v>
                </c:pt>
                <c:pt idx="61">
                  <c:v>251.79880013499999</c:v>
                </c:pt>
                <c:pt idx="62">
                  <c:v>258.181924256</c:v>
                </c:pt>
                <c:pt idx="63">
                  <c:v>900.62072193500001</c:v>
                </c:pt>
                <c:pt idx="64">
                  <c:v>901.09629545799999</c:v>
                </c:pt>
                <c:pt idx="65">
                  <c:v>431.28230180700001</c:v>
                </c:pt>
                <c:pt idx="66">
                  <c:v>251.522484069</c:v>
                </c:pt>
                <c:pt idx="67">
                  <c:v>256.71965747299998</c:v>
                </c:pt>
                <c:pt idx="68">
                  <c:v>299.471250269</c:v>
                </c:pt>
                <c:pt idx="69">
                  <c:v>439.18918935099998</c:v>
                </c:pt>
                <c:pt idx="70">
                  <c:v>246.57838572700001</c:v>
                </c:pt>
                <c:pt idx="71">
                  <c:v>602.20688997100001</c:v>
                </c:pt>
                <c:pt idx="72">
                  <c:v>354.91195205899999</c:v>
                </c:pt>
                <c:pt idx="73">
                  <c:v>303.53861825899997</c:v>
                </c:pt>
                <c:pt idx="74">
                  <c:v>359.89189752999999</c:v>
                </c:pt>
                <c:pt idx="75">
                  <c:v>373.59435516799999</c:v>
                </c:pt>
                <c:pt idx="76">
                  <c:v>337.08358661900002</c:v>
                </c:pt>
                <c:pt idx="77">
                  <c:v>337.74787810100003</c:v>
                </c:pt>
                <c:pt idx="78">
                  <c:v>330.61288792699997</c:v>
                </c:pt>
                <c:pt idx="79">
                  <c:v>343.75693908099998</c:v>
                </c:pt>
                <c:pt idx="80">
                  <c:v>259.85812765999998</c:v>
                </c:pt>
                <c:pt idx="81">
                  <c:v>306.28426618100002</c:v>
                </c:pt>
                <c:pt idx="82">
                  <c:v>321.82699595700001</c:v>
                </c:pt>
                <c:pt idx="83">
                  <c:v>419.72427243300001</c:v>
                </c:pt>
                <c:pt idx="84">
                  <c:v>242.12432923599999</c:v>
                </c:pt>
                <c:pt idx="85">
                  <c:v>234.640918658</c:v>
                </c:pt>
                <c:pt idx="86">
                  <c:v>247.617721007</c:v>
                </c:pt>
                <c:pt idx="87">
                  <c:v>304.76653016199998</c:v>
                </c:pt>
                <c:pt idx="88">
                  <c:v>304.89573966799998</c:v>
                </c:pt>
                <c:pt idx="89">
                  <c:v>220.04364314599999</c:v>
                </c:pt>
              </c:numCache>
            </c:numRef>
          </c:yVal>
          <c:smooth val="0"/>
          <c:extLst>
            <c:ext xmlns:c16="http://schemas.microsoft.com/office/drawing/2014/chart" uri="{C3380CC4-5D6E-409C-BE32-E72D297353CC}">
              <c16:uniqueId val="{00000000-4E6F-44B5-8520-14F039438C88}"/>
            </c:ext>
          </c:extLst>
        </c:ser>
        <c:ser>
          <c:idx val="1"/>
          <c:order val="1"/>
          <c:tx>
            <c:strRef>
              <c:f>'SCRAM-Prob-CCF'!$C$1</c:f>
              <c:strCache>
                <c:ptCount val="1"/>
                <c:pt idx="0">
                  <c:v>CPU Time-Mocus</c:v>
                </c:pt>
              </c:strCache>
            </c:strRef>
          </c:tx>
          <c:spPr>
            <a:ln w="19050" cap="rnd">
              <a:noFill/>
              <a:round/>
            </a:ln>
            <a:effectLst/>
          </c:spPr>
          <c:marker>
            <c:symbol val="circle"/>
            <c:size val="5"/>
            <c:spPr>
              <a:solidFill>
                <a:schemeClr val="accent2"/>
              </a:solidFill>
              <a:ln w="9525">
                <a:solidFill>
                  <a:schemeClr val="accent2"/>
                </a:solidFill>
              </a:ln>
              <a:effectLst/>
            </c:spPr>
          </c:marker>
          <c:xVal>
            <c:strRef>
              <c:f>'SCRAM-Prob-CCF'!$A$2:$A$92</c:f>
              <c:strCache>
                <c:ptCount val="90"/>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ccf6-600-05</c:v>
                </c:pt>
                <c:pt idx="51">
                  <c:v>ccf7-600-05</c:v>
                </c:pt>
                <c:pt idx="52">
                  <c:v>ccf8-600-05</c:v>
                </c:pt>
                <c:pt idx="53">
                  <c:v>ccf9-600-05</c:v>
                </c:pt>
                <c:pt idx="54">
                  <c:v>ccf1-700-05</c:v>
                </c:pt>
                <c:pt idx="55">
                  <c:v>ccf2-700-05</c:v>
                </c:pt>
                <c:pt idx="56">
                  <c:v>ccf3-700-05</c:v>
                </c:pt>
                <c:pt idx="57">
                  <c:v>ccf4-700-05</c:v>
                </c:pt>
                <c:pt idx="58">
                  <c:v>ccf5-700-05</c:v>
                </c:pt>
                <c:pt idx="59">
                  <c:v>ccf6-700-05</c:v>
                </c:pt>
                <c:pt idx="60">
                  <c:v>ccf7-700-05</c:v>
                </c:pt>
                <c:pt idx="61">
                  <c:v>ccf8-700-05</c:v>
                </c:pt>
                <c:pt idx="62">
                  <c:v>ccf9-700-05</c:v>
                </c:pt>
                <c:pt idx="63">
                  <c:v>ccf1-800-05</c:v>
                </c:pt>
                <c:pt idx="64">
                  <c:v>ccf2-800-05</c:v>
                </c:pt>
                <c:pt idx="65">
                  <c:v>ccf3-800-05</c:v>
                </c:pt>
                <c:pt idx="66">
                  <c:v>ccf4-800-05</c:v>
                </c:pt>
                <c:pt idx="67">
                  <c:v>ccf5-800-05</c:v>
                </c:pt>
                <c:pt idx="68">
                  <c:v>ccf6-800-05</c:v>
                </c:pt>
                <c:pt idx="69">
                  <c:v>ccf7-800-05</c:v>
                </c:pt>
                <c:pt idx="70">
                  <c:v>ccf8-800-05</c:v>
                </c:pt>
                <c:pt idx="71">
                  <c:v>ccf9-800-05</c:v>
                </c:pt>
                <c:pt idx="72">
                  <c:v>ccf1-900-05</c:v>
                </c:pt>
                <c:pt idx="73">
                  <c:v>ccf2-900-05</c:v>
                </c:pt>
                <c:pt idx="74">
                  <c:v>ccf3-900-05</c:v>
                </c:pt>
                <c:pt idx="75">
                  <c:v>ccf4-900-05</c:v>
                </c:pt>
                <c:pt idx="76">
                  <c:v>ccf5-900-05</c:v>
                </c:pt>
                <c:pt idx="77">
                  <c:v>ccf6-900-05</c:v>
                </c:pt>
                <c:pt idx="78">
                  <c:v>ccf7-900-05</c:v>
                </c:pt>
                <c:pt idx="79">
                  <c:v>ccf8-900-05</c:v>
                </c:pt>
                <c:pt idx="80">
                  <c:v>ccf9-900-05</c:v>
                </c:pt>
                <c:pt idx="81">
                  <c:v>ccf1-1000-05</c:v>
                </c:pt>
                <c:pt idx="82">
                  <c:v>ccf2-1000-05</c:v>
                </c:pt>
                <c:pt idx="83">
                  <c:v>ccf3-1000-05</c:v>
                </c:pt>
                <c:pt idx="84">
                  <c:v>ccf4-1000-05</c:v>
                </c:pt>
                <c:pt idx="85">
                  <c:v>ccf5-1000-05</c:v>
                </c:pt>
                <c:pt idx="86">
                  <c:v>ccf6-1000-05</c:v>
                </c:pt>
                <c:pt idx="87">
                  <c:v>ccf7-1000-05</c:v>
                </c:pt>
                <c:pt idx="88">
                  <c:v>ccf8-1000-05</c:v>
                </c:pt>
                <c:pt idx="89">
                  <c:v>ccf9-1000-05</c:v>
                </c:pt>
              </c:strCache>
            </c:strRef>
          </c:xVal>
          <c:yVal>
            <c:numRef>
              <c:f>'SCRAM-Prob-CCF'!$C$2:$C$92</c:f>
              <c:numCache>
                <c:formatCode>General</c:formatCode>
                <c:ptCount val="91"/>
                <c:pt idx="0">
                  <c:v>0.11676247300000001</c:v>
                </c:pt>
                <c:pt idx="1">
                  <c:v>3.1006338119999999</c:v>
                </c:pt>
                <c:pt idx="2">
                  <c:v>49.136650009</c:v>
                </c:pt>
                <c:pt idx="3">
                  <c:v>901.00157390100003</c:v>
                </c:pt>
                <c:pt idx="4">
                  <c:v>901.00181766000003</c:v>
                </c:pt>
                <c:pt idx="5">
                  <c:v>900.606204617</c:v>
                </c:pt>
                <c:pt idx="6">
                  <c:v>900.57390462900003</c:v>
                </c:pt>
                <c:pt idx="7">
                  <c:v>900.55980494400001</c:v>
                </c:pt>
                <c:pt idx="8">
                  <c:v>900.48886139900003</c:v>
                </c:pt>
                <c:pt idx="9">
                  <c:v>1.1896825529999999</c:v>
                </c:pt>
                <c:pt idx="10">
                  <c:v>16.816384222</c:v>
                </c:pt>
                <c:pt idx="11">
                  <c:v>149.539492276</c:v>
                </c:pt>
                <c:pt idx="12">
                  <c:v>900.40765734199999</c:v>
                </c:pt>
                <c:pt idx="13">
                  <c:v>900.55780081299997</c:v>
                </c:pt>
                <c:pt idx="14">
                  <c:v>900.57493953699998</c:v>
                </c:pt>
                <c:pt idx="15">
                  <c:v>900.28162654000005</c:v>
                </c:pt>
                <c:pt idx="16">
                  <c:v>900.51202771999999</c:v>
                </c:pt>
                <c:pt idx="17">
                  <c:v>900.43999998899994</c:v>
                </c:pt>
                <c:pt idx="18">
                  <c:v>901.00434332299994</c:v>
                </c:pt>
                <c:pt idx="19">
                  <c:v>900.488247935</c:v>
                </c:pt>
                <c:pt idx="20">
                  <c:v>900.45866372199998</c:v>
                </c:pt>
                <c:pt idx="21">
                  <c:v>900.54871417000004</c:v>
                </c:pt>
                <c:pt idx="22">
                  <c:v>900.72441632000005</c:v>
                </c:pt>
                <c:pt idx="23">
                  <c:v>900.88287345499998</c:v>
                </c:pt>
                <c:pt idx="24">
                  <c:v>623.10625450800001</c:v>
                </c:pt>
                <c:pt idx="25">
                  <c:v>727.03524810800002</c:v>
                </c:pt>
                <c:pt idx="26">
                  <c:v>408.10758049600003</c:v>
                </c:pt>
                <c:pt idx="27">
                  <c:v>900.72005330000002</c:v>
                </c:pt>
                <c:pt idx="28">
                  <c:v>900.74158389399997</c:v>
                </c:pt>
                <c:pt idx="29">
                  <c:v>900.62656542299999</c:v>
                </c:pt>
                <c:pt idx="30">
                  <c:v>900.67174980100003</c:v>
                </c:pt>
                <c:pt idx="31">
                  <c:v>900.692187343</c:v>
                </c:pt>
                <c:pt idx="32">
                  <c:v>668.34748224400005</c:v>
                </c:pt>
                <c:pt idx="33">
                  <c:v>654.71062634099997</c:v>
                </c:pt>
                <c:pt idx="34">
                  <c:v>592.18702674500003</c:v>
                </c:pt>
                <c:pt idx="35">
                  <c:v>803.98657676799996</c:v>
                </c:pt>
                <c:pt idx="36">
                  <c:v>900.64535636000005</c:v>
                </c:pt>
                <c:pt idx="37">
                  <c:v>900.71610469699999</c:v>
                </c:pt>
                <c:pt idx="38">
                  <c:v>900.72809303400004</c:v>
                </c:pt>
                <c:pt idx="39">
                  <c:v>479.18724326699999</c:v>
                </c:pt>
                <c:pt idx="40">
                  <c:v>900.88055774400004</c:v>
                </c:pt>
                <c:pt idx="41">
                  <c:v>901.256588964</c:v>
                </c:pt>
                <c:pt idx="42">
                  <c:v>900.97958470900005</c:v>
                </c:pt>
                <c:pt idx="43">
                  <c:v>900.96560698799999</c:v>
                </c:pt>
                <c:pt idx="44">
                  <c:v>617.85073844600004</c:v>
                </c:pt>
                <c:pt idx="45">
                  <c:v>900.71906323899998</c:v>
                </c:pt>
                <c:pt idx="46">
                  <c:v>900.64149188199997</c:v>
                </c:pt>
                <c:pt idx="47">
                  <c:v>900.88669275500001</c:v>
                </c:pt>
                <c:pt idx="48">
                  <c:v>901.34783365800001</c:v>
                </c:pt>
                <c:pt idx="49">
                  <c:v>900.90840958800004</c:v>
                </c:pt>
                <c:pt idx="50">
                  <c:v>901.01250177099996</c:v>
                </c:pt>
                <c:pt idx="51">
                  <c:v>862.44701335599996</c:v>
                </c:pt>
                <c:pt idx="52">
                  <c:v>901.217523594</c:v>
                </c:pt>
                <c:pt idx="53">
                  <c:v>725.231264528</c:v>
                </c:pt>
                <c:pt idx="54">
                  <c:v>900.90000783999994</c:v>
                </c:pt>
                <c:pt idx="55">
                  <c:v>900.94933401499998</c:v>
                </c:pt>
                <c:pt idx="56">
                  <c:v>901.29002294099996</c:v>
                </c:pt>
                <c:pt idx="57">
                  <c:v>901.23950296199996</c:v>
                </c:pt>
                <c:pt idx="58">
                  <c:v>901.31750307300001</c:v>
                </c:pt>
                <c:pt idx="59">
                  <c:v>901.05161878800004</c:v>
                </c:pt>
                <c:pt idx="60">
                  <c:v>720.23445894099996</c:v>
                </c:pt>
                <c:pt idx="61">
                  <c:v>785.90134233100002</c:v>
                </c:pt>
                <c:pt idx="62">
                  <c:v>900.62184962000003</c:v>
                </c:pt>
                <c:pt idx="63">
                  <c:v>900.63051771599999</c:v>
                </c:pt>
                <c:pt idx="64">
                  <c:v>900.737510563</c:v>
                </c:pt>
                <c:pt idx="65">
                  <c:v>901.017874474</c:v>
                </c:pt>
                <c:pt idx="66">
                  <c:v>901.249074845</c:v>
                </c:pt>
                <c:pt idx="67">
                  <c:v>900.89604331700002</c:v>
                </c:pt>
                <c:pt idx="68">
                  <c:v>901.33446591899997</c:v>
                </c:pt>
                <c:pt idx="69">
                  <c:v>536.74346351600002</c:v>
                </c:pt>
                <c:pt idx="70">
                  <c:v>900.89739007100002</c:v>
                </c:pt>
                <c:pt idx="71">
                  <c:v>900.94862977900004</c:v>
                </c:pt>
                <c:pt idx="72">
                  <c:v>901.48188204799999</c:v>
                </c:pt>
                <c:pt idx="73">
                  <c:v>545.40562250799996</c:v>
                </c:pt>
                <c:pt idx="74">
                  <c:v>596.26917677899996</c:v>
                </c:pt>
                <c:pt idx="75">
                  <c:v>654.16382123000005</c:v>
                </c:pt>
                <c:pt idx="76">
                  <c:v>900.82187715400005</c:v>
                </c:pt>
                <c:pt idx="77">
                  <c:v>900.81505128399999</c:v>
                </c:pt>
                <c:pt idx="78">
                  <c:v>900.76317246099995</c:v>
                </c:pt>
                <c:pt idx="79">
                  <c:v>894.88880705099996</c:v>
                </c:pt>
                <c:pt idx="80">
                  <c:v>900.75985780099995</c:v>
                </c:pt>
                <c:pt idx="81">
                  <c:v>901.26325517400005</c:v>
                </c:pt>
                <c:pt idx="82">
                  <c:v>632.77765777299999</c:v>
                </c:pt>
                <c:pt idx="83">
                  <c:v>866.09138455499999</c:v>
                </c:pt>
                <c:pt idx="84">
                  <c:v>849.96104164099995</c:v>
                </c:pt>
                <c:pt idx="85">
                  <c:v>901.19004537399996</c:v>
                </c:pt>
                <c:pt idx="86">
                  <c:v>901.03419805800002</c:v>
                </c:pt>
                <c:pt idx="87">
                  <c:v>901.03142377699999</c:v>
                </c:pt>
                <c:pt idx="88">
                  <c:v>900.87143034400003</c:v>
                </c:pt>
                <c:pt idx="89">
                  <c:v>901.20520799200006</c:v>
                </c:pt>
              </c:numCache>
            </c:numRef>
          </c:yVal>
          <c:smooth val="0"/>
          <c:extLst>
            <c:ext xmlns:c16="http://schemas.microsoft.com/office/drawing/2014/chart" uri="{C3380CC4-5D6E-409C-BE32-E72D297353CC}">
              <c16:uniqueId val="{00000001-4E6F-44B5-8520-14F039438C88}"/>
            </c:ext>
          </c:extLst>
        </c:ser>
        <c:ser>
          <c:idx val="2"/>
          <c:order val="2"/>
          <c:tx>
            <c:strRef>
              <c:f>'SCRAM-Prob-CCF'!$D$1</c:f>
              <c:strCache>
                <c:ptCount val="1"/>
                <c:pt idx="0">
                  <c:v>CPU Time-zbdd</c:v>
                </c:pt>
              </c:strCache>
            </c:strRef>
          </c:tx>
          <c:spPr>
            <a:ln w="19050" cap="rnd">
              <a:noFill/>
              <a:round/>
            </a:ln>
            <a:effectLst/>
          </c:spPr>
          <c:marker>
            <c:symbol val="circle"/>
            <c:size val="5"/>
            <c:spPr>
              <a:solidFill>
                <a:schemeClr val="accent3"/>
              </a:solidFill>
              <a:ln w="9525">
                <a:solidFill>
                  <a:schemeClr val="accent3"/>
                </a:solidFill>
              </a:ln>
              <a:effectLst/>
            </c:spPr>
          </c:marker>
          <c:xVal>
            <c:strRef>
              <c:f>'SCRAM-Prob-CCF'!$A$2:$A$92</c:f>
              <c:strCache>
                <c:ptCount val="90"/>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ccf6-600-05</c:v>
                </c:pt>
                <c:pt idx="51">
                  <c:v>ccf7-600-05</c:v>
                </c:pt>
                <c:pt idx="52">
                  <c:v>ccf8-600-05</c:v>
                </c:pt>
                <c:pt idx="53">
                  <c:v>ccf9-600-05</c:v>
                </c:pt>
                <c:pt idx="54">
                  <c:v>ccf1-700-05</c:v>
                </c:pt>
                <c:pt idx="55">
                  <c:v>ccf2-700-05</c:v>
                </c:pt>
                <c:pt idx="56">
                  <c:v>ccf3-700-05</c:v>
                </c:pt>
                <c:pt idx="57">
                  <c:v>ccf4-700-05</c:v>
                </c:pt>
                <c:pt idx="58">
                  <c:v>ccf5-700-05</c:v>
                </c:pt>
                <c:pt idx="59">
                  <c:v>ccf6-700-05</c:v>
                </c:pt>
                <c:pt idx="60">
                  <c:v>ccf7-700-05</c:v>
                </c:pt>
                <c:pt idx="61">
                  <c:v>ccf8-700-05</c:v>
                </c:pt>
                <c:pt idx="62">
                  <c:v>ccf9-700-05</c:v>
                </c:pt>
                <c:pt idx="63">
                  <c:v>ccf1-800-05</c:v>
                </c:pt>
                <c:pt idx="64">
                  <c:v>ccf2-800-05</c:v>
                </c:pt>
                <c:pt idx="65">
                  <c:v>ccf3-800-05</c:v>
                </c:pt>
                <c:pt idx="66">
                  <c:v>ccf4-800-05</c:v>
                </c:pt>
                <c:pt idx="67">
                  <c:v>ccf5-800-05</c:v>
                </c:pt>
                <c:pt idx="68">
                  <c:v>ccf6-800-05</c:v>
                </c:pt>
                <c:pt idx="69">
                  <c:v>ccf7-800-05</c:v>
                </c:pt>
                <c:pt idx="70">
                  <c:v>ccf8-800-05</c:v>
                </c:pt>
                <c:pt idx="71">
                  <c:v>ccf9-800-05</c:v>
                </c:pt>
                <c:pt idx="72">
                  <c:v>ccf1-900-05</c:v>
                </c:pt>
                <c:pt idx="73">
                  <c:v>ccf2-900-05</c:v>
                </c:pt>
                <c:pt idx="74">
                  <c:v>ccf3-900-05</c:v>
                </c:pt>
                <c:pt idx="75">
                  <c:v>ccf4-900-05</c:v>
                </c:pt>
                <c:pt idx="76">
                  <c:v>ccf5-900-05</c:v>
                </c:pt>
                <c:pt idx="77">
                  <c:v>ccf6-900-05</c:v>
                </c:pt>
                <c:pt idx="78">
                  <c:v>ccf7-900-05</c:v>
                </c:pt>
                <c:pt idx="79">
                  <c:v>ccf8-900-05</c:v>
                </c:pt>
                <c:pt idx="80">
                  <c:v>ccf9-900-05</c:v>
                </c:pt>
                <c:pt idx="81">
                  <c:v>ccf1-1000-05</c:v>
                </c:pt>
                <c:pt idx="82">
                  <c:v>ccf2-1000-05</c:v>
                </c:pt>
                <c:pt idx="83">
                  <c:v>ccf3-1000-05</c:v>
                </c:pt>
                <c:pt idx="84">
                  <c:v>ccf4-1000-05</c:v>
                </c:pt>
                <c:pt idx="85">
                  <c:v>ccf5-1000-05</c:v>
                </c:pt>
                <c:pt idx="86">
                  <c:v>ccf6-1000-05</c:v>
                </c:pt>
                <c:pt idx="87">
                  <c:v>ccf7-1000-05</c:v>
                </c:pt>
                <c:pt idx="88">
                  <c:v>ccf8-1000-05</c:v>
                </c:pt>
                <c:pt idx="89">
                  <c:v>ccf9-1000-05</c:v>
                </c:pt>
              </c:strCache>
            </c:strRef>
          </c:xVal>
          <c:yVal>
            <c:numRef>
              <c:f>'SCRAM-Prob-CCF'!$D$2:$D$92</c:f>
              <c:numCache>
                <c:formatCode>General</c:formatCode>
                <c:ptCount val="91"/>
                <c:pt idx="0">
                  <c:v>0.102610805</c:v>
                </c:pt>
                <c:pt idx="1">
                  <c:v>2.8968663480000001</c:v>
                </c:pt>
                <c:pt idx="2">
                  <c:v>48.459245586999998</c:v>
                </c:pt>
                <c:pt idx="3">
                  <c:v>901.002709106</c:v>
                </c:pt>
                <c:pt idx="4">
                  <c:v>900.99725093200004</c:v>
                </c:pt>
                <c:pt idx="5">
                  <c:v>900.62724787299999</c:v>
                </c:pt>
                <c:pt idx="6">
                  <c:v>900.587552964</c:v>
                </c:pt>
                <c:pt idx="7">
                  <c:v>900.593005221</c:v>
                </c:pt>
                <c:pt idx="8">
                  <c:v>900.62511521900001</c:v>
                </c:pt>
                <c:pt idx="9">
                  <c:v>1.153946672</c:v>
                </c:pt>
                <c:pt idx="10">
                  <c:v>17.221681088</c:v>
                </c:pt>
                <c:pt idx="11">
                  <c:v>149.64532529300001</c:v>
                </c:pt>
                <c:pt idx="12">
                  <c:v>900.45720542200002</c:v>
                </c:pt>
                <c:pt idx="13">
                  <c:v>900.33519087100001</c:v>
                </c:pt>
                <c:pt idx="14">
                  <c:v>900.55694487799997</c:v>
                </c:pt>
                <c:pt idx="15">
                  <c:v>900.28867023199996</c:v>
                </c:pt>
                <c:pt idx="16">
                  <c:v>900.60726083300005</c:v>
                </c:pt>
                <c:pt idx="17">
                  <c:v>900.63986642899999</c:v>
                </c:pt>
                <c:pt idx="18">
                  <c:v>901.00386247400002</c:v>
                </c:pt>
                <c:pt idx="19">
                  <c:v>900.75656670000001</c:v>
                </c:pt>
                <c:pt idx="20">
                  <c:v>900.72519436000005</c:v>
                </c:pt>
                <c:pt idx="21">
                  <c:v>900.77032449499995</c:v>
                </c:pt>
                <c:pt idx="22">
                  <c:v>900.702116553</c:v>
                </c:pt>
                <c:pt idx="23">
                  <c:v>901.32678059499995</c:v>
                </c:pt>
                <c:pt idx="24">
                  <c:v>230.39695430500001</c:v>
                </c:pt>
                <c:pt idx="25">
                  <c:v>238.99841170100001</c:v>
                </c:pt>
                <c:pt idx="26">
                  <c:v>257.44440100399999</c:v>
                </c:pt>
                <c:pt idx="27">
                  <c:v>900.71965971199995</c:v>
                </c:pt>
                <c:pt idx="28">
                  <c:v>900.41648357500003</c:v>
                </c:pt>
                <c:pt idx="29">
                  <c:v>901.083921369</c:v>
                </c:pt>
                <c:pt idx="30">
                  <c:v>901.27995832700003</c:v>
                </c:pt>
                <c:pt idx="31">
                  <c:v>901.082885584</c:v>
                </c:pt>
                <c:pt idx="32">
                  <c:v>256.78763682300001</c:v>
                </c:pt>
                <c:pt idx="33">
                  <c:v>285.33420842300001</c:v>
                </c:pt>
                <c:pt idx="34">
                  <c:v>267.27299018899998</c:v>
                </c:pt>
                <c:pt idx="35">
                  <c:v>247.22610993000001</c:v>
                </c:pt>
                <c:pt idx="36">
                  <c:v>900.72024278100002</c:v>
                </c:pt>
                <c:pt idx="37">
                  <c:v>900.69569900900001</c:v>
                </c:pt>
                <c:pt idx="38">
                  <c:v>900.64698202299996</c:v>
                </c:pt>
                <c:pt idx="39">
                  <c:v>337.84640346399999</c:v>
                </c:pt>
                <c:pt idx="40">
                  <c:v>901.32596099600005</c:v>
                </c:pt>
                <c:pt idx="41">
                  <c:v>314.08582267100002</c:v>
                </c:pt>
                <c:pt idx="42">
                  <c:v>319.30130795000002</c:v>
                </c:pt>
                <c:pt idx="43">
                  <c:v>312.20783092400001</c:v>
                </c:pt>
                <c:pt idx="44">
                  <c:v>310.91431795300002</c:v>
                </c:pt>
                <c:pt idx="45">
                  <c:v>900.76394856399997</c:v>
                </c:pt>
                <c:pt idx="46">
                  <c:v>901.31878277099997</c:v>
                </c:pt>
                <c:pt idx="47">
                  <c:v>254.812579943</c:v>
                </c:pt>
                <c:pt idx="48">
                  <c:v>262.10746786800001</c:v>
                </c:pt>
                <c:pt idx="49">
                  <c:v>283.349060114</c:v>
                </c:pt>
                <c:pt idx="50">
                  <c:v>363.61319399600001</c:v>
                </c:pt>
                <c:pt idx="51">
                  <c:v>472.68406186700003</c:v>
                </c:pt>
                <c:pt idx="52">
                  <c:v>338.11076025300002</c:v>
                </c:pt>
                <c:pt idx="53">
                  <c:v>258.91102145600001</c:v>
                </c:pt>
                <c:pt idx="54">
                  <c:v>519.07757447200004</c:v>
                </c:pt>
                <c:pt idx="55">
                  <c:v>464.69782447699998</c:v>
                </c:pt>
                <c:pt idx="56">
                  <c:v>212.691106636</c:v>
                </c:pt>
                <c:pt idx="57">
                  <c:v>214.80258224900001</c:v>
                </c:pt>
                <c:pt idx="58">
                  <c:v>219.961516725</c:v>
                </c:pt>
                <c:pt idx="59">
                  <c:v>233.11989704000001</c:v>
                </c:pt>
                <c:pt idx="60">
                  <c:v>258.47990010400002</c:v>
                </c:pt>
                <c:pt idx="61">
                  <c:v>266.15969293299997</c:v>
                </c:pt>
                <c:pt idx="62">
                  <c:v>319.37863121599997</c:v>
                </c:pt>
                <c:pt idx="63">
                  <c:v>900.64234058600005</c:v>
                </c:pt>
                <c:pt idx="64">
                  <c:v>900.78778300299996</c:v>
                </c:pt>
                <c:pt idx="65">
                  <c:v>226.50635929200001</c:v>
                </c:pt>
                <c:pt idx="66">
                  <c:v>317.28058319399997</c:v>
                </c:pt>
                <c:pt idx="67">
                  <c:v>440.74281951799998</c:v>
                </c:pt>
                <c:pt idx="68">
                  <c:v>226.535614423</c:v>
                </c:pt>
                <c:pt idx="69">
                  <c:v>303.21740038199999</c:v>
                </c:pt>
                <c:pt idx="70">
                  <c:v>242.24597186</c:v>
                </c:pt>
                <c:pt idx="71">
                  <c:v>400.85466909500002</c:v>
                </c:pt>
                <c:pt idx="72">
                  <c:v>500.56123138200002</c:v>
                </c:pt>
                <c:pt idx="73">
                  <c:v>446.094517526</c:v>
                </c:pt>
                <c:pt idx="74">
                  <c:v>512.50895125299996</c:v>
                </c:pt>
                <c:pt idx="75">
                  <c:v>706.23228752299997</c:v>
                </c:pt>
                <c:pt idx="76">
                  <c:v>383.04146387499998</c:v>
                </c:pt>
                <c:pt idx="77">
                  <c:v>629.90372326099998</c:v>
                </c:pt>
                <c:pt idx="78">
                  <c:v>632.80806954599996</c:v>
                </c:pt>
                <c:pt idx="79">
                  <c:v>694.86688281199997</c:v>
                </c:pt>
                <c:pt idx="80">
                  <c:v>385.05678503399997</c:v>
                </c:pt>
                <c:pt idx="81">
                  <c:v>441.763427611</c:v>
                </c:pt>
                <c:pt idx="82">
                  <c:v>311.88032048899998</c:v>
                </c:pt>
                <c:pt idx="83">
                  <c:v>298.54472572100002</c:v>
                </c:pt>
                <c:pt idx="84">
                  <c:v>309.507880027</c:v>
                </c:pt>
                <c:pt idx="85">
                  <c:v>322.56121876399999</c:v>
                </c:pt>
                <c:pt idx="86">
                  <c:v>314.39342956799999</c:v>
                </c:pt>
                <c:pt idx="87">
                  <c:v>228.69528067600001</c:v>
                </c:pt>
                <c:pt idx="88">
                  <c:v>228.71198319999999</c:v>
                </c:pt>
                <c:pt idx="89">
                  <c:v>295.82699050100001</c:v>
                </c:pt>
              </c:numCache>
            </c:numRef>
          </c:yVal>
          <c:smooth val="0"/>
          <c:extLst>
            <c:ext xmlns:c16="http://schemas.microsoft.com/office/drawing/2014/chart" uri="{C3380CC4-5D6E-409C-BE32-E72D297353CC}">
              <c16:uniqueId val="{00000002-4E6F-44B5-8520-14F039438C88}"/>
            </c:ext>
          </c:extLst>
        </c:ser>
        <c:dLbls>
          <c:showLegendKey val="0"/>
          <c:showVal val="0"/>
          <c:showCatName val="0"/>
          <c:showSerName val="0"/>
          <c:showPercent val="0"/>
          <c:showBubbleSize val="0"/>
        </c:dLbls>
        <c:axId val="1189852160"/>
        <c:axId val="714631920"/>
      </c:scatterChart>
      <c:valAx>
        <c:axId val="118985216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631920"/>
        <c:crosses val="autoZero"/>
        <c:crossBetween val="midCat"/>
      </c:valAx>
      <c:valAx>
        <c:axId val="71463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8521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SCRAM</a:t>
            </a:r>
            <a:r>
              <a:rPr lang="en-US" baseline="0"/>
              <a:t> CCF</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'SCRAM-Prob-CCF'!$I$1</c:f>
              <c:strCache>
                <c:ptCount val="1"/>
                <c:pt idx="0">
                  <c:v>Memory-BDD</c:v>
                </c:pt>
              </c:strCache>
            </c:strRef>
          </c:tx>
          <c:spPr>
            <a:ln w="19050" cap="rnd">
              <a:noFill/>
              <a:round/>
            </a:ln>
            <a:effectLst/>
          </c:spPr>
          <c:marker>
            <c:symbol val="circle"/>
            <c:size val="5"/>
            <c:spPr>
              <a:solidFill>
                <a:schemeClr val="accent1"/>
              </a:solidFill>
              <a:ln w="9525">
                <a:solidFill>
                  <a:schemeClr val="accent1"/>
                </a:solidFill>
              </a:ln>
              <a:effectLst/>
            </c:spPr>
          </c:marker>
          <c:xVal>
            <c:strRef>
              <c:f>'SCRAM-Prob-CCF'!$H$2:$H$92</c:f>
              <c:strCache>
                <c:ptCount val="90"/>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ccf6-600-05</c:v>
                </c:pt>
                <c:pt idx="51">
                  <c:v>ccf7-600-05</c:v>
                </c:pt>
                <c:pt idx="52">
                  <c:v>ccf8-600-05</c:v>
                </c:pt>
                <c:pt idx="53">
                  <c:v>ccf9-600-05</c:v>
                </c:pt>
                <c:pt idx="54">
                  <c:v>ccf1-700-05</c:v>
                </c:pt>
                <c:pt idx="55">
                  <c:v>ccf2-700-05</c:v>
                </c:pt>
                <c:pt idx="56">
                  <c:v>ccf3-700-05</c:v>
                </c:pt>
                <c:pt idx="57">
                  <c:v>ccf4-700-05</c:v>
                </c:pt>
                <c:pt idx="58">
                  <c:v>ccf5-700-05</c:v>
                </c:pt>
                <c:pt idx="59">
                  <c:v>ccf6-700-05</c:v>
                </c:pt>
                <c:pt idx="60">
                  <c:v>ccf7-700-05</c:v>
                </c:pt>
                <c:pt idx="61">
                  <c:v>ccf8-700-05</c:v>
                </c:pt>
                <c:pt idx="62">
                  <c:v>ccf9-700-05</c:v>
                </c:pt>
                <c:pt idx="63">
                  <c:v>ccf1-800-05</c:v>
                </c:pt>
                <c:pt idx="64">
                  <c:v>ccf2-800-05</c:v>
                </c:pt>
                <c:pt idx="65">
                  <c:v>ccf3-800-05</c:v>
                </c:pt>
                <c:pt idx="66">
                  <c:v>ccf4-800-05</c:v>
                </c:pt>
                <c:pt idx="67">
                  <c:v>ccf5-800-05</c:v>
                </c:pt>
                <c:pt idx="68">
                  <c:v>ccf6-800-05</c:v>
                </c:pt>
                <c:pt idx="69">
                  <c:v>ccf7-800-05</c:v>
                </c:pt>
                <c:pt idx="70">
                  <c:v>ccf8-800-05</c:v>
                </c:pt>
                <c:pt idx="71">
                  <c:v>ccf9-800-05</c:v>
                </c:pt>
                <c:pt idx="72">
                  <c:v>ccf1-900-05</c:v>
                </c:pt>
                <c:pt idx="73">
                  <c:v>ccf2-900-05</c:v>
                </c:pt>
                <c:pt idx="74">
                  <c:v>ccf3-900-05</c:v>
                </c:pt>
                <c:pt idx="75">
                  <c:v>ccf4-900-05</c:v>
                </c:pt>
                <c:pt idx="76">
                  <c:v>ccf5-900-05</c:v>
                </c:pt>
                <c:pt idx="77">
                  <c:v>ccf6-900-05</c:v>
                </c:pt>
                <c:pt idx="78">
                  <c:v>ccf7-900-05</c:v>
                </c:pt>
                <c:pt idx="79">
                  <c:v>ccf8-900-05</c:v>
                </c:pt>
                <c:pt idx="80">
                  <c:v>ccf9-900-05</c:v>
                </c:pt>
                <c:pt idx="81">
                  <c:v>ccf1-1000-05</c:v>
                </c:pt>
                <c:pt idx="82">
                  <c:v>ccf2-1000-05</c:v>
                </c:pt>
                <c:pt idx="83">
                  <c:v>ccf3-1000-05</c:v>
                </c:pt>
                <c:pt idx="84">
                  <c:v>ccf4-1000-05</c:v>
                </c:pt>
                <c:pt idx="85">
                  <c:v>ccf5-1000-05</c:v>
                </c:pt>
                <c:pt idx="86">
                  <c:v>ccf6-1000-05</c:v>
                </c:pt>
                <c:pt idx="87">
                  <c:v>ccf7-1000-05</c:v>
                </c:pt>
                <c:pt idx="88">
                  <c:v>ccf8-1000-05</c:v>
                </c:pt>
                <c:pt idx="89">
                  <c:v>ccf9-1000-05</c:v>
                </c:pt>
              </c:strCache>
            </c:strRef>
          </c:xVal>
          <c:yVal>
            <c:numRef>
              <c:f>'SCRAM-Prob-CCF'!$I$2:$I$92</c:f>
              <c:numCache>
                <c:formatCode>General</c:formatCode>
                <c:ptCount val="91"/>
                <c:pt idx="0">
                  <c:v>6.3283199999999997</c:v>
                </c:pt>
                <c:pt idx="1">
                  <c:v>6.6969599999999998</c:v>
                </c:pt>
                <c:pt idx="2">
                  <c:v>6.9918719999999999</c:v>
                </c:pt>
                <c:pt idx="3">
                  <c:v>7.3236480000000004</c:v>
                </c:pt>
                <c:pt idx="4">
                  <c:v>7.9134719999999996</c:v>
                </c:pt>
                <c:pt idx="5">
                  <c:v>8.3722239999999992</c:v>
                </c:pt>
                <c:pt idx="6">
                  <c:v>8.8268799999999992</c:v>
                </c:pt>
                <c:pt idx="7">
                  <c:v>10.018815999999999</c:v>
                </c:pt>
                <c:pt idx="8">
                  <c:v>9.6256000000000004</c:v>
                </c:pt>
                <c:pt idx="9">
                  <c:v>7.2581119999999997</c:v>
                </c:pt>
                <c:pt idx="10">
                  <c:v>13.021184</c:v>
                </c:pt>
                <c:pt idx="11">
                  <c:v>78.917631999999998</c:v>
                </c:pt>
                <c:pt idx="12">
                  <c:v>101.76512</c:v>
                </c:pt>
                <c:pt idx="13">
                  <c:v>31.772672</c:v>
                </c:pt>
                <c:pt idx="14">
                  <c:v>51.163136000000002</c:v>
                </c:pt>
                <c:pt idx="15">
                  <c:v>421.04831999999999</c:v>
                </c:pt>
                <c:pt idx="16">
                  <c:v>7845.7528320000001</c:v>
                </c:pt>
                <c:pt idx="17">
                  <c:v>725.40569600000003</c:v>
                </c:pt>
                <c:pt idx="18">
                  <c:v>274.08793600000001</c:v>
                </c:pt>
                <c:pt idx="19">
                  <c:v>275.95571200000001</c:v>
                </c:pt>
                <c:pt idx="20">
                  <c:v>1038.3482879999999</c:v>
                </c:pt>
                <c:pt idx="21">
                  <c:v>16000</c:v>
                </c:pt>
                <c:pt idx="22">
                  <c:v>16000</c:v>
                </c:pt>
                <c:pt idx="23">
                  <c:v>16000</c:v>
                </c:pt>
                <c:pt idx="24">
                  <c:v>16000</c:v>
                </c:pt>
                <c:pt idx="25">
                  <c:v>16000</c:v>
                </c:pt>
                <c:pt idx="26">
                  <c:v>16000</c:v>
                </c:pt>
                <c:pt idx="27">
                  <c:v>33.943551999999997</c:v>
                </c:pt>
                <c:pt idx="28">
                  <c:v>561.29535999999996</c:v>
                </c:pt>
                <c:pt idx="29">
                  <c:v>2480.3246079999999</c:v>
                </c:pt>
                <c:pt idx="30">
                  <c:v>8407.7936640000007</c:v>
                </c:pt>
                <c:pt idx="31">
                  <c:v>8426.7950079999991</c:v>
                </c:pt>
                <c:pt idx="32">
                  <c:v>16000</c:v>
                </c:pt>
                <c:pt idx="33">
                  <c:v>16000</c:v>
                </c:pt>
                <c:pt idx="34">
                  <c:v>16000</c:v>
                </c:pt>
                <c:pt idx="35">
                  <c:v>16000</c:v>
                </c:pt>
                <c:pt idx="36">
                  <c:v>16000</c:v>
                </c:pt>
                <c:pt idx="37">
                  <c:v>621.98169600000006</c:v>
                </c:pt>
                <c:pt idx="38">
                  <c:v>16000</c:v>
                </c:pt>
                <c:pt idx="39">
                  <c:v>16000</c:v>
                </c:pt>
                <c:pt idx="40">
                  <c:v>16000</c:v>
                </c:pt>
                <c:pt idx="41">
                  <c:v>16000</c:v>
                </c:pt>
                <c:pt idx="42">
                  <c:v>16000</c:v>
                </c:pt>
                <c:pt idx="43">
                  <c:v>16000</c:v>
                </c:pt>
                <c:pt idx="44">
                  <c:v>16000</c:v>
                </c:pt>
                <c:pt idx="45">
                  <c:v>16000</c:v>
                </c:pt>
                <c:pt idx="46">
                  <c:v>16000</c:v>
                </c:pt>
                <c:pt idx="47">
                  <c:v>16000</c:v>
                </c:pt>
                <c:pt idx="48">
                  <c:v>16000</c:v>
                </c:pt>
                <c:pt idx="49">
                  <c:v>16000</c:v>
                </c:pt>
                <c:pt idx="50">
                  <c:v>16000</c:v>
                </c:pt>
                <c:pt idx="51">
                  <c:v>16000</c:v>
                </c:pt>
                <c:pt idx="52">
                  <c:v>16000</c:v>
                </c:pt>
                <c:pt idx="53">
                  <c:v>16000</c:v>
                </c:pt>
                <c:pt idx="54">
                  <c:v>16000</c:v>
                </c:pt>
                <c:pt idx="55">
                  <c:v>16000</c:v>
                </c:pt>
                <c:pt idx="56">
                  <c:v>16000</c:v>
                </c:pt>
                <c:pt idx="57">
                  <c:v>16000</c:v>
                </c:pt>
                <c:pt idx="58">
                  <c:v>16000</c:v>
                </c:pt>
                <c:pt idx="59">
                  <c:v>16000</c:v>
                </c:pt>
                <c:pt idx="60">
                  <c:v>16000</c:v>
                </c:pt>
                <c:pt idx="61">
                  <c:v>16000</c:v>
                </c:pt>
                <c:pt idx="62">
                  <c:v>16000</c:v>
                </c:pt>
                <c:pt idx="63">
                  <c:v>731.87737600000003</c:v>
                </c:pt>
                <c:pt idx="64">
                  <c:v>8639.5453440000001</c:v>
                </c:pt>
                <c:pt idx="65">
                  <c:v>16000</c:v>
                </c:pt>
                <c:pt idx="66">
                  <c:v>16000</c:v>
                </c:pt>
                <c:pt idx="67">
                  <c:v>16000</c:v>
                </c:pt>
                <c:pt idx="68">
                  <c:v>16000</c:v>
                </c:pt>
                <c:pt idx="69">
                  <c:v>16000</c:v>
                </c:pt>
                <c:pt idx="70">
                  <c:v>16000</c:v>
                </c:pt>
                <c:pt idx="71">
                  <c:v>16000</c:v>
                </c:pt>
                <c:pt idx="72">
                  <c:v>16000</c:v>
                </c:pt>
                <c:pt idx="73">
                  <c:v>16000</c:v>
                </c:pt>
                <c:pt idx="74">
                  <c:v>16000</c:v>
                </c:pt>
                <c:pt idx="75">
                  <c:v>16000</c:v>
                </c:pt>
                <c:pt idx="76">
                  <c:v>16000</c:v>
                </c:pt>
                <c:pt idx="77">
                  <c:v>16000</c:v>
                </c:pt>
                <c:pt idx="78">
                  <c:v>16000</c:v>
                </c:pt>
                <c:pt idx="79">
                  <c:v>16000</c:v>
                </c:pt>
                <c:pt idx="80">
                  <c:v>16000</c:v>
                </c:pt>
                <c:pt idx="81">
                  <c:v>16000</c:v>
                </c:pt>
                <c:pt idx="82">
                  <c:v>16000</c:v>
                </c:pt>
                <c:pt idx="83">
                  <c:v>16000</c:v>
                </c:pt>
                <c:pt idx="84">
                  <c:v>16000</c:v>
                </c:pt>
                <c:pt idx="85">
                  <c:v>16000</c:v>
                </c:pt>
                <c:pt idx="86">
                  <c:v>16000</c:v>
                </c:pt>
                <c:pt idx="87">
                  <c:v>16000</c:v>
                </c:pt>
                <c:pt idx="88">
                  <c:v>16000</c:v>
                </c:pt>
                <c:pt idx="89">
                  <c:v>16000</c:v>
                </c:pt>
              </c:numCache>
            </c:numRef>
          </c:yVal>
          <c:smooth val="0"/>
          <c:extLst>
            <c:ext xmlns:c16="http://schemas.microsoft.com/office/drawing/2014/chart" uri="{C3380CC4-5D6E-409C-BE32-E72D297353CC}">
              <c16:uniqueId val="{00000000-3F46-45A2-9AB9-99E7B47D6688}"/>
            </c:ext>
          </c:extLst>
        </c:ser>
        <c:ser>
          <c:idx val="1"/>
          <c:order val="1"/>
          <c:tx>
            <c:strRef>
              <c:f>'SCRAM-Prob-CCF'!$J$1</c:f>
              <c:strCache>
                <c:ptCount val="1"/>
                <c:pt idx="0">
                  <c:v>Memory-Mocus</c:v>
                </c:pt>
              </c:strCache>
            </c:strRef>
          </c:tx>
          <c:spPr>
            <a:ln w="19050" cap="rnd">
              <a:noFill/>
              <a:round/>
            </a:ln>
            <a:effectLst/>
          </c:spPr>
          <c:marker>
            <c:symbol val="circle"/>
            <c:size val="5"/>
            <c:spPr>
              <a:solidFill>
                <a:schemeClr val="accent2"/>
              </a:solidFill>
              <a:ln w="9525">
                <a:solidFill>
                  <a:schemeClr val="accent2"/>
                </a:solidFill>
              </a:ln>
              <a:effectLst/>
            </c:spPr>
          </c:marker>
          <c:xVal>
            <c:strRef>
              <c:f>'SCRAM-Prob-CCF'!$H$2:$H$92</c:f>
              <c:strCache>
                <c:ptCount val="90"/>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ccf6-600-05</c:v>
                </c:pt>
                <c:pt idx="51">
                  <c:v>ccf7-600-05</c:v>
                </c:pt>
                <c:pt idx="52">
                  <c:v>ccf8-600-05</c:v>
                </c:pt>
                <c:pt idx="53">
                  <c:v>ccf9-600-05</c:v>
                </c:pt>
                <c:pt idx="54">
                  <c:v>ccf1-700-05</c:v>
                </c:pt>
                <c:pt idx="55">
                  <c:v>ccf2-700-05</c:v>
                </c:pt>
                <c:pt idx="56">
                  <c:v>ccf3-700-05</c:v>
                </c:pt>
                <c:pt idx="57">
                  <c:v>ccf4-700-05</c:v>
                </c:pt>
                <c:pt idx="58">
                  <c:v>ccf5-700-05</c:v>
                </c:pt>
                <c:pt idx="59">
                  <c:v>ccf6-700-05</c:v>
                </c:pt>
                <c:pt idx="60">
                  <c:v>ccf7-700-05</c:v>
                </c:pt>
                <c:pt idx="61">
                  <c:v>ccf8-700-05</c:v>
                </c:pt>
                <c:pt idx="62">
                  <c:v>ccf9-700-05</c:v>
                </c:pt>
                <c:pt idx="63">
                  <c:v>ccf1-800-05</c:v>
                </c:pt>
                <c:pt idx="64">
                  <c:v>ccf2-800-05</c:v>
                </c:pt>
                <c:pt idx="65">
                  <c:v>ccf3-800-05</c:v>
                </c:pt>
                <c:pt idx="66">
                  <c:v>ccf4-800-05</c:v>
                </c:pt>
                <c:pt idx="67">
                  <c:v>ccf5-800-05</c:v>
                </c:pt>
                <c:pt idx="68">
                  <c:v>ccf6-800-05</c:v>
                </c:pt>
                <c:pt idx="69">
                  <c:v>ccf7-800-05</c:v>
                </c:pt>
                <c:pt idx="70">
                  <c:v>ccf8-800-05</c:v>
                </c:pt>
                <c:pt idx="71">
                  <c:v>ccf9-800-05</c:v>
                </c:pt>
                <c:pt idx="72">
                  <c:v>ccf1-900-05</c:v>
                </c:pt>
                <c:pt idx="73">
                  <c:v>ccf2-900-05</c:v>
                </c:pt>
                <c:pt idx="74">
                  <c:v>ccf3-900-05</c:v>
                </c:pt>
                <c:pt idx="75">
                  <c:v>ccf4-900-05</c:v>
                </c:pt>
                <c:pt idx="76">
                  <c:v>ccf5-900-05</c:v>
                </c:pt>
                <c:pt idx="77">
                  <c:v>ccf6-900-05</c:v>
                </c:pt>
                <c:pt idx="78">
                  <c:v>ccf7-900-05</c:v>
                </c:pt>
                <c:pt idx="79">
                  <c:v>ccf8-900-05</c:v>
                </c:pt>
                <c:pt idx="80">
                  <c:v>ccf9-900-05</c:v>
                </c:pt>
                <c:pt idx="81">
                  <c:v>ccf1-1000-05</c:v>
                </c:pt>
                <c:pt idx="82">
                  <c:v>ccf2-1000-05</c:v>
                </c:pt>
                <c:pt idx="83">
                  <c:v>ccf3-1000-05</c:v>
                </c:pt>
                <c:pt idx="84">
                  <c:v>ccf4-1000-05</c:v>
                </c:pt>
                <c:pt idx="85">
                  <c:v>ccf5-1000-05</c:v>
                </c:pt>
                <c:pt idx="86">
                  <c:v>ccf6-1000-05</c:v>
                </c:pt>
                <c:pt idx="87">
                  <c:v>ccf7-1000-05</c:v>
                </c:pt>
                <c:pt idx="88">
                  <c:v>ccf8-1000-05</c:v>
                </c:pt>
                <c:pt idx="89">
                  <c:v>ccf9-1000-05</c:v>
                </c:pt>
              </c:strCache>
            </c:strRef>
          </c:xVal>
          <c:yVal>
            <c:numRef>
              <c:f>'SCRAM-Prob-CCF'!$J$2:$J$92</c:f>
              <c:numCache>
                <c:formatCode>General</c:formatCode>
                <c:ptCount val="91"/>
                <c:pt idx="0">
                  <c:v>6.1972480000000001</c:v>
                </c:pt>
                <c:pt idx="1">
                  <c:v>6.5986560000000001</c:v>
                </c:pt>
                <c:pt idx="2">
                  <c:v>6.8567039999999997</c:v>
                </c:pt>
                <c:pt idx="3">
                  <c:v>7.254016</c:v>
                </c:pt>
                <c:pt idx="4">
                  <c:v>7.5161600000000002</c:v>
                </c:pt>
                <c:pt idx="5">
                  <c:v>7.9175680000000002</c:v>
                </c:pt>
                <c:pt idx="6">
                  <c:v>8.4746240000000004</c:v>
                </c:pt>
                <c:pt idx="7">
                  <c:v>8.8268799999999992</c:v>
                </c:pt>
                <c:pt idx="8">
                  <c:v>9.2241920000000004</c:v>
                </c:pt>
                <c:pt idx="9">
                  <c:v>6.7215360000000004</c:v>
                </c:pt>
                <c:pt idx="10">
                  <c:v>7.5161600000000002</c:v>
                </c:pt>
                <c:pt idx="11">
                  <c:v>8.3025920000000006</c:v>
                </c:pt>
                <c:pt idx="12">
                  <c:v>9.3511679999999995</c:v>
                </c:pt>
                <c:pt idx="13">
                  <c:v>9.4453759999999996</c:v>
                </c:pt>
                <c:pt idx="14">
                  <c:v>12.402687999999999</c:v>
                </c:pt>
                <c:pt idx="15">
                  <c:v>17.334271999999999</c:v>
                </c:pt>
                <c:pt idx="16">
                  <c:v>76.333055999999999</c:v>
                </c:pt>
                <c:pt idx="17">
                  <c:v>33.501184000000002</c:v>
                </c:pt>
                <c:pt idx="18">
                  <c:v>10.911744000000001</c:v>
                </c:pt>
                <c:pt idx="19">
                  <c:v>11.321344</c:v>
                </c:pt>
                <c:pt idx="20">
                  <c:v>20.889600000000002</c:v>
                </c:pt>
                <c:pt idx="21">
                  <c:v>1352.183808</c:v>
                </c:pt>
                <c:pt idx="22">
                  <c:v>1870.3155200000001</c:v>
                </c:pt>
                <c:pt idx="23">
                  <c:v>7639.2488960000001</c:v>
                </c:pt>
                <c:pt idx="24">
                  <c:v>16000</c:v>
                </c:pt>
                <c:pt idx="25">
                  <c:v>16000</c:v>
                </c:pt>
                <c:pt idx="26">
                  <c:v>16000</c:v>
                </c:pt>
                <c:pt idx="27">
                  <c:v>23.90016</c:v>
                </c:pt>
                <c:pt idx="28">
                  <c:v>281.45663999999999</c:v>
                </c:pt>
                <c:pt idx="29">
                  <c:v>2054.5986560000001</c:v>
                </c:pt>
                <c:pt idx="30">
                  <c:v>2128.1341440000001</c:v>
                </c:pt>
                <c:pt idx="31">
                  <c:v>2066.9235199999998</c:v>
                </c:pt>
                <c:pt idx="32">
                  <c:v>16000</c:v>
                </c:pt>
                <c:pt idx="33">
                  <c:v>16000</c:v>
                </c:pt>
                <c:pt idx="34">
                  <c:v>16000</c:v>
                </c:pt>
                <c:pt idx="35">
                  <c:v>16000</c:v>
                </c:pt>
                <c:pt idx="36">
                  <c:v>1022.09536</c:v>
                </c:pt>
                <c:pt idx="37">
                  <c:v>76.353536000000005</c:v>
                </c:pt>
                <c:pt idx="38">
                  <c:v>3702.4358400000001</c:v>
                </c:pt>
                <c:pt idx="39">
                  <c:v>16000</c:v>
                </c:pt>
                <c:pt idx="40">
                  <c:v>9062.5597440000001</c:v>
                </c:pt>
                <c:pt idx="41">
                  <c:v>14989.443072</c:v>
                </c:pt>
                <c:pt idx="42">
                  <c:v>15025.561600000001</c:v>
                </c:pt>
                <c:pt idx="43">
                  <c:v>9435.7913599999993</c:v>
                </c:pt>
                <c:pt idx="44">
                  <c:v>16000</c:v>
                </c:pt>
                <c:pt idx="45">
                  <c:v>98.705408000000006</c:v>
                </c:pt>
                <c:pt idx="46">
                  <c:v>3908.5137920000002</c:v>
                </c:pt>
                <c:pt idx="47">
                  <c:v>8457.6993280000006</c:v>
                </c:pt>
                <c:pt idx="48">
                  <c:v>15177.928704</c:v>
                </c:pt>
                <c:pt idx="49">
                  <c:v>10642.460671999999</c:v>
                </c:pt>
                <c:pt idx="50">
                  <c:v>15242.67008</c:v>
                </c:pt>
                <c:pt idx="51">
                  <c:v>16000</c:v>
                </c:pt>
                <c:pt idx="52">
                  <c:v>15205.388288</c:v>
                </c:pt>
                <c:pt idx="53">
                  <c:v>16000</c:v>
                </c:pt>
                <c:pt idx="54">
                  <c:v>10475.364352000001</c:v>
                </c:pt>
                <c:pt idx="55">
                  <c:v>8886.2023680000002</c:v>
                </c:pt>
                <c:pt idx="56">
                  <c:v>15393.263616</c:v>
                </c:pt>
                <c:pt idx="57">
                  <c:v>14962.64704</c:v>
                </c:pt>
                <c:pt idx="58">
                  <c:v>15203.602432</c:v>
                </c:pt>
                <c:pt idx="59">
                  <c:v>15032.041472000001</c:v>
                </c:pt>
                <c:pt idx="60">
                  <c:v>16000</c:v>
                </c:pt>
                <c:pt idx="61">
                  <c:v>16000</c:v>
                </c:pt>
                <c:pt idx="62">
                  <c:v>10296.008704</c:v>
                </c:pt>
                <c:pt idx="63">
                  <c:v>48.021504</c:v>
                </c:pt>
                <c:pt idx="64">
                  <c:v>478.30630400000001</c:v>
                </c:pt>
                <c:pt idx="65">
                  <c:v>9994.0884480000004</c:v>
                </c:pt>
                <c:pt idx="66">
                  <c:v>15149.326336</c:v>
                </c:pt>
                <c:pt idx="67">
                  <c:v>10576.355328</c:v>
                </c:pt>
                <c:pt idx="68">
                  <c:v>15416.770560000001</c:v>
                </c:pt>
                <c:pt idx="69">
                  <c:v>16000</c:v>
                </c:pt>
                <c:pt idx="70">
                  <c:v>9870.7456000000002</c:v>
                </c:pt>
                <c:pt idx="71">
                  <c:v>10815.721471999999</c:v>
                </c:pt>
                <c:pt idx="72">
                  <c:v>15146.831872000001</c:v>
                </c:pt>
                <c:pt idx="73">
                  <c:v>16000</c:v>
                </c:pt>
                <c:pt idx="74">
                  <c:v>16000</c:v>
                </c:pt>
                <c:pt idx="75">
                  <c:v>16000</c:v>
                </c:pt>
                <c:pt idx="76">
                  <c:v>8891.5517440000003</c:v>
                </c:pt>
                <c:pt idx="77">
                  <c:v>10250.682368</c:v>
                </c:pt>
                <c:pt idx="78">
                  <c:v>9273.3071359999994</c:v>
                </c:pt>
                <c:pt idx="79">
                  <c:v>16000</c:v>
                </c:pt>
                <c:pt idx="80">
                  <c:v>8864.9113600000001</c:v>
                </c:pt>
                <c:pt idx="81">
                  <c:v>15148.630015999999</c:v>
                </c:pt>
                <c:pt idx="82">
                  <c:v>16000</c:v>
                </c:pt>
                <c:pt idx="83">
                  <c:v>16000</c:v>
                </c:pt>
                <c:pt idx="84">
                  <c:v>16000</c:v>
                </c:pt>
                <c:pt idx="85">
                  <c:v>15094.214656</c:v>
                </c:pt>
                <c:pt idx="86">
                  <c:v>15324.725248000001</c:v>
                </c:pt>
                <c:pt idx="87">
                  <c:v>15272.034304000001</c:v>
                </c:pt>
                <c:pt idx="88">
                  <c:v>15088.009216</c:v>
                </c:pt>
                <c:pt idx="89">
                  <c:v>15393.538048</c:v>
                </c:pt>
              </c:numCache>
            </c:numRef>
          </c:yVal>
          <c:smooth val="0"/>
          <c:extLst>
            <c:ext xmlns:c16="http://schemas.microsoft.com/office/drawing/2014/chart" uri="{C3380CC4-5D6E-409C-BE32-E72D297353CC}">
              <c16:uniqueId val="{00000001-3F46-45A2-9AB9-99E7B47D6688}"/>
            </c:ext>
          </c:extLst>
        </c:ser>
        <c:ser>
          <c:idx val="2"/>
          <c:order val="2"/>
          <c:tx>
            <c:strRef>
              <c:f>'SCRAM-Prob-CCF'!$K$1</c:f>
              <c:strCache>
                <c:ptCount val="1"/>
                <c:pt idx="0">
                  <c:v>Memory-zbdd</c:v>
                </c:pt>
              </c:strCache>
            </c:strRef>
          </c:tx>
          <c:spPr>
            <a:ln w="19050" cap="rnd">
              <a:noFill/>
              <a:round/>
            </a:ln>
            <a:effectLst/>
          </c:spPr>
          <c:marker>
            <c:symbol val="circle"/>
            <c:size val="5"/>
            <c:spPr>
              <a:solidFill>
                <a:schemeClr val="accent3"/>
              </a:solidFill>
              <a:ln w="9525">
                <a:solidFill>
                  <a:schemeClr val="accent3"/>
                </a:solidFill>
              </a:ln>
              <a:effectLst/>
            </c:spPr>
          </c:marker>
          <c:xVal>
            <c:strRef>
              <c:f>'SCRAM-Prob-CCF'!$H$2:$H$92</c:f>
              <c:strCache>
                <c:ptCount val="90"/>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ccf6-600-05</c:v>
                </c:pt>
                <c:pt idx="51">
                  <c:v>ccf7-600-05</c:v>
                </c:pt>
                <c:pt idx="52">
                  <c:v>ccf8-600-05</c:v>
                </c:pt>
                <c:pt idx="53">
                  <c:v>ccf9-600-05</c:v>
                </c:pt>
                <c:pt idx="54">
                  <c:v>ccf1-700-05</c:v>
                </c:pt>
                <c:pt idx="55">
                  <c:v>ccf2-700-05</c:v>
                </c:pt>
                <c:pt idx="56">
                  <c:v>ccf3-700-05</c:v>
                </c:pt>
                <c:pt idx="57">
                  <c:v>ccf4-700-05</c:v>
                </c:pt>
                <c:pt idx="58">
                  <c:v>ccf5-700-05</c:v>
                </c:pt>
                <c:pt idx="59">
                  <c:v>ccf6-700-05</c:v>
                </c:pt>
                <c:pt idx="60">
                  <c:v>ccf7-700-05</c:v>
                </c:pt>
                <c:pt idx="61">
                  <c:v>ccf8-700-05</c:v>
                </c:pt>
                <c:pt idx="62">
                  <c:v>ccf9-700-05</c:v>
                </c:pt>
                <c:pt idx="63">
                  <c:v>ccf1-800-05</c:v>
                </c:pt>
                <c:pt idx="64">
                  <c:v>ccf2-800-05</c:v>
                </c:pt>
                <c:pt idx="65">
                  <c:v>ccf3-800-05</c:v>
                </c:pt>
                <c:pt idx="66">
                  <c:v>ccf4-800-05</c:v>
                </c:pt>
                <c:pt idx="67">
                  <c:v>ccf5-800-05</c:v>
                </c:pt>
                <c:pt idx="68">
                  <c:v>ccf6-800-05</c:v>
                </c:pt>
                <c:pt idx="69">
                  <c:v>ccf7-800-05</c:v>
                </c:pt>
                <c:pt idx="70">
                  <c:v>ccf8-800-05</c:v>
                </c:pt>
                <c:pt idx="71">
                  <c:v>ccf9-800-05</c:v>
                </c:pt>
                <c:pt idx="72">
                  <c:v>ccf1-900-05</c:v>
                </c:pt>
                <c:pt idx="73">
                  <c:v>ccf2-900-05</c:v>
                </c:pt>
                <c:pt idx="74">
                  <c:v>ccf3-900-05</c:v>
                </c:pt>
                <c:pt idx="75">
                  <c:v>ccf4-900-05</c:v>
                </c:pt>
                <c:pt idx="76">
                  <c:v>ccf5-900-05</c:v>
                </c:pt>
                <c:pt idx="77">
                  <c:v>ccf6-900-05</c:v>
                </c:pt>
                <c:pt idx="78">
                  <c:v>ccf7-900-05</c:v>
                </c:pt>
                <c:pt idx="79">
                  <c:v>ccf8-900-05</c:v>
                </c:pt>
                <c:pt idx="80">
                  <c:v>ccf9-900-05</c:v>
                </c:pt>
                <c:pt idx="81">
                  <c:v>ccf1-1000-05</c:v>
                </c:pt>
                <c:pt idx="82">
                  <c:v>ccf2-1000-05</c:v>
                </c:pt>
                <c:pt idx="83">
                  <c:v>ccf3-1000-05</c:v>
                </c:pt>
                <c:pt idx="84">
                  <c:v>ccf4-1000-05</c:v>
                </c:pt>
                <c:pt idx="85">
                  <c:v>ccf5-1000-05</c:v>
                </c:pt>
                <c:pt idx="86">
                  <c:v>ccf6-1000-05</c:v>
                </c:pt>
                <c:pt idx="87">
                  <c:v>ccf7-1000-05</c:v>
                </c:pt>
                <c:pt idx="88">
                  <c:v>ccf8-1000-05</c:v>
                </c:pt>
                <c:pt idx="89">
                  <c:v>ccf9-1000-05</c:v>
                </c:pt>
              </c:strCache>
            </c:strRef>
          </c:xVal>
          <c:yVal>
            <c:numRef>
              <c:f>'SCRAM-Prob-CCF'!$K$2:$K$92</c:f>
              <c:numCache>
                <c:formatCode>General</c:formatCode>
                <c:ptCount val="91"/>
                <c:pt idx="0">
                  <c:v>6.1931520000000004</c:v>
                </c:pt>
                <c:pt idx="1">
                  <c:v>6.5617919999999996</c:v>
                </c:pt>
                <c:pt idx="2">
                  <c:v>6.9017600000000003</c:v>
                </c:pt>
                <c:pt idx="3">
                  <c:v>7.254016</c:v>
                </c:pt>
                <c:pt idx="4">
                  <c:v>7.5980800000000004</c:v>
                </c:pt>
                <c:pt idx="5">
                  <c:v>7.9134719999999996</c:v>
                </c:pt>
                <c:pt idx="6">
                  <c:v>8.5278720000000003</c:v>
                </c:pt>
                <c:pt idx="7">
                  <c:v>8.9620479999999993</c:v>
                </c:pt>
                <c:pt idx="8">
                  <c:v>9.2405760000000008</c:v>
                </c:pt>
                <c:pt idx="9">
                  <c:v>6.7624959999999996</c:v>
                </c:pt>
                <c:pt idx="10">
                  <c:v>7.6513280000000004</c:v>
                </c:pt>
                <c:pt idx="11">
                  <c:v>8.6958079999999995</c:v>
                </c:pt>
                <c:pt idx="12">
                  <c:v>9.4822399999999991</c:v>
                </c:pt>
                <c:pt idx="13">
                  <c:v>12.763135999999999</c:v>
                </c:pt>
                <c:pt idx="14">
                  <c:v>38.412287999999997</c:v>
                </c:pt>
                <c:pt idx="15">
                  <c:v>59.817984000000003</c:v>
                </c:pt>
                <c:pt idx="16">
                  <c:v>707.04742399999998</c:v>
                </c:pt>
                <c:pt idx="17">
                  <c:v>397.54547200000002</c:v>
                </c:pt>
                <c:pt idx="18">
                  <c:v>12.767232</c:v>
                </c:pt>
                <c:pt idx="19">
                  <c:v>13.156352</c:v>
                </c:pt>
                <c:pt idx="20">
                  <c:v>27.967487999999999</c:v>
                </c:pt>
                <c:pt idx="21">
                  <c:v>2248.7162880000001</c:v>
                </c:pt>
                <c:pt idx="22">
                  <c:v>2290.2702079999999</c:v>
                </c:pt>
                <c:pt idx="23">
                  <c:v>15190.368256</c:v>
                </c:pt>
                <c:pt idx="24">
                  <c:v>16000</c:v>
                </c:pt>
                <c:pt idx="25">
                  <c:v>16000</c:v>
                </c:pt>
                <c:pt idx="26">
                  <c:v>16000</c:v>
                </c:pt>
                <c:pt idx="27">
                  <c:v>60.211199999999998</c:v>
                </c:pt>
                <c:pt idx="28">
                  <c:v>768.10239999999999</c:v>
                </c:pt>
                <c:pt idx="29">
                  <c:v>9165.8526720000009</c:v>
                </c:pt>
                <c:pt idx="30">
                  <c:v>10449.317888</c:v>
                </c:pt>
                <c:pt idx="31">
                  <c:v>10101.583871999999</c:v>
                </c:pt>
                <c:pt idx="32">
                  <c:v>16000</c:v>
                </c:pt>
                <c:pt idx="33">
                  <c:v>16000</c:v>
                </c:pt>
                <c:pt idx="34">
                  <c:v>16000</c:v>
                </c:pt>
                <c:pt idx="35">
                  <c:v>16000</c:v>
                </c:pt>
                <c:pt idx="36">
                  <c:v>1198.280704</c:v>
                </c:pt>
                <c:pt idx="37">
                  <c:v>145.01888</c:v>
                </c:pt>
                <c:pt idx="38">
                  <c:v>3783.180288</c:v>
                </c:pt>
                <c:pt idx="39">
                  <c:v>16000</c:v>
                </c:pt>
                <c:pt idx="40">
                  <c:v>15237.4272</c:v>
                </c:pt>
                <c:pt idx="41">
                  <c:v>16000</c:v>
                </c:pt>
                <c:pt idx="42">
                  <c:v>16000</c:v>
                </c:pt>
                <c:pt idx="43">
                  <c:v>16000</c:v>
                </c:pt>
                <c:pt idx="44">
                  <c:v>16000</c:v>
                </c:pt>
                <c:pt idx="45">
                  <c:v>325.75897600000002</c:v>
                </c:pt>
                <c:pt idx="46">
                  <c:v>14566.998016</c:v>
                </c:pt>
                <c:pt idx="47">
                  <c:v>16000</c:v>
                </c:pt>
                <c:pt idx="48">
                  <c:v>16000</c:v>
                </c:pt>
                <c:pt idx="49">
                  <c:v>16000</c:v>
                </c:pt>
                <c:pt idx="50">
                  <c:v>16000</c:v>
                </c:pt>
                <c:pt idx="51">
                  <c:v>16000</c:v>
                </c:pt>
                <c:pt idx="52">
                  <c:v>16000</c:v>
                </c:pt>
                <c:pt idx="53">
                  <c:v>16000</c:v>
                </c:pt>
                <c:pt idx="54">
                  <c:v>16000</c:v>
                </c:pt>
                <c:pt idx="55">
                  <c:v>16000</c:v>
                </c:pt>
                <c:pt idx="56">
                  <c:v>16000</c:v>
                </c:pt>
                <c:pt idx="57">
                  <c:v>16000</c:v>
                </c:pt>
                <c:pt idx="58">
                  <c:v>16000</c:v>
                </c:pt>
                <c:pt idx="59">
                  <c:v>16000</c:v>
                </c:pt>
                <c:pt idx="60">
                  <c:v>16000</c:v>
                </c:pt>
                <c:pt idx="61">
                  <c:v>16000</c:v>
                </c:pt>
                <c:pt idx="62">
                  <c:v>16000</c:v>
                </c:pt>
                <c:pt idx="63">
                  <c:v>154.33318399999999</c:v>
                </c:pt>
                <c:pt idx="64">
                  <c:v>1472.2498559999999</c:v>
                </c:pt>
                <c:pt idx="65">
                  <c:v>16000</c:v>
                </c:pt>
                <c:pt idx="66">
                  <c:v>16000</c:v>
                </c:pt>
                <c:pt idx="67">
                  <c:v>16000</c:v>
                </c:pt>
                <c:pt idx="68">
                  <c:v>16000</c:v>
                </c:pt>
                <c:pt idx="69">
                  <c:v>16000</c:v>
                </c:pt>
                <c:pt idx="70">
                  <c:v>16000</c:v>
                </c:pt>
                <c:pt idx="71">
                  <c:v>16000</c:v>
                </c:pt>
                <c:pt idx="72">
                  <c:v>16000</c:v>
                </c:pt>
                <c:pt idx="73">
                  <c:v>16000</c:v>
                </c:pt>
                <c:pt idx="74">
                  <c:v>16000</c:v>
                </c:pt>
                <c:pt idx="75">
                  <c:v>16000</c:v>
                </c:pt>
                <c:pt idx="76">
                  <c:v>16000</c:v>
                </c:pt>
                <c:pt idx="77">
                  <c:v>16000</c:v>
                </c:pt>
                <c:pt idx="78">
                  <c:v>16000</c:v>
                </c:pt>
                <c:pt idx="79">
                  <c:v>16000</c:v>
                </c:pt>
                <c:pt idx="80">
                  <c:v>16000</c:v>
                </c:pt>
                <c:pt idx="81">
                  <c:v>16000</c:v>
                </c:pt>
                <c:pt idx="82">
                  <c:v>16000</c:v>
                </c:pt>
                <c:pt idx="83">
                  <c:v>16000</c:v>
                </c:pt>
                <c:pt idx="84">
                  <c:v>16000</c:v>
                </c:pt>
                <c:pt idx="85">
                  <c:v>16000</c:v>
                </c:pt>
                <c:pt idx="86">
                  <c:v>16000</c:v>
                </c:pt>
                <c:pt idx="87">
                  <c:v>16000</c:v>
                </c:pt>
                <c:pt idx="88">
                  <c:v>16000</c:v>
                </c:pt>
                <c:pt idx="89">
                  <c:v>16000</c:v>
                </c:pt>
              </c:numCache>
            </c:numRef>
          </c:yVal>
          <c:smooth val="0"/>
          <c:extLst>
            <c:ext xmlns:c16="http://schemas.microsoft.com/office/drawing/2014/chart" uri="{C3380CC4-5D6E-409C-BE32-E72D297353CC}">
              <c16:uniqueId val="{00000002-3F46-45A2-9AB9-99E7B47D6688}"/>
            </c:ext>
          </c:extLst>
        </c:ser>
        <c:dLbls>
          <c:showLegendKey val="0"/>
          <c:showVal val="0"/>
          <c:showCatName val="0"/>
          <c:showSerName val="0"/>
          <c:showPercent val="0"/>
          <c:showBubbleSize val="0"/>
        </c:dLbls>
        <c:axId val="1172108736"/>
        <c:axId val="1657901552"/>
      </c:scatterChart>
      <c:valAx>
        <c:axId val="117210873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901552"/>
        <c:crosses val="autoZero"/>
        <c:crossBetween val="midCat"/>
      </c:valAx>
      <c:valAx>
        <c:axId val="165790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1087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XFTA - non-ccf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'results XFTA'!$C$1</c:f>
              <c:strCache>
                <c:ptCount val="1"/>
                <c:pt idx="0">
                  <c:v>CPU Time (Sec)</c:v>
                </c:pt>
              </c:strCache>
            </c:strRef>
          </c:tx>
          <c:spPr>
            <a:ln w="19050" cap="rnd">
              <a:noFill/>
              <a:round/>
            </a:ln>
            <a:effectLst/>
          </c:spPr>
          <c:marker>
            <c:symbol val="circle"/>
            <c:size val="5"/>
            <c:spPr>
              <a:solidFill>
                <a:schemeClr val="accent1"/>
              </a:solidFill>
              <a:ln w="9525">
                <a:solidFill>
                  <a:schemeClr val="accent1"/>
                </a:solidFill>
              </a:ln>
              <a:effectLst/>
            </c:spPr>
          </c:marker>
          <c:xVal>
            <c:strRef>
              <c:f>'results XFTA'!$A$2:$A$36</c:f>
              <c:strCache>
                <c:ptCount val="28"/>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300-08</c:v>
                </c:pt>
                <c:pt idx="25">
                  <c:v>400-02</c:v>
                </c:pt>
                <c:pt idx="26">
                  <c:v>400-04</c:v>
                </c:pt>
                <c:pt idx="27">
                  <c:v>400-08</c:v>
                </c:pt>
              </c:strCache>
            </c:strRef>
          </c:xVal>
          <c:yVal>
            <c:numRef>
              <c:f>'results XFTA'!$C$2:$C$36</c:f>
              <c:numCache>
                <c:formatCode>General</c:formatCode>
                <c:ptCount val="35"/>
                <c:pt idx="0">
                  <c:v>1.6953402999999999E-2</c:v>
                </c:pt>
                <c:pt idx="1">
                  <c:v>4.5382770000000003E-2</c:v>
                </c:pt>
                <c:pt idx="2">
                  <c:v>1.2560768E-2</c:v>
                </c:pt>
                <c:pt idx="3">
                  <c:v>1.3638323000000001E-2</c:v>
                </c:pt>
                <c:pt idx="4">
                  <c:v>9.4328199999999997E-3</c:v>
                </c:pt>
                <c:pt idx="5">
                  <c:v>1.6098626000000001E-2</c:v>
                </c:pt>
                <c:pt idx="6">
                  <c:v>1.3807616E-2</c:v>
                </c:pt>
                <c:pt idx="7">
                  <c:v>6.6142083000000004E-2</c:v>
                </c:pt>
                <c:pt idx="8">
                  <c:v>8.8852788000000002E-2</c:v>
                </c:pt>
                <c:pt idx="9">
                  <c:v>2.2081136000000001E-2</c:v>
                </c:pt>
                <c:pt idx="10">
                  <c:v>15.944227986</c:v>
                </c:pt>
                <c:pt idx="11">
                  <c:v>0.74863363699999996</c:v>
                </c:pt>
                <c:pt idx="12">
                  <c:v>1.3838523E-2</c:v>
                </c:pt>
                <c:pt idx="13">
                  <c:v>5.4173114000000001E-2</c:v>
                </c:pt>
                <c:pt idx="14">
                  <c:v>0.23247991500000001</c:v>
                </c:pt>
                <c:pt idx="15">
                  <c:v>12.300958882</c:v>
                </c:pt>
                <c:pt idx="16">
                  <c:v>0.63706424900000003</c:v>
                </c:pt>
                <c:pt idx="17">
                  <c:v>36.293728373999997</c:v>
                </c:pt>
                <c:pt idx="18">
                  <c:v>117.95127764999999</c:v>
                </c:pt>
                <c:pt idx="19">
                  <c:v>0.47141182799999998</c:v>
                </c:pt>
                <c:pt idx="20">
                  <c:v>47.073838033000001</c:v>
                </c:pt>
                <c:pt idx="21">
                  <c:v>8.1267996379999996</c:v>
                </c:pt>
                <c:pt idx="22">
                  <c:v>291.82163716399998</c:v>
                </c:pt>
                <c:pt idx="23">
                  <c:v>35.408349342999998</c:v>
                </c:pt>
                <c:pt idx="24">
                  <c:v>25.597309141</c:v>
                </c:pt>
                <c:pt idx="25">
                  <c:v>13.864054831000001</c:v>
                </c:pt>
                <c:pt idx="26">
                  <c:v>10.800777144</c:v>
                </c:pt>
                <c:pt idx="27">
                  <c:v>93.173343153999994</c:v>
                </c:pt>
              </c:numCache>
            </c:numRef>
          </c:yVal>
          <c:smooth val="0"/>
          <c:extLst>
            <c:ext xmlns:c16="http://schemas.microsoft.com/office/drawing/2014/chart" uri="{C3380CC4-5D6E-409C-BE32-E72D297353CC}">
              <c16:uniqueId val="{00000000-4559-4E0F-B0F9-2FFB71AEB1C1}"/>
            </c:ext>
          </c:extLst>
        </c:ser>
        <c:dLbls>
          <c:showLegendKey val="0"/>
          <c:showVal val="0"/>
          <c:showCatName val="0"/>
          <c:showSerName val="0"/>
          <c:showPercent val="0"/>
          <c:showBubbleSize val="0"/>
        </c:dLbls>
        <c:axId val="494354544"/>
        <c:axId val="1657903472"/>
      </c:scatterChart>
      <c:valAx>
        <c:axId val="4943545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Configuration</a:t>
                </a:r>
                <a:r>
                  <a:rPr lang="en-US" baseline="0"/>
                  <a:t> number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903472"/>
        <c:crosses val="autoZero"/>
        <c:crossBetween val="midCat"/>
      </c:valAx>
      <c:valAx>
        <c:axId val="1657903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Cpu</a:t>
                </a:r>
                <a:r>
                  <a:rPr lang="en-US" baseline="0"/>
                  <a:t> Time (sec)</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545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XFTA-non-ccf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'results XFTA'!$E$1</c:f>
              <c:strCache>
                <c:ptCount val="1"/>
                <c:pt idx="0">
                  <c:v>Memory (MB)</c:v>
                </c:pt>
              </c:strCache>
            </c:strRef>
          </c:tx>
          <c:spPr>
            <a:ln w="19050" cap="rnd">
              <a:noFill/>
              <a:round/>
            </a:ln>
            <a:effectLst/>
          </c:spPr>
          <c:marker>
            <c:symbol val="circle"/>
            <c:size val="5"/>
            <c:spPr>
              <a:solidFill>
                <a:schemeClr val="accent1"/>
              </a:solidFill>
              <a:ln w="9525">
                <a:solidFill>
                  <a:schemeClr val="accent1"/>
                </a:solidFill>
              </a:ln>
              <a:effectLst/>
            </c:spPr>
          </c:marker>
          <c:xVal>
            <c:strRef>
              <c:f>'results XFTA'!$A$2:$A$29</c:f>
              <c:strCache>
                <c:ptCount val="28"/>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300-08</c:v>
                </c:pt>
                <c:pt idx="25">
                  <c:v>400-02</c:v>
                </c:pt>
                <c:pt idx="26">
                  <c:v>400-04</c:v>
                </c:pt>
                <c:pt idx="27">
                  <c:v>400-08</c:v>
                </c:pt>
              </c:strCache>
            </c:strRef>
          </c:xVal>
          <c:yVal>
            <c:numRef>
              <c:f>'results XFTA'!$E$2:$E$29</c:f>
              <c:numCache>
                <c:formatCode>General</c:formatCode>
                <c:ptCount val="28"/>
                <c:pt idx="0">
                  <c:v>2.0152320000000001</c:v>
                </c:pt>
                <c:pt idx="1">
                  <c:v>2.1503999999999999</c:v>
                </c:pt>
                <c:pt idx="2">
                  <c:v>2.011136</c:v>
                </c:pt>
                <c:pt idx="3">
                  <c:v>2.0152320000000001</c:v>
                </c:pt>
                <c:pt idx="4">
                  <c:v>2.2773759999999998</c:v>
                </c:pt>
                <c:pt idx="5">
                  <c:v>2.0152320000000001</c:v>
                </c:pt>
                <c:pt idx="6">
                  <c:v>2.2773759999999998</c:v>
                </c:pt>
                <c:pt idx="7">
                  <c:v>2.1872639999999999</c:v>
                </c:pt>
                <c:pt idx="8">
                  <c:v>2.2405119999999998</c:v>
                </c:pt>
                <c:pt idx="9">
                  <c:v>2.4248319999999999</c:v>
                </c:pt>
                <c:pt idx="10">
                  <c:v>263.03283199999998</c:v>
                </c:pt>
                <c:pt idx="11">
                  <c:v>10.530816</c:v>
                </c:pt>
                <c:pt idx="12">
                  <c:v>2.4043519999999998</c:v>
                </c:pt>
                <c:pt idx="13">
                  <c:v>2.53952</c:v>
                </c:pt>
                <c:pt idx="14">
                  <c:v>4.9397760000000002</c:v>
                </c:pt>
                <c:pt idx="15">
                  <c:v>122.66291200000001</c:v>
                </c:pt>
                <c:pt idx="16">
                  <c:v>9.7648639999999993</c:v>
                </c:pt>
                <c:pt idx="17">
                  <c:v>362.70899200000002</c:v>
                </c:pt>
                <c:pt idx="18">
                  <c:v>1480.6876159999999</c:v>
                </c:pt>
                <c:pt idx="19">
                  <c:v>5.6688640000000001</c:v>
                </c:pt>
                <c:pt idx="20">
                  <c:v>386.30195200000003</c:v>
                </c:pt>
                <c:pt idx="21">
                  <c:v>86.020095999999995</c:v>
                </c:pt>
                <c:pt idx="22">
                  <c:v>1367.9288320000001</c:v>
                </c:pt>
                <c:pt idx="23">
                  <c:v>325.43948799999998</c:v>
                </c:pt>
                <c:pt idx="24">
                  <c:v>209.42848000000001</c:v>
                </c:pt>
                <c:pt idx="25">
                  <c:v>158.347264</c:v>
                </c:pt>
                <c:pt idx="26">
                  <c:v>77.750271999999995</c:v>
                </c:pt>
                <c:pt idx="27">
                  <c:v>595.86559999999997</c:v>
                </c:pt>
              </c:numCache>
            </c:numRef>
          </c:yVal>
          <c:smooth val="0"/>
          <c:extLst>
            <c:ext xmlns:c16="http://schemas.microsoft.com/office/drawing/2014/chart" uri="{C3380CC4-5D6E-409C-BE32-E72D297353CC}">
              <c16:uniqueId val="{00000000-0810-4D04-9320-E53FF0C62EB1}"/>
            </c:ext>
          </c:extLst>
        </c:ser>
        <c:dLbls>
          <c:showLegendKey val="0"/>
          <c:showVal val="0"/>
          <c:showCatName val="0"/>
          <c:showSerName val="0"/>
          <c:showPercent val="0"/>
          <c:showBubbleSize val="0"/>
        </c:dLbls>
        <c:axId val="1145402912"/>
        <c:axId val="1657887152"/>
      </c:scatterChart>
      <c:valAx>
        <c:axId val="11454029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Configuration</a:t>
                </a:r>
                <a:r>
                  <a:rPr lang="en-US" baseline="0"/>
                  <a:t> numeber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87152"/>
        <c:crosses val="autoZero"/>
        <c:crossBetween val="midCat"/>
      </c:valAx>
      <c:valAx>
        <c:axId val="1657887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Memory</a:t>
                </a:r>
                <a:r>
                  <a:rPr lang="en-US" baseline="0"/>
                  <a:t> (MB)</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4029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XFTA-CCF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'results-xfta-ccf'!$F$1</c:f>
              <c:strCache>
                <c:ptCount val="1"/>
                <c:pt idx="0">
                  <c:v>CPU Time (Sec)</c:v>
                </c:pt>
              </c:strCache>
            </c:strRef>
          </c:tx>
          <c:spPr>
            <a:ln w="19050" cap="rnd">
              <a:noFill/>
              <a:round/>
            </a:ln>
            <a:effectLst/>
          </c:spPr>
          <c:marker>
            <c:symbol val="circle"/>
            <c:size val="5"/>
            <c:spPr>
              <a:solidFill>
                <a:schemeClr val="accent1"/>
              </a:solidFill>
              <a:ln w="9525">
                <a:solidFill>
                  <a:schemeClr val="accent1"/>
                </a:solidFill>
              </a:ln>
              <a:effectLst/>
            </c:spPr>
          </c:marker>
          <c:xVal>
            <c:strRef>
              <c:f>'results-xfta-ccf'!$D$2:$D$13</c:f>
              <c:strCache>
                <c:ptCount val="6"/>
                <c:pt idx="0">
                  <c:v>ccf1-100-05</c:v>
                </c:pt>
                <c:pt idx="1">
                  <c:v>ccf2-100-05</c:v>
                </c:pt>
                <c:pt idx="2">
                  <c:v>ccf3-100-05</c:v>
                </c:pt>
                <c:pt idx="3">
                  <c:v>ccf1-200-05</c:v>
                </c:pt>
                <c:pt idx="4">
                  <c:v>ccf2-200-05</c:v>
                </c:pt>
                <c:pt idx="5">
                  <c:v>ccf3-200-05</c:v>
                </c:pt>
              </c:strCache>
            </c:strRef>
          </c:xVal>
          <c:yVal>
            <c:numRef>
              <c:f>'results-xfta-ccf'!$F$2:$F$13</c:f>
              <c:numCache>
                <c:formatCode>General</c:formatCode>
                <c:ptCount val="12"/>
                <c:pt idx="0">
                  <c:v>3.6760888999999998E-2</c:v>
                </c:pt>
                <c:pt idx="1">
                  <c:v>2.8130930780000001</c:v>
                </c:pt>
                <c:pt idx="2">
                  <c:v>47.590023115999998</c:v>
                </c:pt>
                <c:pt idx="3">
                  <c:v>1.4992862360000001</c:v>
                </c:pt>
                <c:pt idx="4">
                  <c:v>23.549590503000001</c:v>
                </c:pt>
                <c:pt idx="5">
                  <c:v>213.71024798400001</c:v>
                </c:pt>
              </c:numCache>
            </c:numRef>
          </c:yVal>
          <c:smooth val="0"/>
          <c:extLst>
            <c:ext xmlns:c16="http://schemas.microsoft.com/office/drawing/2014/chart" uri="{C3380CC4-5D6E-409C-BE32-E72D297353CC}">
              <c16:uniqueId val="{00000000-790C-4024-A34D-EA9F8A818AAC}"/>
            </c:ext>
          </c:extLst>
        </c:ser>
        <c:dLbls>
          <c:showLegendKey val="0"/>
          <c:showVal val="0"/>
          <c:showCatName val="0"/>
          <c:showSerName val="0"/>
          <c:showPercent val="0"/>
          <c:showBubbleSize val="0"/>
        </c:dLbls>
        <c:axId val="1308740192"/>
        <c:axId val="1657904432"/>
      </c:scatterChart>
      <c:valAx>
        <c:axId val="1308740192"/>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904432"/>
        <c:crosses val="autoZero"/>
        <c:crossBetween val="midCat"/>
      </c:valAx>
      <c:valAx>
        <c:axId val="1657904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CPU</a:t>
                </a:r>
                <a:r>
                  <a:rPr lang="en-US" baseline="0"/>
                  <a:t> time (sec)</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7401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XFTA-CCF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'results-xfta-ccf'!$H$1</c:f>
              <c:strCache>
                <c:ptCount val="1"/>
                <c:pt idx="0">
                  <c:v>Memory (MB)</c:v>
                </c:pt>
              </c:strCache>
            </c:strRef>
          </c:tx>
          <c:spPr>
            <a:ln w="19050" cap="rnd">
              <a:noFill/>
              <a:round/>
            </a:ln>
            <a:effectLst/>
          </c:spPr>
          <c:marker>
            <c:symbol val="circle"/>
            <c:size val="5"/>
            <c:spPr>
              <a:solidFill>
                <a:schemeClr val="accent1"/>
              </a:solidFill>
              <a:ln w="9525">
                <a:solidFill>
                  <a:schemeClr val="accent1"/>
                </a:solidFill>
              </a:ln>
              <a:effectLst/>
            </c:spPr>
          </c:marker>
          <c:xVal>
            <c:strRef>
              <c:f>'results-xfta-ccf'!$D$2:$D$7</c:f>
              <c:strCache>
                <c:ptCount val="6"/>
                <c:pt idx="0">
                  <c:v>ccf1-100-05</c:v>
                </c:pt>
                <c:pt idx="1">
                  <c:v>ccf2-100-05</c:v>
                </c:pt>
                <c:pt idx="2">
                  <c:v>ccf3-100-05</c:v>
                </c:pt>
                <c:pt idx="3">
                  <c:v>ccf1-200-05</c:v>
                </c:pt>
                <c:pt idx="4">
                  <c:v>ccf2-200-05</c:v>
                </c:pt>
                <c:pt idx="5">
                  <c:v>ccf3-200-05</c:v>
                </c:pt>
              </c:strCache>
            </c:strRef>
          </c:xVal>
          <c:yVal>
            <c:numRef>
              <c:f>'results-xfta-ccf'!$H$2:$H$7</c:f>
              <c:numCache>
                <c:formatCode>General</c:formatCode>
                <c:ptCount val="6"/>
                <c:pt idx="0">
                  <c:v>4.6284799999999997</c:v>
                </c:pt>
                <c:pt idx="1">
                  <c:v>45.707264000000002</c:v>
                </c:pt>
                <c:pt idx="2">
                  <c:v>415.62521600000002</c:v>
                </c:pt>
                <c:pt idx="3">
                  <c:v>13.348864000000001</c:v>
                </c:pt>
                <c:pt idx="4">
                  <c:v>168.78796800000001</c:v>
                </c:pt>
                <c:pt idx="5">
                  <c:v>1129.6890880000001</c:v>
                </c:pt>
              </c:numCache>
            </c:numRef>
          </c:yVal>
          <c:smooth val="0"/>
          <c:extLst>
            <c:ext xmlns:c16="http://schemas.microsoft.com/office/drawing/2014/chart" uri="{C3380CC4-5D6E-409C-BE32-E72D297353CC}">
              <c16:uniqueId val="{00000000-E7BD-44E4-90B5-89420FC935E9}"/>
            </c:ext>
          </c:extLst>
        </c:ser>
        <c:dLbls>
          <c:showLegendKey val="0"/>
          <c:showVal val="0"/>
          <c:showCatName val="0"/>
          <c:showSerName val="0"/>
          <c:showPercent val="0"/>
          <c:showBubbleSize val="0"/>
        </c:dLbls>
        <c:axId val="1501083872"/>
        <c:axId val="715046400"/>
      </c:scatterChart>
      <c:valAx>
        <c:axId val="1501083872"/>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046400"/>
        <c:crosses val="autoZero"/>
        <c:crossBetween val="midCat"/>
      </c:valAx>
      <c:valAx>
        <c:axId val="715046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Memory(MB)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0838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SAPHIRE-non-ccf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'Results SAPHIRE'!$F$1</c:f>
              <c:strCache>
                <c:ptCount val="1"/>
                <c:pt idx="0">
                  <c:v>CPU Time (Sec)</c:v>
                </c:pt>
              </c:strCache>
            </c:strRef>
          </c:tx>
          <c:spPr>
            <a:ln w="19050" cap="rnd">
              <a:noFill/>
              <a:round/>
            </a:ln>
            <a:effectLst/>
          </c:spPr>
          <c:marker>
            <c:symbol val="circle"/>
            <c:size val="5"/>
            <c:spPr>
              <a:solidFill>
                <a:schemeClr val="accent1"/>
              </a:solidFill>
              <a:ln w="9525">
                <a:solidFill>
                  <a:schemeClr val="accent1"/>
                </a:solidFill>
              </a:ln>
              <a:effectLst/>
            </c:spPr>
          </c:marker>
          <c:xVal>
            <c:strRef>
              <c:f>'Results SAPHIRE'!$D$2:$D$16</c:f>
              <c:strCache>
                <c:ptCount val="15"/>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strCache>
            </c:strRef>
          </c:xVal>
          <c:yVal>
            <c:numRef>
              <c:f>'Results SAPHIRE'!$F$2:$F$16</c:f>
              <c:numCache>
                <c:formatCode>General</c:formatCode>
                <c:ptCount val="15"/>
                <c:pt idx="0">
                  <c:v>0.71710586899999995</c:v>
                </c:pt>
                <c:pt idx="1">
                  <c:v>0.77282153899999995</c:v>
                </c:pt>
                <c:pt idx="2">
                  <c:v>0.69587020300000002</c:v>
                </c:pt>
                <c:pt idx="3">
                  <c:v>0.72679737099999997</c:v>
                </c:pt>
                <c:pt idx="4">
                  <c:v>0.69602752400000001</c:v>
                </c:pt>
                <c:pt idx="5">
                  <c:v>0.72603528500000003</c:v>
                </c:pt>
                <c:pt idx="6">
                  <c:v>0.79731789200000003</c:v>
                </c:pt>
                <c:pt idx="7">
                  <c:v>2.0490610810000001</c:v>
                </c:pt>
                <c:pt idx="8">
                  <c:v>1.100666763</c:v>
                </c:pt>
                <c:pt idx="9">
                  <c:v>43.019294616000003</c:v>
                </c:pt>
                <c:pt idx="10">
                  <c:v>3.372955159</c:v>
                </c:pt>
                <c:pt idx="11">
                  <c:v>1.090108571</c:v>
                </c:pt>
                <c:pt idx="12">
                  <c:v>5.9707260900000003</c:v>
                </c:pt>
                <c:pt idx="13">
                  <c:v>1.5522600259999999</c:v>
                </c:pt>
                <c:pt idx="14">
                  <c:v>3.8128432609999998</c:v>
                </c:pt>
              </c:numCache>
            </c:numRef>
          </c:yVal>
          <c:smooth val="0"/>
          <c:extLst>
            <c:ext xmlns:c16="http://schemas.microsoft.com/office/drawing/2014/chart" uri="{C3380CC4-5D6E-409C-BE32-E72D297353CC}">
              <c16:uniqueId val="{00000000-CFBA-481C-B24B-C997264C5FA1}"/>
            </c:ext>
          </c:extLst>
        </c:ser>
        <c:dLbls>
          <c:showLegendKey val="0"/>
          <c:showVal val="0"/>
          <c:showCatName val="0"/>
          <c:showSerName val="0"/>
          <c:showPercent val="0"/>
          <c:showBubbleSize val="0"/>
        </c:dLbls>
        <c:axId val="1661263136"/>
        <c:axId val="1144010608"/>
      </c:scatterChart>
      <c:valAx>
        <c:axId val="1661263136"/>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010608"/>
        <c:crosses val="autoZero"/>
        <c:crossBetween val="midCat"/>
      </c:valAx>
      <c:valAx>
        <c:axId val="1144010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CPU</a:t>
                </a:r>
                <a:r>
                  <a:rPr lang="en-US" baseline="0"/>
                  <a:t> time (sec)</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2631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SAPHIRE-NON-CCF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'Results SAPHIRE'!$H$1</c:f>
              <c:strCache>
                <c:ptCount val="1"/>
                <c:pt idx="0">
                  <c:v>Memory (MB)</c:v>
                </c:pt>
              </c:strCache>
            </c:strRef>
          </c:tx>
          <c:spPr>
            <a:ln w="19050" cap="rnd">
              <a:noFill/>
              <a:round/>
            </a:ln>
            <a:effectLst/>
          </c:spPr>
          <c:marker>
            <c:symbol val="circle"/>
            <c:size val="5"/>
            <c:spPr>
              <a:solidFill>
                <a:schemeClr val="accent1"/>
              </a:solidFill>
              <a:ln w="9525">
                <a:solidFill>
                  <a:schemeClr val="accent1"/>
                </a:solidFill>
              </a:ln>
              <a:effectLst/>
            </c:spPr>
          </c:marker>
          <c:xVal>
            <c:strRef>
              <c:f>'Results SAPHIRE'!$D$2:$D$16</c:f>
              <c:strCache>
                <c:ptCount val="15"/>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strCache>
            </c:strRef>
          </c:xVal>
          <c:yVal>
            <c:numRef>
              <c:f>'Results SAPHIRE'!$H$2:$H$16</c:f>
              <c:numCache>
                <c:formatCode>General</c:formatCode>
                <c:ptCount val="15"/>
                <c:pt idx="0">
                  <c:v>4.0960000000000001</c:v>
                </c:pt>
                <c:pt idx="1">
                  <c:v>4.4851200000000002</c:v>
                </c:pt>
                <c:pt idx="2">
                  <c:v>4.0222720000000001</c:v>
                </c:pt>
                <c:pt idx="3">
                  <c:v>4.1451520000000004</c:v>
                </c:pt>
                <c:pt idx="4">
                  <c:v>4.0427520000000001</c:v>
                </c:pt>
                <c:pt idx="5">
                  <c:v>4.1041920000000003</c:v>
                </c:pt>
                <c:pt idx="6">
                  <c:v>6.1276159999999997</c:v>
                </c:pt>
                <c:pt idx="7">
                  <c:v>9.1422720000000002</c:v>
                </c:pt>
                <c:pt idx="8">
                  <c:v>5.2142080000000002</c:v>
                </c:pt>
                <c:pt idx="9">
                  <c:v>10.944512</c:v>
                </c:pt>
                <c:pt idx="10">
                  <c:v>10.846208000000001</c:v>
                </c:pt>
                <c:pt idx="11">
                  <c:v>7.528448</c:v>
                </c:pt>
                <c:pt idx="12">
                  <c:v>16.273408</c:v>
                </c:pt>
                <c:pt idx="13">
                  <c:v>9.1709440000000004</c:v>
                </c:pt>
                <c:pt idx="14">
                  <c:v>10.911744000000001</c:v>
                </c:pt>
              </c:numCache>
            </c:numRef>
          </c:yVal>
          <c:smooth val="0"/>
          <c:extLst>
            <c:ext xmlns:c16="http://schemas.microsoft.com/office/drawing/2014/chart" uri="{C3380CC4-5D6E-409C-BE32-E72D297353CC}">
              <c16:uniqueId val="{00000000-5D06-4FB1-B238-D4977D212520}"/>
            </c:ext>
          </c:extLst>
        </c:ser>
        <c:dLbls>
          <c:showLegendKey val="0"/>
          <c:showVal val="0"/>
          <c:showCatName val="0"/>
          <c:showSerName val="0"/>
          <c:showPercent val="0"/>
          <c:showBubbleSize val="0"/>
        </c:dLbls>
        <c:axId val="1177347264"/>
        <c:axId val="1304162192"/>
      </c:scatterChart>
      <c:valAx>
        <c:axId val="1177347264"/>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162192"/>
        <c:crosses val="autoZero"/>
        <c:crossBetween val="midCat"/>
      </c:valAx>
      <c:valAx>
        <c:axId val="1304162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Memory</a:t>
                </a:r>
                <a:r>
                  <a:rPr lang="en-US" baseline="0"/>
                  <a:t> (MB)</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3472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SAPHIRE-CCF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'results-saphire-ccf'!$G$1</c:f>
              <c:strCache>
                <c:ptCount val="1"/>
                <c:pt idx="0">
                  <c:v>CPU Time (Sec)</c:v>
                </c:pt>
              </c:strCache>
            </c:strRef>
          </c:tx>
          <c:spPr>
            <a:ln w="19050" cap="rnd">
              <a:noFill/>
              <a:round/>
            </a:ln>
            <a:effectLst/>
          </c:spPr>
          <c:marker>
            <c:symbol val="circle"/>
            <c:size val="5"/>
            <c:spPr>
              <a:solidFill>
                <a:schemeClr val="accent1"/>
              </a:solidFill>
              <a:ln w="9525">
                <a:solidFill>
                  <a:schemeClr val="accent1"/>
                </a:solidFill>
              </a:ln>
              <a:effectLst/>
            </c:spPr>
          </c:marker>
          <c:xVal>
            <c:strRef>
              <c:f>'results-saphire-ccf'!$E$2:$E$13</c:f>
              <c:strCache>
                <c:ptCount val="12"/>
                <c:pt idx="0">
                  <c:v>ccf1-100-05</c:v>
                </c:pt>
                <c:pt idx="1">
                  <c:v>ccf2-100-05</c:v>
                </c:pt>
                <c:pt idx="2">
                  <c:v>ccf1-200-05</c:v>
                </c:pt>
                <c:pt idx="3">
                  <c:v>ccf2-200-05</c:v>
                </c:pt>
                <c:pt idx="4">
                  <c:v>ccf3-200-05</c:v>
                </c:pt>
                <c:pt idx="5">
                  <c:v>ccf4-200-05</c:v>
                </c:pt>
                <c:pt idx="6">
                  <c:v>ccf5-200-05</c:v>
                </c:pt>
                <c:pt idx="7">
                  <c:v>ccf6-200-05</c:v>
                </c:pt>
                <c:pt idx="8">
                  <c:v>ccf7-200-05</c:v>
                </c:pt>
                <c:pt idx="9">
                  <c:v>ccf8-200-05</c:v>
                </c:pt>
                <c:pt idx="10">
                  <c:v>ccf9-200-05</c:v>
                </c:pt>
                <c:pt idx="11">
                  <c:v>ccf9-300-05</c:v>
                </c:pt>
              </c:strCache>
            </c:strRef>
          </c:xVal>
          <c:yVal>
            <c:numRef>
              <c:f>'results-saphire-ccf'!$G$2:$G$13</c:f>
              <c:numCache>
                <c:formatCode>General</c:formatCode>
                <c:ptCount val="12"/>
                <c:pt idx="0">
                  <c:v>1.3500669970000001</c:v>
                </c:pt>
                <c:pt idx="1">
                  <c:v>0.69035540699999998</c:v>
                </c:pt>
                <c:pt idx="2">
                  <c:v>5.2055731280000002</c:v>
                </c:pt>
                <c:pt idx="3">
                  <c:v>4.505479759</c:v>
                </c:pt>
                <c:pt idx="4">
                  <c:v>4.1700678900000003</c:v>
                </c:pt>
                <c:pt idx="5">
                  <c:v>4.3989832780000002</c:v>
                </c:pt>
                <c:pt idx="6">
                  <c:v>5.3829933179999996</c:v>
                </c:pt>
                <c:pt idx="7">
                  <c:v>2.3162434890000001</c:v>
                </c:pt>
                <c:pt idx="8">
                  <c:v>0.84457325900000002</c:v>
                </c:pt>
                <c:pt idx="9">
                  <c:v>0.82696074200000003</c:v>
                </c:pt>
                <c:pt idx="10">
                  <c:v>0.72581151300000002</c:v>
                </c:pt>
                <c:pt idx="11">
                  <c:v>4.4427802920000001</c:v>
                </c:pt>
              </c:numCache>
            </c:numRef>
          </c:yVal>
          <c:smooth val="0"/>
          <c:extLst>
            <c:ext xmlns:c16="http://schemas.microsoft.com/office/drawing/2014/chart" uri="{C3380CC4-5D6E-409C-BE32-E72D297353CC}">
              <c16:uniqueId val="{00000000-7A49-4AD7-84AE-5CC6AF46A8D3}"/>
            </c:ext>
          </c:extLst>
        </c:ser>
        <c:dLbls>
          <c:showLegendKey val="0"/>
          <c:showVal val="0"/>
          <c:showCatName val="0"/>
          <c:showSerName val="0"/>
          <c:showPercent val="0"/>
          <c:showBubbleSize val="0"/>
        </c:dLbls>
        <c:axId val="1174159216"/>
        <c:axId val="1148351888"/>
      </c:scatterChart>
      <c:valAx>
        <c:axId val="1174159216"/>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351888"/>
        <c:crosses val="autoZero"/>
        <c:crossBetween val="midCat"/>
      </c:valAx>
      <c:valAx>
        <c:axId val="1148351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CPU</a:t>
                </a:r>
                <a:r>
                  <a:rPr lang="en-US" baseline="0"/>
                  <a:t> Time (sec)</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1592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SAPHIRE</a:t>
            </a:r>
            <a:r>
              <a:rPr lang="en-US" baseline="0"/>
              <a:t>-CCF</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'results-saphire-ccf'!$I$1</c:f>
              <c:strCache>
                <c:ptCount val="1"/>
                <c:pt idx="0">
                  <c:v>Memory (MB)</c:v>
                </c:pt>
              </c:strCache>
            </c:strRef>
          </c:tx>
          <c:spPr>
            <a:ln w="19050" cap="rnd">
              <a:noFill/>
              <a:round/>
            </a:ln>
            <a:effectLst/>
          </c:spPr>
          <c:marker>
            <c:symbol val="circle"/>
            <c:size val="5"/>
            <c:spPr>
              <a:solidFill>
                <a:schemeClr val="accent1"/>
              </a:solidFill>
              <a:ln w="9525">
                <a:solidFill>
                  <a:schemeClr val="accent1"/>
                </a:solidFill>
              </a:ln>
              <a:effectLst/>
            </c:spPr>
          </c:marker>
          <c:xVal>
            <c:strRef>
              <c:f>'results-saphire-ccf'!$E$2:$E$13</c:f>
              <c:strCache>
                <c:ptCount val="12"/>
                <c:pt idx="0">
                  <c:v>ccf1-100-05</c:v>
                </c:pt>
                <c:pt idx="1">
                  <c:v>ccf2-100-05</c:v>
                </c:pt>
                <c:pt idx="2">
                  <c:v>ccf1-200-05</c:v>
                </c:pt>
                <c:pt idx="3">
                  <c:v>ccf2-200-05</c:v>
                </c:pt>
                <c:pt idx="4">
                  <c:v>ccf3-200-05</c:v>
                </c:pt>
                <c:pt idx="5">
                  <c:v>ccf4-200-05</c:v>
                </c:pt>
                <c:pt idx="6">
                  <c:v>ccf5-200-05</c:v>
                </c:pt>
                <c:pt idx="7">
                  <c:v>ccf6-200-05</c:v>
                </c:pt>
                <c:pt idx="8">
                  <c:v>ccf7-200-05</c:v>
                </c:pt>
                <c:pt idx="9">
                  <c:v>ccf8-200-05</c:v>
                </c:pt>
                <c:pt idx="10">
                  <c:v>ccf9-200-05</c:v>
                </c:pt>
                <c:pt idx="11">
                  <c:v>ccf9-300-05</c:v>
                </c:pt>
              </c:strCache>
            </c:strRef>
          </c:xVal>
          <c:yVal>
            <c:numRef>
              <c:f>'results-saphire-ccf'!$I$2:$I$13</c:f>
              <c:numCache>
                <c:formatCode>General</c:formatCode>
                <c:ptCount val="12"/>
                <c:pt idx="0">
                  <c:v>4.5219839999999998</c:v>
                </c:pt>
                <c:pt idx="1">
                  <c:v>4.0304640000000003</c:v>
                </c:pt>
                <c:pt idx="2">
                  <c:v>7.8151679999999999</c:v>
                </c:pt>
                <c:pt idx="3">
                  <c:v>7.8397439999999996</c:v>
                </c:pt>
                <c:pt idx="4">
                  <c:v>7.6595199999999997</c:v>
                </c:pt>
                <c:pt idx="5">
                  <c:v>7.4874879999999999</c:v>
                </c:pt>
                <c:pt idx="6">
                  <c:v>7.7701120000000001</c:v>
                </c:pt>
                <c:pt idx="7">
                  <c:v>7.3646079999999996</c:v>
                </c:pt>
                <c:pt idx="8">
                  <c:v>5.6238080000000004</c:v>
                </c:pt>
                <c:pt idx="9">
                  <c:v>9.0112000000000005</c:v>
                </c:pt>
                <c:pt idx="10">
                  <c:v>4.2311680000000003</c:v>
                </c:pt>
                <c:pt idx="11">
                  <c:v>10.534912</c:v>
                </c:pt>
              </c:numCache>
            </c:numRef>
          </c:yVal>
          <c:smooth val="0"/>
          <c:extLst>
            <c:ext xmlns:c16="http://schemas.microsoft.com/office/drawing/2014/chart" uri="{C3380CC4-5D6E-409C-BE32-E72D297353CC}">
              <c16:uniqueId val="{00000000-E74B-4DF9-A496-E8430BB7A297}"/>
            </c:ext>
          </c:extLst>
        </c:ser>
        <c:dLbls>
          <c:showLegendKey val="0"/>
          <c:showVal val="0"/>
          <c:showCatName val="0"/>
          <c:showSerName val="0"/>
          <c:showPercent val="0"/>
          <c:showBubbleSize val="0"/>
        </c:dLbls>
        <c:axId val="1655843552"/>
        <c:axId val="719674896"/>
      </c:scatterChart>
      <c:valAx>
        <c:axId val="1655843552"/>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674896"/>
        <c:crosses val="autoZero"/>
        <c:crossBetween val="midCat"/>
      </c:valAx>
      <c:valAx>
        <c:axId val="719674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Memory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843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SCRAM-NON-CCF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'Results SCRAM-non-ccf'!$H$1</c:f>
              <c:strCache>
                <c:ptCount val="1"/>
                <c:pt idx="0">
                  <c:v>CPU Time-BDD</c:v>
                </c:pt>
              </c:strCache>
            </c:strRef>
          </c:tx>
          <c:spPr>
            <a:ln w="19050" cap="rnd">
              <a:noFill/>
              <a:round/>
            </a:ln>
            <a:effectLst/>
          </c:spPr>
          <c:marker>
            <c:symbol val="circle"/>
            <c:size val="5"/>
            <c:spPr>
              <a:solidFill>
                <a:schemeClr val="accent1"/>
              </a:solidFill>
              <a:ln w="9525">
                <a:solidFill>
                  <a:schemeClr val="accent1"/>
                </a:solidFill>
              </a:ln>
              <a:effectLst/>
            </c:spPr>
          </c:marker>
          <c:xVal>
            <c:strRef>
              <c:f>'Results SCRAM-non-ccf'!$F$2:$F$45</c:f>
              <c:strCache>
                <c:ptCount val="43"/>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500-05</c:v>
                </c:pt>
                <c:pt idx="37">
                  <c:v>600-01</c:v>
                </c:pt>
                <c:pt idx="38">
                  <c:v>600-04</c:v>
                </c:pt>
                <c:pt idx="39">
                  <c:v>600-06</c:v>
                </c:pt>
                <c:pt idx="40">
                  <c:v>800-04</c:v>
                </c:pt>
                <c:pt idx="41">
                  <c:v>800-07</c:v>
                </c:pt>
                <c:pt idx="42">
                  <c:v>900-04</c:v>
                </c:pt>
              </c:strCache>
            </c:strRef>
          </c:xVal>
          <c:yVal>
            <c:numRef>
              <c:f>'Results SCRAM-non-ccf'!$H$2:$H$45</c:f>
              <c:numCache>
                <c:formatCode>General</c:formatCode>
                <c:ptCount val="44"/>
                <c:pt idx="0">
                  <c:v>0.11244756</c:v>
                </c:pt>
                <c:pt idx="1">
                  <c:v>0.21960044500000001</c:v>
                </c:pt>
                <c:pt idx="2">
                  <c:v>9.7503664000000004E-2</c:v>
                </c:pt>
                <c:pt idx="3">
                  <c:v>0.10509741</c:v>
                </c:pt>
                <c:pt idx="4">
                  <c:v>9.4771300000000003E-2</c:v>
                </c:pt>
                <c:pt idx="5">
                  <c:v>0.110762124</c:v>
                </c:pt>
                <c:pt idx="6">
                  <c:v>0.103812877</c:v>
                </c:pt>
                <c:pt idx="7">
                  <c:v>0.221237831</c:v>
                </c:pt>
                <c:pt idx="8">
                  <c:v>0.23065189999999999</c:v>
                </c:pt>
                <c:pt idx="9">
                  <c:v>0.133368608</c:v>
                </c:pt>
                <c:pt idx="10">
                  <c:v>14.98442949</c:v>
                </c:pt>
                <c:pt idx="11">
                  <c:v>1.103876946</c:v>
                </c:pt>
                <c:pt idx="12">
                  <c:v>0.103748514</c:v>
                </c:pt>
                <c:pt idx="13">
                  <c:v>0.221674606</c:v>
                </c:pt>
                <c:pt idx="14">
                  <c:v>2.024685963</c:v>
                </c:pt>
                <c:pt idx="15">
                  <c:v>12.893044789999999</c:v>
                </c:pt>
                <c:pt idx="16">
                  <c:v>2.676052678</c:v>
                </c:pt>
                <c:pt idx="17">
                  <c:v>34.973116781999998</c:v>
                </c:pt>
                <c:pt idx="18">
                  <c:v>97.869962161999993</c:v>
                </c:pt>
                <c:pt idx="19">
                  <c:v>0.71975614899999996</c:v>
                </c:pt>
                <c:pt idx="20">
                  <c:v>60.492957058999998</c:v>
                </c:pt>
                <c:pt idx="21">
                  <c:v>10.85593667</c:v>
                </c:pt>
                <c:pt idx="22">
                  <c:v>218.84672197699999</c:v>
                </c:pt>
                <c:pt idx="23">
                  <c:v>39.990834282999998</c:v>
                </c:pt>
                <c:pt idx="24">
                  <c:v>901.61510736599996</c:v>
                </c:pt>
                <c:pt idx="25">
                  <c:v>28.092711954999999</c:v>
                </c:pt>
                <c:pt idx="26">
                  <c:v>900.58322742300004</c:v>
                </c:pt>
                <c:pt idx="27">
                  <c:v>588.20149731499998</c:v>
                </c:pt>
                <c:pt idx="28">
                  <c:v>18.724334727999999</c:v>
                </c:pt>
                <c:pt idx="29">
                  <c:v>901.00444697399996</c:v>
                </c:pt>
                <c:pt idx="30">
                  <c:v>7.1043324700000001</c:v>
                </c:pt>
                <c:pt idx="31">
                  <c:v>900.38726370300003</c:v>
                </c:pt>
                <c:pt idx="32">
                  <c:v>901.01694426100005</c:v>
                </c:pt>
                <c:pt idx="33">
                  <c:v>900.44910126100001</c:v>
                </c:pt>
                <c:pt idx="34">
                  <c:v>101.949352749</c:v>
                </c:pt>
                <c:pt idx="35">
                  <c:v>900.36842554600003</c:v>
                </c:pt>
                <c:pt idx="36">
                  <c:v>900.73680904599996</c:v>
                </c:pt>
                <c:pt idx="37">
                  <c:v>901.00476944499997</c:v>
                </c:pt>
                <c:pt idx="38">
                  <c:v>900.561535456</c:v>
                </c:pt>
                <c:pt idx="39">
                  <c:v>267.69128387000001</c:v>
                </c:pt>
                <c:pt idx="40">
                  <c:v>900.66301364499998</c:v>
                </c:pt>
                <c:pt idx="41">
                  <c:v>372.54315026699999</c:v>
                </c:pt>
                <c:pt idx="42">
                  <c:v>388.22756268199998</c:v>
                </c:pt>
              </c:numCache>
            </c:numRef>
          </c:yVal>
          <c:smooth val="0"/>
          <c:extLst>
            <c:ext xmlns:c16="http://schemas.microsoft.com/office/drawing/2014/chart" uri="{C3380CC4-5D6E-409C-BE32-E72D297353CC}">
              <c16:uniqueId val="{00000000-F860-4B05-8179-A280341C1090}"/>
            </c:ext>
          </c:extLst>
        </c:ser>
        <c:ser>
          <c:idx val="1"/>
          <c:order val="1"/>
          <c:tx>
            <c:strRef>
              <c:f>'Results SCRAM-non-ccf'!$R$1</c:f>
              <c:strCache>
                <c:ptCount val="1"/>
                <c:pt idx="0">
                  <c:v>CPU Time-mocus</c:v>
                </c:pt>
              </c:strCache>
            </c:strRef>
          </c:tx>
          <c:spPr>
            <a:ln w="19050" cap="rnd">
              <a:noFill/>
              <a:round/>
            </a:ln>
            <a:effectLst/>
          </c:spPr>
          <c:marker>
            <c:symbol val="circle"/>
            <c:size val="5"/>
            <c:spPr>
              <a:solidFill>
                <a:schemeClr val="accent2"/>
              </a:solidFill>
              <a:ln w="9525">
                <a:solidFill>
                  <a:schemeClr val="accent2"/>
                </a:solidFill>
              </a:ln>
              <a:effectLst/>
            </c:spPr>
          </c:marker>
          <c:xVal>
            <c:strRef>
              <c:f>'Results SCRAM-non-ccf'!$F$2:$F$45</c:f>
              <c:strCache>
                <c:ptCount val="43"/>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500-05</c:v>
                </c:pt>
                <c:pt idx="37">
                  <c:v>600-01</c:v>
                </c:pt>
                <c:pt idx="38">
                  <c:v>600-04</c:v>
                </c:pt>
                <c:pt idx="39">
                  <c:v>600-06</c:v>
                </c:pt>
                <c:pt idx="40">
                  <c:v>800-04</c:v>
                </c:pt>
                <c:pt idx="41">
                  <c:v>800-07</c:v>
                </c:pt>
                <c:pt idx="42">
                  <c:v>900-04</c:v>
                </c:pt>
              </c:strCache>
            </c:strRef>
          </c:xVal>
          <c:yVal>
            <c:numRef>
              <c:f>'Results SCRAM-non-ccf'!$R$2:$R$45</c:f>
              <c:numCache>
                <c:formatCode>General</c:formatCode>
                <c:ptCount val="44"/>
                <c:pt idx="0">
                  <c:v>0.118721988</c:v>
                </c:pt>
                <c:pt idx="1">
                  <c:v>0.226832702</c:v>
                </c:pt>
                <c:pt idx="2">
                  <c:v>0.102652994</c:v>
                </c:pt>
                <c:pt idx="3">
                  <c:v>0.110802336</c:v>
                </c:pt>
                <c:pt idx="4">
                  <c:v>0.100050083</c:v>
                </c:pt>
                <c:pt idx="5">
                  <c:v>0.118666935</c:v>
                </c:pt>
                <c:pt idx="6">
                  <c:v>0.10818058799999999</c:v>
                </c:pt>
                <c:pt idx="7">
                  <c:v>0.22956998200000001</c:v>
                </c:pt>
                <c:pt idx="8">
                  <c:v>0.238241487</c:v>
                </c:pt>
                <c:pt idx="9">
                  <c:v>0.13105389100000001</c:v>
                </c:pt>
                <c:pt idx="10">
                  <c:v>15.169111383000001</c:v>
                </c:pt>
                <c:pt idx="11">
                  <c:v>1.1165375120000001</c:v>
                </c:pt>
                <c:pt idx="12">
                  <c:v>0.107384961</c:v>
                </c:pt>
                <c:pt idx="13">
                  <c:v>0.22412981400000001</c:v>
                </c:pt>
                <c:pt idx="14">
                  <c:v>0.38593401300000002</c:v>
                </c:pt>
                <c:pt idx="15">
                  <c:v>13.077579808999999</c:v>
                </c:pt>
                <c:pt idx="16">
                  <c:v>0.74678053899999997</c:v>
                </c:pt>
                <c:pt idx="17">
                  <c:v>35.598312591999999</c:v>
                </c:pt>
                <c:pt idx="18">
                  <c:v>98.121022095000001</c:v>
                </c:pt>
                <c:pt idx="19">
                  <c:v>0.71364370399999999</c:v>
                </c:pt>
                <c:pt idx="20">
                  <c:v>58.751759880999998</c:v>
                </c:pt>
                <c:pt idx="21">
                  <c:v>11.095838485</c:v>
                </c:pt>
                <c:pt idx="22">
                  <c:v>219.57988500299999</c:v>
                </c:pt>
                <c:pt idx="23">
                  <c:v>38.383026800000003</c:v>
                </c:pt>
                <c:pt idx="24">
                  <c:v>900.06407556500005</c:v>
                </c:pt>
                <c:pt idx="25">
                  <c:v>27.018760514</c:v>
                </c:pt>
                <c:pt idx="26">
                  <c:v>900.55886227899998</c:v>
                </c:pt>
                <c:pt idx="27">
                  <c:v>581.83965657199997</c:v>
                </c:pt>
                <c:pt idx="28">
                  <c:v>18.937684114</c:v>
                </c:pt>
                <c:pt idx="29">
                  <c:v>900.50645831400004</c:v>
                </c:pt>
                <c:pt idx="30">
                  <c:v>7.654047813</c:v>
                </c:pt>
                <c:pt idx="31">
                  <c:v>900.741932185</c:v>
                </c:pt>
                <c:pt idx="32">
                  <c:v>901.00057588699997</c:v>
                </c:pt>
                <c:pt idx="33">
                  <c:v>900.69165591499996</c:v>
                </c:pt>
                <c:pt idx="34">
                  <c:v>104.875892791</c:v>
                </c:pt>
                <c:pt idx="35">
                  <c:v>900.42206032399997</c:v>
                </c:pt>
                <c:pt idx="36">
                  <c:v>900.69834227499996</c:v>
                </c:pt>
                <c:pt idx="37">
                  <c:v>900.63798706900002</c:v>
                </c:pt>
                <c:pt idx="38">
                  <c:v>900.73007248500005</c:v>
                </c:pt>
                <c:pt idx="39">
                  <c:v>900.22800648199996</c:v>
                </c:pt>
                <c:pt idx="40">
                  <c:v>900.52037272099994</c:v>
                </c:pt>
                <c:pt idx="41">
                  <c:v>900.19326328299996</c:v>
                </c:pt>
                <c:pt idx="42">
                  <c:v>900.99737023099999</c:v>
                </c:pt>
              </c:numCache>
            </c:numRef>
          </c:yVal>
          <c:smooth val="0"/>
          <c:extLst>
            <c:ext xmlns:c16="http://schemas.microsoft.com/office/drawing/2014/chart" uri="{C3380CC4-5D6E-409C-BE32-E72D297353CC}">
              <c16:uniqueId val="{00000001-F860-4B05-8179-A280341C1090}"/>
            </c:ext>
          </c:extLst>
        </c:ser>
        <c:ser>
          <c:idx val="2"/>
          <c:order val="2"/>
          <c:tx>
            <c:strRef>
              <c:f>'Results SCRAM-non-ccf'!$AC$1</c:f>
              <c:strCache>
                <c:ptCount val="1"/>
                <c:pt idx="0">
                  <c:v>CPU Time-zbdd</c:v>
                </c:pt>
              </c:strCache>
            </c:strRef>
          </c:tx>
          <c:spPr>
            <a:ln w="19050" cap="rnd">
              <a:noFill/>
              <a:round/>
            </a:ln>
            <a:effectLst/>
          </c:spPr>
          <c:marker>
            <c:symbol val="circle"/>
            <c:size val="5"/>
            <c:spPr>
              <a:solidFill>
                <a:schemeClr val="accent3"/>
              </a:solidFill>
              <a:ln w="9525">
                <a:solidFill>
                  <a:schemeClr val="accent3"/>
                </a:solidFill>
              </a:ln>
              <a:effectLst/>
            </c:spPr>
          </c:marker>
          <c:xVal>
            <c:strRef>
              <c:f>'Results SCRAM-non-ccf'!$F$2:$F$45</c:f>
              <c:strCache>
                <c:ptCount val="43"/>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500-05</c:v>
                </c:pt>
                <c:pt idx="37">
                  <c:v>600-01</c:v>
                </c:pt>
                <c:pt idx="38">
                  <c:v>600-04</c:v>
                </c:pt>
                <c:pt idx="39">
                  <c:v>600-06</c:v>
                </c:pt>
                <c:pt idx="40">
                  <c:v>800-04</c:v>
                </c:pt>
                <c:pt idx="41">
                  <c:v>800-07</c:v>
                </c:pt>
                <c:pt idx="42">
                  <c:v>900-04</c:v>
                </c:pt>
              </c:strCache>
            </c:strRef>
          </c:xVal>
          <c:yVal>
            <c:numRef>
              <c:f>'Results SCRAM-non-ccf'!$AC$2:$AC$45</c:f>
              <c:numCache>
                <c:formatCode>General</c:formatCode>
                <c:ptCount val="44"/>
                <c:pt idx="0">
                  <c:v>0.113772972</c:v>
                </c:pt>
                <c:pt idx="1">
                  <c:v>0.221840754</c:v>
                </c:pt>
                <c:pt idx="2">
                  <c:v>0.100072827</c:v>
                </c:pt>
                <c:pt idx="3">
                  <c:v>0.105313641</c:v>
                </c:pt>
                <c:pt idx="4">
                  <c:v>9.5055674000000007E-2</c:v>
                </c:pt>
                <c:pt idx="5">
                  <c:v>0.110468444</c:v>
                </c:pt>
                <c:pt idx="6">
                  <c:v>0.10284903500000001</c:v>
                </c:pt>
                <c:pt idx="7">
                  <c:v>0.223540244</c:v>
                </c:pt>
                <c:pt idx="8">
                  <c:v>0.233140597</c:v>
                </c:pt>
                <c:pt idx="9">
                  <c:v>0.13125976</c:v>
                </c:pt>
                <c:pt idx="10">
                  <c:v>14.991968522000001</c:v>
                </c:pt>
                <c:pt idx="11">
                  <c:v>1.110123379</c:v>
                </c:pt>
                <c:pt idx="12">
                  <c:v>0.10867394900000001</c:v>
                </c:pt>
                <c:pt idx="13">
                  <c:v>0.22820383899999999</c:v>
                </c:pt>
                <c:pt idx="14">
                  <c:v>0.39378183500000002</c:v>
                </c:pt>
                <c:pt idx="15">
                  <c:v>12.958363910999999</c:v>
                </c:pt>
                <c:pt idx="16">
                  <c:v>0.74224239000000003</c:v>
                </c:pt>
                <c:pt idx="17">
                  <c:v>35.772169886</c:v>
                </c:pt>
                <c:pt idx="18">
                  <c:v>101.288234077</c:v>
                </c:pt>
                <c:pt idx="19">
                  <c:v>0.729909162</c:v>
                </c:pt>
                <c:pt idx="20">
                  <c:v>62.211099359999999</c:v>
                </c:pt>
                <c:pt idx="21">
                  <c:v>11.784253142000001</c:v>
                </c:pt>
                <c:pt idx="22">
                  <c:v>224.09513117200001</c:v>
                </c:pt>
                <c:pt idx="23">
                  <c:v>41.355713903999998</c:v>
                </c:pt>
                <c:pt idx="24">
                  <c:v>901.037127983</c:v>
                </c:pt>
                <c:pt idx="25">
                  <c:v>29.181718298</c:v>
                </c:pt>
                <c:pt idx="26">
                  <c:v>900.63898362500004</c:v>
                </c:pt>
                <c:pt idx="27">
                  <c:v>579.47119474399994</c:v>
                </c:pt>
                <c:pt idx="28">
                  <c:v>18.884020980999999</c:v>
                </c:pt>
                <c:pt idx="29">
                  <c:v>900.26928459700002</c:v>
                </c:pt>
                <c:pt idx="30">
                  <c:v>7.0912967929999997</c:v>
                </c:pt>
                <c:pt idx="31">
                  <c:v>900.37790500000006</c:v>
                </c:pt>
                <c:pt idx="32">
                  <c:v>901.00074585499999</c:v>
                </c:pt>
                <c:pt idx="33">
                  <c:v>900.51190014899998</c:v>
                </c:pt>
                <c:pt idx="34">
                  <c:v>103.669575352</c:v>
                </c:pt>
                <c:pt idx="35">
                  <c:v>900.61249708499997</c:v>
                </c:pt>
                <c:pt idx="36">
                  <c:v>900.74183300899995</c:v>
                </c:pt>
                <c:pt idx="37">
                  <c:v>900.54030226299994</c:v>
                </c:pt>
                <c:pt idx="38">
                  <c:v>900.67804614500005</c:v>
                </c:pt>
                <c:pt idx="39">
                  <c:v>901.01228915199999</c:v>
                </c:pt>
                <c:pt idx="40">
                  <c:v>900.56751756699998</c:v>
                </c:pt>
                <c:pt idx="41">
                  <c:v>900.58493330700003</c:v>
                </c:pt>
                <c:pt idx="42">
                  <c:v>901.00127026200005</c:v>
                </c:pt>
              </c:numCache>
            </c:numRef>
          </c:yVal>
          <c:smooth val="0"/>
          <c:extLst>
            <c:ext xmlns:c16="http://schemas.microsoft.com/office/drawing/2014/chart" uri="{C3380CC4-5D6E-409C-BE32-E72D297353CC}">
              <c16:uniqueId val="{00000002-F860-4B05-8179-A280341C1090}"/>
            </c:ext>
          </c:extLst>
        </c:ser>
        <c:dLbls>
          <c:showLegendKey val="0"/>
          <c:showVal val="0"/>
          <c:showCatName val="0"/>
          <c:showSerName val="0"/>
          <c:showPercent val="0"/>
          <c:showBubbleSize val="0"/>
        </c:dLbls>
        <c:axId val="1194889808"/>
        <c:axId val="685217632"/>
      </c:scatterChart>
      <c:valAx>
        <c:axId val="119488980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217632"/>
        <c:crosses val="autoZero"/>
        <c:crossBetween val="midCat"/>
      </c:valAx>
      <c:valAx>
        <c:axId val="68521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8898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SCRAM-NON-CCF</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'Results SCRAM-non-ccf'!$J$1</c:f>
              <c:strCache>
                <c:ptCount val="1"/>
                <c:pt idx="0">
                  <c:v>Memory -BDD</c:v>
                </c:pt>
              </c:strCache>
            </c:strRef>
          </c:tx>
          <c:spPr>
            <a:ln w="19050" cap="rnd">
              <a:noFill/>
              <a:round/>
            </a:ln>
            <a:effectLst/>
          </c:spPr>
          <c:marker>
            <c:symbol val="circle"/>
            <c:size val="5"/>
            <c:spPr>
              <a:solidFill>
                <a:schemeClr val="accent1"/>
              </a:solidFill>
              <a:ln w="9525">
                <a:solidFill>
                  <a:schemeClr val="accent1"/>
                </a:solidFill>
              </a:ln>
              <a:effectLst/>
            </c:spPr>
          </c:marker>
          <c:xVal>
            <c:strRef>
              <c:f>'Results SCRAM-non-ccf'!$F$2:$F$44</c:f>
              <c:strCache>
                <c:ptCount val="43"/>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500-05</c:v>
                </c:pt>
                <c:pt idx="37">
                  <c:v>600-01</c:v>
                </c:pt>
                <c:pt idx="38">
                  <c:v>600-04</c:v>
                </c:pt>
                <c:pt idx="39">
                  <c:v>600-06</c:v>
                </c:pt>
                <c:pt idx="40">
                  <c:v>800-04</c:v>
                </c:pt>
                <c:pt idx="41">
                  <c:v>800-07</c:v>
                </c:pt>
                <c:pt idx="42">
                  <c:v>900-04</c:v>
                </c:pt>
              </c:strCache>
            </c:strRef>
          </c:xVal>
          <c:yVal>
            <c:numRef>
              <c:f>'Results SCRAM-non-ccf'!$J$2:$J$44</c:f>
              <c:numCache>
                <c:formatCode>General</c:formatCode>
                <c:ptCount val="43"/>
                <c:pt idx="0">
                  <c:v>6.3324160000000003</c:v>
                </c:pt>
                <c:pt idx="1">
                  <c:v>6.303744</c:v>
                </c:pt>
                <c:pt idx="2">
                  <c:v>6.2054400000000003</c:v>
                </c:pt>
                <c:pt idx="3">
                  <c:v>6.283264</c:v>
                </c:pt>
                <c:pt idx="4">
                  <c:v>6.0784640000000003</c:v>
                </c:pt>
                <c:pt idx="5">
                  <c:v>6.1890559999999999</c:v>
                </c:pt>
                <c:pt idx="6">
                  <c:v>6.230016</c:v>
                </c:pt>
                <c:pt idx="7">
                  <c:v>6.1849600000000002</c:v>
                </c:pt>
                <c:pt idx="8">
                  <c:v>6.3406079999999996</c:v>
                </c:pt>
                <c:pt idx="9">
                  <c:v>6.557696</c:v>
                </c:pt>
                <c:pt idx="10">
                  <c:v>12.759040000000001</c:v>
                </c:pt>
                <c:pt idx="11">
                  <c:v>6.8198400000000001</c:v>
                </c:pt>
                <c:pt idx="12">
                  <c:v>6.2545919999999997</c:v>
                </c:pt>
                <c:pt idx="13">
                  <c:v>6.4675840000000004</c:v>
                </c:pt>
                <c:pt idx="14">
                  <c:v>108.04428799999999</c:v>
                </c:pt>
                <c:pt idx="15">
                  <c:v>8.8186879999999999</c:v>
                </c:pt>
                <c:pt idx="16">
                  <c:v>116.744192</c:v>
                </c:pt>
                <c:pt idx="17">
                  <c:v>7.3564160000000003</c:v>
                </c:pt>
                <c:pt idx="18">
                  <c:v>8.9210879999999992</c:v>
                </c:pt>
                <c:pt idx="19">
                  <c:v>7.708672</c:v>
                </c:pt>
                <c:pt idx="20">
                  <c:v>9.6501760000000001</c:v>
                </c:pt>
                <c:pt idx="21">
                  <c:v>18.137087999999999</c:v>
                </c:pt>
                <c:pt idx="22">
                  <c:v>17.739775999999999</c:v>
                </c:pt>
                <c:pt idx="23">
                  <c:v>9.7443840000000002</c:v>
                </c:pt>
                <c:pt idx="24">
                  <c:v>9172.8814079999993</c:v>
                </c:pt>
                <c:pt idx="25">
                  <c:v>7.0696960000000004</c:v>
                </c:pt>
                <c:pt idx="26">
                  <c:v>80.785408000000004</c:v>
                </c:pt>
                <c:pt idx="27">
                  <c:v>8.6958079999999995</c:v>
                </c:pt>
                <c:pt idx="28">
                  <c:v>7.5366400000000002</c:v>
                </c:pt>
                <c:pt idx="29">
                  <c:v>11.976704</c:v>
                </c:pt>
                <c:pt idx="30">
                  <c:v>26.923007999999999</c:v>
                </c:pt>
                <c:pt idx="31">
                  <c:v>7.7045760000000003</c:v>
                </c:pt>
                <c:pt idx="32">
                  <c:v>159.428608</c:v>
                </c:pt>
                <c:pt idx="33">
                  <c:v>312.52480000000003</c:v>
                </c:pt>
                <c:pt idx="34">
                  <c:v>7.5202559999999998</c:v>
                </c:pt>
                <c:pt idx="35">
                  <c:v>123.379712</c:v>
                </c:pt>
                <c:pt idx="36">
                  <c:v>2067.1733760000002</c:v>
                </c:pt>
                <c:pt idx="37">
                  <c:v>14.315519999999999</c:v>
                </c:pt>
                <c:pt idx="38">
                  <c:v>31.764479999999999</c:v>
                </c:pt>
                <c:pt idx="39">
                  <c:v>16000</c:v>
                </c:pt>
                <c:pt idx="40">
                  <c:v>2636.0872960000002</c:v>
                </c:pt>
                <c:pt idx="41">
                  <c:v>16000</c:v>
                </c:pt>
                <c:pt idx="42">
                  <c:v>16000</c:v>
                </c:pt>
              </c:numCache>
            </c:numRef>
          </c:yVal>
          <c:smooth val="0"/>
          <c:extLst>
            <c:ext xmlns:c16="http://schemas.microsoft.com/office/drawing/2014/chart" uri="{C3380CC4-5D6E-409C-BE32-E72D297353CC}">
              <c16:uniqueId val="{00000000-B341-4D41-B85F-B856A9081B76}"/>
            </c:ext>
          </c:extLst>
        </c:ser>
        <c:ser>
          <c:idx val="1"/>
          <c:order val="1"/>
          <c:tx>
            <c:strRef>
              <c:f>'Results SCRAM-non-ccf'!$T$1</c:f>
              <c:strCache>
                <c:ptCount val="1"/>
                <c:pt idx="0">
                  <c:v>Memory-Mocus</c:v>
                </c:pt>
              </c:strCache>
            </c:strRef>
          </c:tx>
          <c:spPr>
            <a:ln w="19050" cap="rnd">
              <a:noFill/>
              <a:round/>
            </a:ln>
            <a:effectLst/>
          </c:spPr>
          <c:marker>
            <c:symbol val="circle"/>
            <c:size val="5"/>
            <c:spPr>
              <a:solidFill>
                <a:schemeClr val="accent2"/>
              </a:solidFill>
              <a:ln w="9525">
                <a:solidFill>
                  <a:schemeClr val="accent2"/>
                </a:solidFill>
              </a:ln>
              <a:effectLst/>
            </c:spPr>
          </c:marker>
          <c:xVal>
            <c:strRef>
              <c:f>'Results SCRAM-non-ccf'!$F$2:$F$44</c:f>
              <c:strCache>
                <c:ptCount val="43"/>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500-05</c:v>
                </c:pt>
                <c:pt idx="37">
                  <c:v>600-01</c:v>
                </c:pt>
                <c:pt idx="38">
                  <c:v>600-04</c:v>
                </c:pt>
                <c:pt idx="39">
                  <c:v>600-06</c:v>
                </c:pt>
                <c:pt idx="40">
                  <c:v>800-04</c:v>
                </c:pt>
                <c:pt idx="41">
                  <c:v>800-07</c:v>
                </c:pt>
                <c:pt idx="42">
                  <c:v>900-04</c:v>
                </c:pt>
              </c:strCache>
            </c:strRef>
          </c:xVal>
          <c:yVal>
            <c:numRef>
              <c:f>'Results SCRAM-non-ccf'!$T$2:$T$44</c:f>
              <c:numCache>
                <c:formatCode>General</c:formatCode>
                <c:ptCount val="43"/>
                <c:pt idx="0">
                  <c:v>6.2177280000000001</c:v>
                </c:pt>
                <c:pt idx="1">
                  <c:v>6.2136319999999996</c:v>
                </c:pt>
                <c:pt idx="2">
                  <c:v>6.1235200000000001</c:v>
                </c:pt>
                <c:pt idx="3">
                  <c:v>6.2095359999999999</c:v>
                </c:pt>
                <c:pt idx="4">
                  <c:v>6.0170240000000002</c:v>
                </c:pt>
                <c:pt idx="5">
                  <c:v>6.2095359999999999</c:v>
                </c:pt>
                <c:pt idx="6">
                  <c:v>6.0743679999999998</c:v>
                </c:pt>
                <c:pt idx="7">
                  <c:v>6.1235200000000001</c:v>
                </c:pt>
                <c:pt idx="8">
                  <c:v>6.3406079999999996</c:v>
                </c:pt>
                <c:pt idx="9">
                  <c:v>6.5863680000000002</c:v>
                </c:pt>
                <c:pt idx="10">
                  <c:v>7.8929919999999996</c:v>
                </c:pt>
                <c:pt idx="11">
                  <c:v>6.7706879999999998</c:v>
                </c:pt>
                <c:pt idx="12">
                  <c:v>6.2668799999999996</c:v>
                </c:pt>
                <c:pt idx="13">
                  <c:v>6.4716800000000001</c:v>
                </c:pt>
                <c:pt idx="14">
                  <c:v>8.3066879999999994</c:v>
                </c:pt>
                <c:pt idx="15">
                  <c:v>6.9959680000000004</c:v>
                </c:pt>
                <c:pt idx="16">
                  <c:v>6.9959680000000004</c:v>
                </c:pt>
                <c:pt idx="17">
                  <c:v>6.6437119999999998</c:v>
                </c:pt>
                <c:pt idx="18">
                  <c:v>7.4588159999999997</c:v>
                </c:pt>
                <c:pt idx="19">
                  <c:v>7.12704</c:v>
                </c:pt>
                <c:pt idx="20">
                  <c:v>7.2704000000000004</c:v>
                </c:pt>
                <c:pt idx="21">
                  <c:v>7.7824</c:v>
                </c:pt>
                <c:pt idx="22">
                  <c:v>7.4301440000000003</c:v>
                </c:pt>
                <c:pt idx="23">
                  <c:v>7.4997759999999998</c:v>
                </c:pt>
                <c:pt idx="24">
                  <c:v>84.119551999999999</c:v>
                </c:pt>
                <c:pt idx="25">
                  <c:v>7.0041599999999997</c:v>
                </c:pt>
                <c:pt idx="26">
                  <c:v>13.811712</c:v>
                </c:pt>
                <c:pt idx="27">
                  <c:v>7.9134719999999996</c:v>
                </c:pt>
                <c:pt idx="28">
                  <c:v>7.327744</c:v>
                </c:pt>
                <c:pt idx="29">
                  <c:v>8.0609280000000005</c:v>
                </c:pt>
                <c:pt idx="30">
                  <c:v>7.7824</c:v>
                </c:pt>
                <c:pt idx="31">
                  <c:v>7.3400319999999999</c:v>
                </c:pt>
                <c:pt idx="32">
                  <c:v>8.2001919999999995</c:v>
                </c:pt>
                <c:pt idx="33">
                  <c:v>8.4008959999999995</c:v>
                </c:pt>
                <c:pt idx="34">
                  <c:v>7.5161600000000002</c:v>
                </c:pt>
                <c:pt idx="35">
                  <c:v>7.9134719999999996</c:v>
                </c:pt>
                <c:pt idx="36">
                  <c:v>83.668992000000003</c:v>
                </c:pt>
                <c:pt idx="37">
                  <c:v>8.7080959999999994</c:v>
                </c:pt>
                <c:pt idx="38">
                  <c:v>9.0562559999999994</c:v>
                </c:pt>
                <c:pt idx="39">
                  <c:v>28.749824</c:v>
                </c:pt>
                <c:pt idx="40">
                  <c:v>14.598144</c:v>
                </c:pt>
                <c:pt idx="41">
                  <c:v>65.736704000000003</c:v>
                </c:pt>
                <c:pt idx="42">
                  <c:v>10.788864</c:v>
                </c:pt>
              </c:numCache>
            </c:numRef>
          </c:yVal>
          <c:smooth val="0"/>
          <c:extLst>
            <c:ext xmlns:c16="http://schemas.microsoft.com/office/drawing/2014/chart" uri="{C3380CC4-5D6E-409C-BE32-E72D297353CC}">
              <c16:uniqueId val="{00000001-B341-4D41-B85F-B856A9081B76}"/>
            </c:ext>
          </c:extLst>
        </c:ser>
        <c:ser>
          <c:idx val="2"/>
          <c:order val="2"/>
          <c:tx>
            <c:strRef>
              <c:f>'Results SCRAM-non-ccf'!$AE$1</c:f>
              <c:strCache>
                <c:ptCount val="1"/>
                <c:pt idx="0">
                  <c:v>Memory-ZBDD</c:v>
                </c:pt>
              </c:strCache>
            </c:strRef>
          </c:tx>
          <c:spPr>
            <a:ln w="19050" cap="rnd">
              <a:noFill/>
              <a:round/>
            </a:ln>
            <a:effectLst/>
          </c:spPr>
          <c:marker>
            <c:symbol val="circle"/>
            <c:size val="5"/>
            <c:spPr>
              <a:solidFill>
                <a:schemeClr val="accent3"/>
              </a:solidFill>
              <a:ln w="9525">
                <a:solidFill>
                  <a:schemeClr val="accent3"/>
                </a:solidFill>
              </a:ln>
              <a:effectLst/>
            </c:spPr>
          </c:marker>
          <c:xVal>
            <c:strRef>
              <c:f>'Results SCRAM-non-ccf'!$F$2:$F$44</c:f>
              <c:strCache>
                <c:ptCount val="43"/>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500-05</c:v>
                </c:pt>
                <c:pt idx="37">
                  <c:v>600-01</c:v>
                </c:pt>
                <c:pt idx="38">
                  <c:v>600-04</c:v>
                </c:pt>
                <c:pt idx="39">
                  <c:v>600-06</c:v>
                </c:pt>
                <c:pt idx="40">
                  <c:v>800-04</c:v>
                </c:pt>
                <c:pt idx="41">
                  <c:v>800-07</c:v>
                </c:pt>
                <c:pt idx="42">
                  <c:v>900-04</c:v>
                </c:pt>
              </c:strCache>
            </c:strRef>
          </c:xVal>
          <c:yVal>
            <c:numRef>
              <c:f>'Results SCRAM-non-ccf'!$AE$2:$AE$44</c:f>
              <c:numCache>
                <c:formatCode>General</c:formatCode>
                <c:ptCount val="43"/>
                <c:pt idx="0">
                  <c:v>6.2709760000000001</c:v>
                </c:pt>
                <c:pt idx="1">
                  <c:v>6.1521920000000003</c:v>
                </c:pt>
                <c:pt idx="2">
                  <c:v>6.0784640000000003</c:v>
                </c:pt>
                <c:pt idx="3">
                  <c:v>6.1685759999999998</c:v>
                </c:pt>
                <c:pt idx="4">
                  <c:v>5.9637760000000002</c:v>
                </c:pt>
                <c:pt idx="5">
                  <c:v>6.2136319999999996</c:v>
                </c:pt>
                <c:pt idx="6">
                  <c:v>6.1685759999999998</c:v>
                </c:pt>
                <c:pt idx="7">
                  <c:v>6.1890559999999999</c:v>
                </c:pt>
                <c:pt idx="8">
                  <c:v>6.2423039999999999</c:v>
                </c:pt>
                <c:pt idx="9">
                  <c:v>6.4757759999999998</c:v>
                </c:pt>
                <c:pt idx="10">
                  <c:v>8.1756159999999998</c:v>
                </c:pt>
                <c:pt idx="11">
                  <c:v>6.7338240000000003</c:v>
                </c:pt>
                <c:pt idx="12">
                  <c:v>6.2054400000000003</c:v>
                </c:pt>
                <c:pt idx="13">
                  <c:v>6.4716800000000001</c:v>
                </c:pt>
                <c:pt idx="14">
                  <c:v>9.8672640000000005</c:v>
                </c:pt>
                <c:pt idx="15">
                  <c:v>8.6958079999999995</c:v>
                </c:pt>
                <c:pt idx="16">
                  <c:v>9.7443840000000002</c:v>
                </c:pt>
                <c:pt idx="17">
                  <c:v>6.5986560000000001</c:v>
                </c:pt>
                <c:pt idx="18">
                  <c:v>7.6513280000000004</c:v>
                </c:pt>
                <c:pt idx="19">
                  <c:v>7.1352320000000002</c:v>
                </c:pt>
                <c:pt idx="20">
                  <c:v>7.3482240000000001</c:v>
                </c:pt>
                <c:pt idx="21">
                  <c:v>7.909376</c:v>
                </c:pt>
                <c:pt idx="22">
                  <c:v>7.6472319999999998</c:v>
                </c:pt>
                <c:pt idx="23">
                  <c:v>7.708672</c:v>
                </c:pt>
                <c:pt idx="24">
                  <c:v>338.931712</c:v>
                </c:pt>
                <c:pt idx="25">
                  <c:v>6.9918719999999999</c:v>
                </c:pt>
                <c:pt idx="26">
                  <c:v>22.58944</c:v>
                </c:pt>
                <c:pt idx="27">
                  <c:v>8.0363520000000008</c:v>
                </c:pt>
                <c:pt idx="28">
                  <c:v>7.2622080000000002</c:v>
                </c:pt>
                <c:pt idx="29">
                  <c:v>8.2534399999999994</c:v>
                </c:pt>
                <c:pt idx="30">
                  <c:v>8.0404479999999996</c:v>
                </c:pt>
                <c:pt idx="31">
                  <c:v>7.3891840000000002</c:v>
                </c:pt>
                <c:pt idx="32">
                  <c:v>8.3066879999999994</c:v>
                </c:pt>
                <c:pt idx="33">
                  <c:v>8.7080959999999994</c:v>
                </c:pt>
                <c:pt idx="34">
                  <c:v>7.4670079999999999</c:v>
                </c:pt>
                <c:pt idx="35">
                  <c:v>7.9175680000000002</c:v>
                </c:pt>
                <c:pt idx="36">
                  <c:v>141.34067200000001</c:v>
                </c:pt>
                <c:pt idx="37">
                  <c:v>8.8391680000000008</c:v>
                </c:pt>
                <c:pt idx="38">
                  <c:v>9.2282879999999992</c:v>
                </c:pt>
                <c:pt idx="39">
                  <c:v>106.217472</c:v>
                </c:pt>
                <c:pt idx="40">
                  <c:v>17.887232000000001</c:v>
                </c:pt>
                <c:pt idx="41">
                  <c:v>2277.56032</c:v>
                </c:pt>
                <c:pt idx="42">
                  <c:v>13.414400000000001</c:v>
                </c:pt>
              </c:numCache>
            </c:numRef>
          </c:yVal>
          <c:smooth val="0"/>
          <c:extLst>
            <c:ext xmlns:c16="http://schemas.microsoft.com/office/drawing/2014/chart" uri="{C3380CC4-5D6E-409C-BE32-E72D297353CC}">
              <c16:uniqueId val="{00000002-B341-4D41-B85F-B856A9081B76}"/>
            </c:ext>
          </c:extLst>
        </c:ser>
        <c:dLbls>
          <c:showLegendKey val="0"/>
          <c:showVal val="0"/>
          <c:showCatName val="0"/>
          <c:showSerName val="0"/>
          <c:showPercent val="0"/>
          <c:showBubbleSize val="0"/>
        </c:dLbls>
        <c:axId val="1189865152"/>
        <c:axId val="1296493472"/>
      </c:scatterChart>
      <c:valAx>
        <c:axId val="118986515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493472"/>
        <c:crosses val="autoZero"/>
        <c:crossBetween val="midCat"/>
      </c:valAx>
      <c:valAx>
        <c:axId val="129649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8651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SCRAM-CCF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'Results-SCRAM-CCF'!$C$1</c:f>
              <c:strCache>
                <c:ptCount val="1"/>
                <c:pt idx="0">
                  <c:v>CPU Time -BDD</c:v>
                </c:pt>
              </c:strCache>
            </c:strRef>
          </c:tx>
          <c:spPr>
            <a:ln w="19050" cap="rnd">
              <a:noFill/>
              <a:round/>
            </a:ln>
            <a:effectLst/>
          </c:spPr>
          <c:marker>
            <c:symbol val="circle"/>
            <c:size val="5"/>
            <c:spPr>
              <a:solidFill>
                <a:schemeClr val="accent1"/>
              </a:solidFill>
              <a:ln w="9525">
                <a:solidFill>
                  <a:schemeClr val="accent1"/>
                </a:solidFill>
              </a:ln>
              <a:effectLst/>
            </c:spPr>
          </c:marker>
          <c:xVal>
            <c:strRef>
              <c:f>'Results-SCRAM-CCF'!$A$2:$A$13</c:f>
              <c:strCache>
                <c:ptCount val="11"/>
                <c:pt idx="0">
                  <c:v>ccf1-100-05</c:v>
                </c:pt>
                <c:pt idx="1">
                  <c:v>ccf2-100-05</c:v>
                </c:pt>
                <c:pt idx="2">
                  <c:v>ccf3-100-05</c:v>
                </c:pt>
                <c:pt idx="3">
                  <c:v>ccf4-100-05</c:v>
                </c:pt>
                <c:pt idx="4">
                  <c:v>ccf5-100-05</c:v>
                </c:pt>
                <c:pt idx="5">
                  <c:v>ccf1-200-05</c:v>
                </c:pt>
                <c:pt idx="6">
                  <c:v>ccf2-200-05</c:v>
                </c:pt>
                <c:pt idx="7">
                  <c:v>ccf3-200-05</c:v>
                </c:pt>
                <c:pt idx="8">
                  <c:v>ccf4-200-05</c:v>
                </c:pt>
                <c:pt idx="9">
                  <c:v>ccf1-300-05</c:v>
                </c:pt>
                <c:pt idx="10">
                  <c:v>ccf2-300-05</c:v>
                </c:pt>
              </c:strCache>
            </c:strRef>
          </c:xVal>
          <c:yVal>
            <c:numRef>
              <c:f>'Results-SCRAM-CCF'!$C$2:$C$13</c:f>
              <c:numCache>
                <c:formatCode>General</c:formatCode>
                <c:ptCount val="12"/>
                <c:pt idx="0">
                  <c:v>0.112576778</c:v>
                </c:pt>
                <c:pt idx="1">
                  <c:v>2.84156977</c:v>
                </c:pt>
                <c:pt idx="2">
                  <c:v>48.333348209999997</c:v>
                </c:pt>
                <c:pt idx="3">
                  <c:v>901.00027503900003</c:v>
                </c:pt>
                <c:pt idx="4">
                  <c:v>901.00263383100003</c:v>
                </c:pt>
                <c:pt idx="5">
                  <c:v>1.176530842</c:v>
                </c:pt>
                <c:pt idx="6">
                  <c:v>16.807068467000001</c:v>
                </c:pt>
                <c:pt idx="7">
                  <c:v>152.107668872</c:v>
                </c:pt>
                <c:pt idx="8">
                  <c:v>901.01205639900002</c:v>
                </c:pt>
                <c:pt idx="9">
                  <c:v>901.023330418</c:v>
                </c:pt>
                <c:pt idx="10">
                  <c:v>900.55485027700001</c:v>
                </c:pt>
              </c:numCache>
            </c:numRef>
          </c:yVal>
          <c:smooth val="0"/>
          <c:extLst>
            <c:ext xmlns:c16="http://schemas.microsoft.com/office/drawing/2014/chart" uri="{C3380CC4-5D6E-409C-BE32-E72D297353CC}">
              <c16:uniqueId val="{00000000-89D0-4B9C-9F39-39675936A53A}"/>
            </c:ext>
          </c:extLst>
        </c:ser>
        <c:ser>
          <c:idx val="1"/>
          <c:order val="1"/>
          <c:tx>
            <c:strRef>
              <c:f>'Results-SCRAM-CCF'!$N$1</c:f>
              <c:strCache>
                <c:ptCount val="1"/>
                <c:pt idx="0">
                  <c:v>CPU Time-Mocus</c:v>
                </c:pt>
              </c:strCache>
            </c:strRef>
          </c:tx>
          <c:spPr>
            <a:ln w="19050" cap="rnd">
              <a:noFill/>
              <a:round/>
            </a:ln>
            <a:effectLst/>
          </c:spPr>
          <c:marker>
            <c:symbol val="circle"/>
            <c:size val="5"/>
            <c:spPr>
              <a:solidFill>
                <a:schemeClr val="accent2"/>
              </a:solidFill>
              <a:ln w="9525">
                <a:solidFill>
                  <a:schemeClr val="accent2"/>
                </a:solidFill>
              </a:ln>
              <a:effectLst/>
            </c:spPr>
          </c:marker>
          <c:xVal>
            <c:strRef>
              <c:f>'Results-SCRAM-CCF'!$A$2:$A$13</c:f>
              <c:strCache>
                <c:ptCount val="11"/>
                <c:pt idx="0">
                  <c:v>ccf1-100-05</c:v>
                </c:pt>
                <c:pt idx="1">
                  <c:v>ccf2-100-05</c:v>
                </c:pt>
                <c:pt idx="2">
                  <c:v>ccf3-100-05</c:v>
                </c:pt>
                <c:pt idx="3">
                  <c:v>ccf4-100-05</c:v>
                </c:pt>
                <c:pt idx="4">
                  <c:v>ccf5-100-05</c:v>
                </c:pt>
                <c:pt idx="5">
                  <c:v>ccf1-200-05</c:v>
                </c:pt>
                <c:pt idx="6">
                  <c:v>ccf2-200-05</c:v>
                </c:pt>
                <c:pt idx="7">
                  <c:v>ccf3-200-05</c:v>
                </c:pt>
                <c:pt idx="8">
                  <c:v>ccf4-200-05</c:v>
                </c:pt>
                <c:pt idx="9">
                  <c:v>ccf1-300-05</c:v>
                </c:pt>
                <c:pt idx="10">
                  <c:v>ccf2-300-05</c:v>
                </c:pt>
              </c:strCache>
            </c:strRef>
          </c:xVal>
          <c:yVal>
            <c:numRef>
              <c:f>'Results-SCRAM-CCF'!$N$2:$N$13</c:f>
              <c:numCache>
                <c:formatCode>General</c:formatCode>
                <c:ptCount val="12"/>
                <c:pt idx="0">
                  <c:v>0.11676247300000001</c:v>
                </c:pt>
                <c:pt idx="1">
                  <c:v>3.1006338119999999</c:v>
                </c:pt>
                <c:pt idx="2">
                  <c:v>49.136650009</c:v>
                </c:pt>
                <c:pt idx="3">
                  <c:v>901.00157390100003</c:v>
                </c:pt>
                <c:pt idx="4">
                  <c:v>901.00181766000003</c:v>
                </c:pt>
                <c:pt idx="5">
                  <c:v>1.1896825529999999</c:v>
                </c:pt>
                <c:pt idx="6">
                  <c:v>16.816384222</c:v>
                </c:pt>
                <c:pt idx="7">
                  <c:v>149.539492276</c:v>
                </c:pt>
                <c:pt idx="8">
                  <c:v>900.40765734199999</c:v>
                </c:pt>
                <c:pt idx="9">
                  <c:v>901.00434332299994</c:v>
                </c:pt>
                <c:pt idx="10">
                  <c:v>900.488247935</c:v>
                </c:pt>
              </c:numCache>
            </c:numRef>
          </c:yVal>
          <c:smooth val="0"/>
          <c:extLst>
            <c:ext xmlns:c16="http://schemas.microsoft.com/office/drawing/2014/chart" uri="{C3380CC4-5D6E-409C-BE32-E72D297353CC}">
              <c16:uniqueId val="{00000001-89D0-4B9C-9F39-39675936A53A}"/>
            </c:ext>
          </c:extLst>
        </c:ser>
        <c:ser>
          <c:idx val="2"/>
          <c:order val="2"/>
          <c:tx>
            <c:strRef>
              <c:f>'Results-SCRAM-CCF'!$X$1</c:f>
              <c:strCache>
                <c:ptCount val="1"/>
                <c:pt idx="0">
                  <c:v>CPU Time-zbdd</c:v>
                </c:pt>
              </c:strCache>
            </c:strRef>
          </c:tx>
          <c:spPr>
            <a:ln w="19050" cap="rnd">
              <a:noFill/>
              <a:round/>
            </a:ln>
            <a:effectLst/>
          </c:spPr>
          <c:marker>
            <c:symbol val="circle"/>
            <c:size val="5"/>
            <c:spPr>
              <a:solidFill>
                <a:schemeClr val="accent3"/>
              </a:solidFill>
              <a:ln w="9525">
                <a:solidFill>
                  <a:schemeClr val="accent3"/>
                </a:solidFill>
              </a:ln>
              <a:effectLst/>
            </c:spPr>
          </c:marker>
          <c:xVal>
            <c:strRef>
              <c:f>'Results-SCRAM-CCF'!$A$2:$A$13</c:f>
              <c:strCache>
                <c:ptCount val="11"/>
                <c:pt idx="0">
                  <c:v>ccf1-100-05</c:v>
                </c:pt>
                <c:pt idx="1">
                  <c:v>ccf2-100-05</c:v>
                </c:pt>
                <c:pt idx="2">
                  <c:v>ccf3-100-05</c:v>
                </c:pt>
                <c:pt idx="3">
                  <c:v>ccf4-100-05</c:v>
                </c:pt>
                <c:pt idx="4">
                  <c:v>ccf5-100-05</c:v>
                </c:pt>
                <c:pt idx="5">
                  <c:v>ccf1-200-05</c:v>
                </c:pt>
                <c:pt idx="6">
                  <c:v>ccf2-200-05</c:v>
                </c:pt>
                <c:pt idx="7">
                  <c:v>ccf3-200-05</c:v>
                </c:pt>
                <c:pt idx="8">
                  <c:v>ccf4-200-05</c:v>
                </c:pt>
                <c:pt idx="9">
                  <c:v>ccf1-300-05</c:v>
                </c:pt>
                <c:pt idx="10">
                  <c:v>ccf2-300-05</c:v>
                </c:pt>
              </c:strCache>
            </c:strRef>
          </c:xVal>
          <c:yVal>
            <c:numRef>
              <c:f>'Results-SCRAM-CCF'!$X$2:$X$13</c:f>
              <c:numCache>
                <c:formatCode>General</c:formatCode>
                <c:ptCount val="12"/>
                <c:pt idx="0">
                  <c:v>0.102610805</c:v>
                </c:pt>
                <c:pt idx="1">
                  <c:v>2.8968663480000001</c:v>
                </c:pt>
                <c:pt idx="2">
                  <c:v>48.459245586999998</c:v>
                </c:pt>
                <c:pt idx="3">
                  <c:v>901.002709106</c:v>
                </c:pt>
                <c:pt idx="4">
                  <c:v>900.99725093200004</c:v>
                </c:pt>
                <c:pt idx="5">
                  <c:v>1.153946672</c:v>
                </c:pt>
                <c:pt idx="6">
                  <c:v>17.221681088</c:v>
                </c:pt>
                <c:pt idx="7">
                  <c:v>149.64532529300001</c:v>
                </c:pt>
                <c:pt idx="8">
                  <c:v>900.45720542200002</c:v>
                </c:pt>
                <c:pt idx="9">
                  <c:v>901.00386247400002</c:v>
                </c:pt>
                <c:pt idx="10">
                  <c:v>900.75656670000001</c:v>
                </c:pt>
              </c:numCache>
            </c:numRef>
          </c:yVal>
          <c:smooth val="0"/>
          <c:extLst>
            <c:ext xmlns:c16="http://schemas.microsoft.com/office/drawing/2014/chart" uri="{C3380CC4-5D6E-409C-BE32-E72D297353CC}">
              <c16:uniqueId val="{00000002-89D0-4B9C-9F39-39675936A53A}"/>
            </c:ext>
          </c:extLst>
        </c:ser>
        <c:dLbls>
          <c:showLegendKey val="0"/>
          <c:showVal val="0"/>
          <c:showCatName val="0"/>
          <c:showSerName val="0"/>
          <c:showPercent val="0"/>
          <c:showBubbleSize val="0"/>
        </c:dLbls>
        <c:axId val="1518883552"/>
        <c:axId val="726701632"/>
      </c:scatterChart>
      <c:valAx>
        <c:axId val="151888355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01632"/>
        <c:crosses val="autoZero"/>
        <c:crossBetween val="midCat"/>
      </c:valAx>
      <c:valAx>
        <c:axId val="72670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8835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SCRAM</a:t>
            </a:r>
            <a:r>
              <a:rPr lang="en-US" baseline="0"/>
              <a:t> CCF</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'Results-SCRAM-CCF'!$E$1</c:f>
              <c:strCache>
                <c:ptCount val="1"/>
                <c:pt idx="0">
                  <c:v>Memory-BDD</c:v>
                </c:pt>
              </c:strCache>
            </c:strRef>
          </c:tx>
          <c:spPr>
            <a:ln w="19050" cap="rnd">
              <a:noFill/>
              <a:round/>
            </a:ln>
            <a:effectLst/>
          </c:spPr>
          <c:marker>
            <c:symbol val="circle"/>
            <c:size val="5"/>
            <c:spPr>
              <a:solidFill>
                <a:schemeClr val="accent1"/>
              </a:solidFill>
              <a:ln w="9525">
                <a:solidFill>
                  <a:schemeClr val="accent1"/>
                </a:solidFill>
              </a:ln>
              <a:effectLst/>
            </c:spPr>
          </c:marker>
          <c:xVal>
            <c:strRef>
              <c:f>'Results-SCRAM-CCF'!$A$2:$A$12</c:f>
              <c:strCache>
                <c:ptCount val="11"/>
                <c:pt idx="0">
                  <c:v>ccf1-100-05</c:v>
                </c:pt>
                <c:pt idx="1">
                  <c:v>ccf2-100-05</c:v>
                </c:pt>
                <c:pt idx="2">
                  <c:v>ccf3-100-05</c:v>
                </c:pt>
                <c:pt idx="3">
                  <c:v>ccf4-100-05</c:v>
                </c:pt>
                <c:pt idx="4">
                  <c:v>ccf5-100-05</c:v>
                </c:pt>
                <c:pt idx="5">
                  <c:v>ccf1-200-05</c:v>
                </c:pt>
                <c:pt idx="6">
                  <c:v>ccf2-200-05</c:v>
                </c:pt>
                <c:pt idx="7">
                  <c:v>ccf3-200-05</c:v>
                </c:pt>
                <c:pt idx="8">
                  <c:v>ccf4-200-05</c:v>
                </c:pt>
                <c:pt idx="9">
                  <c:v>ccf1-300-05</c:v>
                </c:pt>
                <c:pt idx="10">
                  <c:v>ccf2-300-05</c:v>
                </c:pt>
              </c:strCache>
            </c:strRef>
          </c:xVal>
          <c:yVal>
            <c:numRef>
              <c:f>'Results-SCRAM-CCF'!$E$2:$E$12</c:f>
              <c:numCache>
                <c:formatCode>General</c:formatCode>
                <c:ptCount val="11"/>
                <c:pt idx="0">
                  <c:v>6.3283199999999997</c:v>
                </c:pt>
                <c:pt idx="1">
                  <c:v>6.6969599999999998</c:v>
                </c:pt>
                <c:pt idx="2">
                  <c:v>6.9918719999999999</c:v>
                </c:pt>
                <c:pt idx="3">
                  <c:v>7.3236480000000004</c:v>
                </c:pt>
                <c:pt idx="4">
                  <c:v>7.9134719999999996</c:v>
                </c:pt>
                <c:pt idx="5">
                  <c:v>7.2581119999999997</c:v>
                </c:pt>
                <c:pt idx="6">
                  <c:v>13.021184</c:v>
                </c:pt>
                <c:pt idx="7">
                  <c:v>78.917631999999998</c:v>
                </c:pt>
                <c:pt idx="8">
                  <c:v>101.76512</c:v>
                </c:pt>
                <c:pt idx="9">
                  <c:v>274.08793600000001</c:v>
                </c:pt>
                <c:pt idx="10">
                  <c:v>275.95571200000001</c:v>
                </c:pt>
              </c:numCache>
            </c:numRef>
          </c:yVal>
          <c:smooth val="0"/>
          <c:extLst>
            <c:ext xmlns:c16="http://schemas.microsoft.com/office/drawing/2014/chart" uri="{C3380CC4-5D6E-409C-BE32-E72D297353CC}">
              <c16:uniqueId val="{00000000-DFEE-41EE-ACF4-B4C871335DAB}"/>
            </c:ext>
          </c:extLst>
        </c:ser>
        <c:ser>
          <c:idx val="1"/>
          <c:order val="1"/>
          <c:tx>
            <c:strRef>
              <c:f>'Results-SCRAM-CCF'!$P$1</c:f>
              <c:strCache>
                <c:ptCount val="1"/>
                <c:pt idx="0">
                  <c:v>Memory-Mocus</c:v>
                </c:pt>
              </c:strCache>
            </c:strRef>
          </c:tx>
          <c:spPr>
            <a:ln w="19050" cap="rnd">
              <a:noFill/>
              <a:round/>
            </a:ln>
            <a:effectLst/>
          </c:spPr>
          <c:marker>
            <c:symbol val="circle"/>
            <c:size val="5"/>
            <c:spPr>
              <a:solidFill>
                <a:schemeClr val="accent2"/>
              </a:solidFill>
              <a:ln w="9525">
                <a:solidFill>
                  <a:schemeClr val="accent2"/>
                </a:solidFill>
              </a:ln>
              <a:effectLst/>
            </c:spPr>
          </c:marker>
          <c:xVal>
            <c:strRef>
              <c:f>'Results-SCRAM-CCF'!$A$2:$A$12</c:f>
              <c:strCache>
                <c:ptCount val="11"/>
                <c:pt idx="0">
                  <c:v>ccf1-100-05</c:v>
                </c:pt>
                <c:pt idx="1">
                  <c:v>ccf2-100-05</c:v>
                </c:pt>
                <c:pt idx="2">
                  <c:v>ccf3-100-05</c:v>
                </c:pt>
                <c:pt idx="3">
                  <c:v>ccf4-100-05</c:v>
                </c:pt>
                <c:pt idx="4">
                  <c:v>ccf5-100-05</c:v>
                </c:pt>
                <c:pt idx="5">
                  <c:v>ccf1-200-05</c:v>
                </c:pt>
                <c:pt idx="6">
                  <c:v>ccf2-200-05</c:v>
                </c:pt>
                <c:pt idx="7">
                  <c:v>ccf3-200-05</c:v>
                </c:pt>
                <c:pt idx="8">
                  <c:v>ccf4-200-05</c:v>
                </c:pt>
                <c:pt idx="9">
                  <c:v>ccf1-300-05</c:v>
                </c:pt>
                <c:pt idx="10">
                  <c:v>ccf2-300-05</c:v>
                </c:pt>
              </c:strCache>
            </c:strRef>
          </c:xVal>
          <c:yVal>
            <c:numRef>
              <c:f>'Results-SCRAM-CCF'!$P$2:$P$12</c:f>
              <c:numCache>
                <c:formatCode>General</c:formatCode>
                <c:ptCount val="11"/>
                <c:pt idx="0">
                  <c:v>6.1972480000000001</c:v>
                </c:pt>
                <c:pt idx="1">
                  <c:v>6.5986560000000001</c:v>
                </c:pt>
                <c:pt idx="2">
                  <c:v>6.8567039999999997</c:v>
                </c:pt>
                <c:pt idx="3">
                  <c:v>7.254016</c:v>
                </c:pt>
                <c:pt idx="4">
                  <c:v>7.5161600000000002</c:v>
                </c:pt>
                <c:pt idx="5">
                  <c:v>6.7215360000000004</c:v>
                </c:pt>
                <c:pt idx="6">
                  <c:v>7.5161600000000002</c:v>
                </c:pt>
                <c:pt idx="7">
                  <c:v>8.3025920000000006</c:v>
                </c:pt>
                <c:pt idx="8">
                  <c:v>9.3511679999999995</c:v>
                </c:pt>
                <c:pt idx="9">
                  <c:v>10.911744000000001</c:v>
                </c:pt>
                <c:pt idx="10">
                  <c:v>11.321344</c:v>
                </c:pt>
              </c:numCache>
            </c:numRef>
          </c:yVal>
          <c:smooth val="0"/>
          <c:extLst>
            <c:ext xmlns:c16="http://schemas.microsoft.com/office/drawing/2014/chart" uri="{C3380CC4-5D6E-409C-BE32-E72D297353CC}">
              <c16:uniqueId val="{00000001-DFEE-41EE-ACF4-B4C871335DAB}"/>
            </c:ext>
          </c:extLst>
        </c:ser>
        <c:ser>
          <c:idx val="2"/>
          <c:order val="2"/>
          <c:tx>
            <c:strRef>
              <c:f>'Results-SCRAM-CCF'!$Z$1</c:f>
              <c:strCache>
                <c:ptCount val="1"/>
                <c:pt idx="0">
                  <c:v>Memory-zbdd</c:v>
                </c:pt>
              </c:strCache>
            </c:strRef>
          </c:tx>
          <c:spPr>
            <a:ln w="19050" cap="rnd">
              <a:noFill/>
              <a:round/>
            </a:ln>
            <a:effectLst/>
          </c:spPr>
          <c:marker>
            <c:symbol val="circle"/>
            <c:size val="5"/>
            <c:spPr>
              <a:solidFill>
                <a:schemeClr val="accent3"/>
              </a:solidFill>
              <a:ln w="9525">
                <a:solidFill>
                  <a:schemeClr val="accent3"/>
                </a:solidFill>
              </a:ln>
              <a:effectLst/>
            </c:spPr>
          </c:marker>
          <c:xVal>
            <c:strRef>
              <c:f>'Results-SCRAM-CCF'!$A$2:$A$12</c:f>
              <c:strCache>
                <c:ptCount val="11"/>
                <c:pt idx="0">
                  <c:v>ccf1-100-05</c:v>
                </c:pt>
                <c:pt idx="1">
                  <c:v>ccf2-100-05</c:v>
                </c:pt>
                <c:pt idx="2">
                  <c:v>ccf3-100-05</c:v>
                </c:pt>
                <c:pt idx="3">
                  <c:v>ccf4-100-05</c:v>
                </c:pt>
                <c:pt idx="4">
                  <c:v>ccf5-100-05</c:v>
                </c:pt>
                <c:pt idx="5">
                  <c:v>ccf1-200-05</c:v>
                </c:pt>
                <c:pt idx="6">
                  <c:v>ccf2-200-05</c:v>
                </c:pt>
                <c:pt idx="7">
                  <c:v>ccf3-200-05</c:v>
                </c:pt>
                <c:pt idx="8">
                  <c:v>ccf4-200-05</c:v>
                </c:pt>
                <c:pt idx="9">
                  <c:v>ccf1-300-05</c:v>
                </c:pt>
                <c:pt idx="10">
                  <c:v>ccf2-300-05</c:v>
                </c:pt>
              </c:strCache>
            </c:strRef>
          </c:xVal>
          <c:yVal>
            <c:numRef>
              <c:f>'Results-SCRAM-CCF'!$Z$2:$Z$12</c:f>
              <c:numCache>
                <c:formatCode>General</c:formatCode>
                <c:ptCount val="11"/>
                <c:pt idx="0">
                  <c:v>6.1931520000000004</c:v>
                </c:pt>
                <c:pt idx="1">
                  <c:v>6.5617919999999996</c:v>
                </c:pt>
                <c:pt idx="2">
                  <c:v>6.9017600000000003</c:v>
                </c:pt>
                <c:pt idx="3">
                  <c:v>7.254016</c:v>
                </c:pt>
                <c:pt idx="4">
                  <c:v>7.5980800000000004</c:v>
                </c:pt>
                <c:pt idx="5">
                  <c:v>6.7624959999999996</c:v>
                </c:pt>
                <c:pt idx="6">
                  <c:v>7.6513280000000004</c:v>
                </c:pt>
                <c:pt idx="7">
                  <c:v>8.6958079999999995</c:v>
                </c:pt>
                <c:pt idx="8">
                  <c:v>9.4822399999999991</c:v>
                </c:pt>
                <c:pt idx="9">
                  <c:v>12.767232</c:v>
                </c:pt>
                <c:pt idx="10">
                  <c:v>13.156352</c:v>
                </c:pt>
              </c:numCache>
            </c:numRef>
          </c:yVal>
          <c:smooth val="0"/>
          <c:extLst>
            <c:ext xmlns:c16="http://schemas.microsoft.com/office/drawing/2014/chart" uri="{C3380CC4-5D6E-409C-BE32-E72D297353CC}">
              <c16:uniqueId val="{00000002-DFEE-41EE-ACF4-B4C871335DAB}"/>
            </c:ext>
          </c:extLst>
        </c:ser>
        <c:dLbls>
          <c:showLegendKey val="0"/>
          <c:showVal val="0"/>
          <c:showCatName val="0"/>
          <c:showSerName val="0"/>
          <c:showPercent val="0"/>
          <c:showBubbleSize val="0"/>
        </c:dLbls>
        <c:axId val="1866911184"/>
        <c:axId val="1148697904"/>
      </c:scatterChart>
      <c:valAx>
        <c:axId val="186691118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697904"/>
        <c:crosses val="autoZero"/>
        <c:crossBetween val="midCat"/>
      </c:valAx>
      <c:valAx>
        <c:axId val="114869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9111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'result-all-time-memory-non-ccf'!$B$1</c:f>
              <c:strCache>
                <c:ptCount val="1"/>
                <c:pt idx="0">
                  <c:v>Time-XFTA</c:v>
                </c:pt>
              </c:strCache>
            </c:strRef>
          </c:tx>
          <c:spPr>
            <a:ln w="19050" cap="rnd">
              <a:noFill/>
              <a:round/>
            </a:ln>
            <a:effectLst/>
          </c:spPr>
          <c:marker>
            <c:symbol val="circle"/>
            <c:size val="5"/>
            <c:spPr>
              <a:solidFill>
                <a:schemeClr val="accent1"/>
              </a:solidFill>
              <a:ln w="38100">
                <a:solidFill>
                  <a:srgbClr val="00B050"/>
                </a:solidFill>
              </a:ln>
              <a:effectLst/>
            </c:spPr>
          </c:marker>
          <c:xVal>
            <c:strRef>
              <c:f>'result-all-time-memory-non-ccf'!$A$2:$A$172</c:f>
              <c:strCache>
                <c:ptCount val="170"/>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8000-06</c:v>
                </c:pt>
                <c:pt idx="149">
                  <c:v>8000-07</c:v>
                </c:pt>
                <c:pt idx="150">
                  <c:v>8000-08</c:v>
                </c:pt>
                <c:pt idx="151">
                  <c:v>8000-09</c:v>
                </c:pt>
                <c:pt idx="152">
                  <c:v>9000-01</c:v>
                </c:pt>
                <c:pt idx="153">
                  <c:v>9000-02</c:v>
                </c:pt>
                <c:pt idx="154">
                  <c:v>9000-03</c:v>
                </c:pt>
                <c:pt idx="155">
                  <c:v>9000-04</c:v>
                </c:pt>
                <c:pt idx="156">
                  <c:v>9000-05</c:v>
                </c:pt>
                <c:pt idx="157">
                  <c:v>9000-06</c:v>
                </c:pt>
                <c:pt idx="158">
                  <c:v>9000-07</c:v>
                </c:pt>
                <c:pt idx="159">
                  <c:v>9000-08</c:v>
                </c:pt>
                <c:pt idx="160">
                  <c:v>9000-09</c:v>
                </c:pt>
                <c:pt idx="161">
                  <c:v>10000-01</c:v>
                </c:pt>
                <c:pt idx="162">
                  <c:v>10000-02</c:v>
                </c:pt>
                <c:pt idx="163">
                  <c:v>10000-03</c:v>
                </c:pt>
                <c:pt idx="164">
                  <c:v>10000-04</c:v>
                </c:pt>
                <c:pt idx="165">
                  <c:v>10000-05</c:v>
                </c:pt>
                <c:pt idx="166">
                  <c:v>10000-06</c:v>
                </c:pt>
                <c:pt idx="167">
                  <c:v>10000-07</c:v>
                </c:pt>
                <c:pt idx="168">
                  <c:v>10000-08</c:v>
                </c:pt>
                <c:pt idx="169">
                  <c:v>10000-09</c:v>
                </c:pt>
              </c:strCache>
            </c:strRef>
          </c:xVal>
          <c:yVal>
            <c:numRef>
              <c:f>'result-all-time-memory-non-ccf'!$B$2:$B$172</c:f>
              <c:numCache>
                <c:formatCode>General</c:formatCode>
                <c:ptCount val="171"/>
                <c:pt idx="0">
                  <c:v>1.6953402999999999E-2</c:v>
                </c:pt>
                <c:pt idx="1">
                  <c:v>4.5382770000000003E-2</c:v>
                </c:pt>
                <c:pt idx="2">
                  <c:v>1.2560768E-2</c:v>
                </c:pt>
                <c:pt idx="3">
                  <c:v>1.3638323000000001E-2</c:v>
                </c:pt>
                <c:pt idx="4">
                  <c:v>9.4328199999999997E-3</c:v>
                </c:pt>
                <c:pt idx="5">
                  <c:v>1.6098626000000001E-2</c:v>
                </c:pt>
                <c:pt idx="6">
                  <c:v>1.3807616E-2</c:v>
                </c:pt>
                <c:pt idx="7">
                  <c:v>6.6142083000000004E-2</c:v>
                </c:pt>
                <c:pt idx="8">
                  <c:v>8.8852788000000002E-2</c:v>
                </c:pt>
                <c:pt idx="9">
                  <c:v>2.2081136000000001E-2</c:v>
                </c:pt>
                <c:pt idx="10">
                  <c:v>15.944227986</c:v>
                </c:pt>
                <c:pt idx="11">
                  <c:v>0.74863363699999996</c:v>
                </c:pt>
                <c:pt idx="12">
                  <c:v>1.3838523E-2</c:v>
                </c:pt>
                <c:pt idx="13">
                  <c:v>5.4173114000000001E-2</c:v>
                </c:pt>
                <c:pt idx="14">
                  <c:v>0.23247991500000001</c:v>
                </c:pt>
                <c:pt idx="15">
                  <c:v>12.300958882</c:v>
                </c:pt>
                <c:pt idx="16">
                  <c:v>0.63706424900000003</c:v>
                </c:pt>
                <c:pt idx="17">
                  <c:v>36.293728373999997</c:v>
                </c:pt>
                <c:pt idx="18">
                  <c:v>117.95127764999999</c:v>
                </c:pt>
                <c:pt idx="19">
                  <c:v>0.47141182799999998</c:v>
                </c:pt>
                <c:pt idx="20">
                  <c:v>47.073838033000001</c:v>
                </c:pt>
                <c:pt idx="21">
                  <c:v>8.1267996379999996</c:v>
                </c:pt>
                <c:pt idx="22">
                  <c:v>291.82163716399998</c:v>
                </c:pt>
                <c:pt idx="23">
                  <c:v>35.408349342999998</c:v>
                </c:pt>
                <c:pt idx="24">
                  <c:v>901.00777381499995</c:v>
                </c:pt>
                <c:pt idx="25">
                  <c:v>25.597309141</c:v>
                </c:pt>
                <c:pt idx="26">
                  <c:v>900.92862049500002</c:v>
                </c:pt>
                <c:pt idx="27">
                  <c:v>900.74834206699995</c:v>
                </c:pt>
                <c:pt idx="28">
                  <c:v>13.864054831000001</c:v>
                </c:pt>
                <c:pt idx="29">
                  <c:v>407.01192831100002</c:v>
                </c:pt>
                <c:pt idx="30">
                  <c:v>10.800777144</c:v>
                </c:pt>
                <c:pt idx="31">
                  <c:v>901.13218284100003</c:v>
                </c:pt>
                <c:pt idx="32">
                  <c:v>900.85202931100002</c:v>
                </c:pt>
                <c:pt idx="33">
                  <c:v>900.88687360500001</c:v>
                </c:pt>
                <c:pt idx="34">
                  <c:v>93.173343153999994</c:v>
                </c:pt>
                <c:pt idx="35">
                  <c:v>900.82679099799998</c:v>
                </c:pt>
                <c:pt idx="36">
                  <c:v>900.78059242799998</c:v>
                </c:pt>
                <c:pt idx="37">
                  <c:v>901.37485943399997</c:v>
                </c:pt>
                <c:pt idx="38">
                  <c:v>900.93878734400005</c:v>
                </c:pt>
                <c:pt idx="39">
                  <c:v>900.810939072</c:v>
                </c:pt>
                <c:pt idx="40">
                  <c:v>900.87189405100003</c:v>
                </c:pt>
                <c:pt idx="41">
                  <c:v>901.07793587599997</c:v>
                </c:pt>
                <c:pt idx="42">
                  <c:v>900.95889763100001</c:v>
                </c:pt>
                <c:pt idx="43">
                  <c:v>901.00248387600004</c:v>
                </c:pt>
                <c:pt idx="44">
                  <c:v>900.87773544000004</c:v>
                </c:pt>
                <c:pt idx="45">
                  <c:v>331.165915606</c:v>
                </c:pt>
                <c:pt idx="46">
                  <c:v>900.81272400299997</c:v>
                </c:pt>
                <c:pt idx="47">
                  <c:v>900.87768339700006</c:v>
                </c:pt>
                <c:pt idx="48">
                  <c:v>900.925563173</c:v>
                </c:pt>
                <c:pt idx="49">
                  <c:v>901.15854377300002</c:v>
                </c:pt>
                <c:pt idx="50">
                  <c:v>900.76827263300004</c:v>
                </c:pt>
                <c:pt idx="51">
                  <c:v>900.88072450899995</c:v>
                </c:pt>
                <c:pt idx="52">
                  <c:v>901.18286816800003</c:v>
                </c:pt>
                <c:pt idx="53">
                  <c:v>900.96823671200002</c:v>
                </c:pt>
                <c:pt idx="54">
                  <c:v>900.79357258000005</c:v>
                </c:pt>
                <c:pt idx="55">
                  <c:v>900.96843992599997</c:v>
                </c:pt>
                <c:pt idx="56">
                  <c:v>901.20484260600006</c:v>
                </c:pt>
                <c:pt idx="57">
                  <c:v>900.77283309999996</c:v>
                </c:pt>
                <c:pt idx="58">
                  <c:v>900.85022544599997</c:v>
                </c:pt>
                <c:pt idx="59">
                  <c:v>900.93356704799999</c:v>
                </c:pt>
                <c:pt idx="60">
                  <c:v>901.047992948</c:v>
                </c:pt>
                <c:pt idx="61">
                  <c:v>901.16769831600004</c:v>
                </c:pt>
                <c:pt idx="62">
                  <c:v>900.74243974199999</c:v>
                </c:pt>
                <c:pt idx="63">
                  <c:v>900.79568851399995</c:v>
                </c:pt>
                <c:pt idx="64">
                  <c:v>900.78341407899995</c:v>
                </c:pt>
                <c:pt idx="65">
                  <c:v>900.77846428999999</c:v>
                </c:pt>
                <c:pt idx="66">
                  <c:v>901.072551223</c:v>
                </c:pt>
                <c:pt idx="67">
                  <c:v>900.76594906900004</c:v>
                </c:pt>
                <c:pt idx="68">
                  <c:v>900.86959834200002</c:v>
                </c:pt>
                <c:pt idx="69">
                  <c:v>900.78949112800001</c:v>
                </c:pt>
                <c:pt idx="70">
                  <c:v>900.81913199400003</c:v>
                </c:pt>
                <c:pt idx="71">
                  <c:v>900.97179104899999</c:v>
                </c:pt>
                <c:pt idx="72">
                  <c:v>900.77038826700004</c:v>
                </c:pt>
                <c:pt idx="73">
                  <c:v>901.00912320199996</c:v>
                </c:pt>
                <c:pt idx="74">
                  <c:v>900.75556908500005</c:v>
                </c:pt>
                <c:pt idx="75">
                  <c:v>228.68153602300001</c:v>
                </c:pt>
                <c:pt idx="76">
                  <c:v>900.862476582</c:v>
                </c:pt>
                <c:pt idx="77">
                  <c:v>900.89595260299996</c:v>
                </c:pt>
                <c:pt idx="78">
                  <c:v>901.07092198500004</c:v>
                </c:pt>
                <c:pt idx="79">
                  <c:v>900.85593919899998</c:v>
                </c:pt>
                <c:pt idx="80">
                  <c:v>901.02116360499997</c:v>
                </c:pt>
                <c:pt idx="81">
                  <c:v>901.00047115500001</c:v>
                </c:pt>
                <c:pt idx="82">
                  <c:v>900.83241027999998</c:v>
                </c:pt>
                <c:pt idx="83">
                  <c:v>900.77084453800001</c:v>
                </c:pt>
                <c:pt idx="84">
                  <c:v>900.76551394099999</c:v>
                </c:pt>
                <c:pt idx="85">
                  <c:v>900.77851707100001</c:v>
                </c:pt>
                <c:pt idx="86">
                  <c:v>900.74012675500001</c:v>
                </c:pt>
                <c:pt idx="87">
                  <c:v>900.75913920100004</c:v>
                </c:pt>
                <c:pt idx="88">
                  <c:v>900.82782379299999</c:v>
                </c:pt>
                <c:pt idx="89">
                  <c:v>900.91810222300001</c:v>
                </c:pt>
                <c:pt idx="90">
                  <c:v>900.76220696799999</c:v>
                </c:pt>
                <c:pt idx="91">
                  <c:v>901.09820253600003</c:v>
                </c:pt>
                <c:pt idx="92">
                  <c:v>900.764314754</c:v>
                </c:pt>
                <c:pt idx="93">
                  <c:v>900.84572386900004</c:v>
                </c:pt>
                <c:pt idx="94">
                  <c:v>900.73264975799998</c:v>
                </c:pt>
                <c:pt idx="95">
                  <c:v>900.81637403100001</c:v>
                </c:pt>
                <c:pt idx="96">
                  <c:v>900.93288090099998</c:v>
                </c:pt>
                <c:pt idx="97">
                  <c:v>900.9102901</c:v>
                </c:pt>
                <c:pt idx="98">
                  <c:v>900.90533058200003</c:v>
                </c:pt>
                <c:pt idx="99">
                  <c:v>900.87108974199998</c:v>
                </c:pt>
                <c:pt idx="100">
                  <c:v>900.87863586499998</c:v>
                </c:pt>
                <c:pt idx="101">
                  <c:v>900.73504119799998</c:v>
                </c:pt>
                <c:pt idx="102">
                  <c:v>900.85250902200005</c:v>
                </c:pt>
                <c:pt idx="103">
                  <c:v>900.81398503100002</c:v>
                </c:pt>
                <c:pt idx="104">
                  <c:v>900.94025027700002</c:v>
                </c:pt>
                <c:pt idx="105">
                  <c:v>900.85496887399995</c:v>
                </c:pt>
                <c:pt idx="106">
                  <c:v>900.891557326</c:v>
                </c:pt>
                <c:pt idx="107">
                  <c:v>900.90560273899996</c:v>
                </c:pt>
                <c:pt idx="108">
                  <c:v>900.74720129599996</c:v>
                </c:pt>
                <c:pt idx="109">
                  <c:v>900.91162946300005</c:v>
                </c:pt>
                <c:pt idx="110">
                  <c:v>900.93204216399999</c:v>
                </c:pt>
                <c:pt idx="111">
                  <c:v>900.91771075899999</c:v>
                </c:pt>
                <c:pt idx="112">
                  <c:v>900.95683289600004</c:v>
                </c:pt>
                <c:pt idx="113">
                  <c:v>900.87879863299997</c:v>
                </c:pt>
                <c:pt idx="114">
                  <c:v>900.77825263900002</c:v>
                </c:pt>
                <c:pt idx="115">
                  <c:v>900.99829753999995</c:v>
                </c:pt>
                <c:pt idx="116">
                  <c:v>900.74121887199999</c:v>
                </c:pt>
                <c:pt idx="117">
                  <c:v>900.77518786899998</c:v>
                </c:pt>
                <c:pt idx="118">
                  <c:v>900.80298086100004</c:v>
                </c:pt>
                <c:pt idx="119">
                  <c:v>900.94090768800004</c:v>
                </c:pt>
                <c:pt idx="120">
                  <c:v>900.862031602</c:v>
                </c:pt>
                <c:pt idx="121">
                  <c:v>901.05185324399997</c:v>
                </c:pt>
                <c:pt idx="122">
                  <c:v>901.00102486699996</c:v>
                </c:pt>
                <c:pt idx="123">
                  <c:v>900.83618965699998</c:v>
                </c:pt>
                <c:pt idx="124">
                  <c:v>900.77204757000004</c:v>
                </c:pt>
                <c:pt idx="125">
                  <c:v>900.81920304100004</c:v>
                </c:pt>
                <c:pt idx="126">
                  <c:v>900.83901082099999</c:v>
                </c:pt>
                <c:pt idx="127">
                  <c:v>900.82254214399995</c:v>
                </c:pt>
                <c:pt idx="128">
                  <c:v>900.83335722599998</c:v>
                </c:pt>
                <c:pt idx="129">
                  <c:v>900.81639956000004</c:v>
                </c:pt>
                <c:pt idx="130">
                  <c:v>900.98257803199999</c:v>
                </c:pt>
                <c:pt idx="131">
                  <c:v>900.95274760999996</c:v>
                </c:pt>
                <c:pt idx="132">
                  <c:v>900.79449045399997</c:v>
                </c:pt>
                <c:pt idx="133">
                  <c:v>900.69775133600001</c:v>
                </c:pt>
                <c:pt idx="134">
                  <c:v>900.90898924700002</c:v>
                </c:pt>
                <c:pt idx="135">
                  <c:v>900.94846311200001</c:v>
                </c:pt>
                <c:pt idx="136">
                  <c:v>900.79068190700002</c:v>
                </c:pt>
                <c:pt idx="137">
                  <c:v>900.79864279399999</c:v>
                </c:pt>
                <c:pt idx="138">
                  <c:v>900.90372567300005</c:v>
                </c:pt>
                <c:pt idx="139">
                  <c:v>900.83429346599996</c:v>
                </c:pt>
                <c:pt idx="140">
                  <c:v>900.93028137299996</c:v>
                </c:pt>
                <c:pt idx="141">
                  <c:v>900.77986779699995</c:v>
                </c:pt>
                <c:pt idx="142">
                  <c:v>900.81806850099997</c:v>
                </c:pt>
                <c:pt idx="143">
                  <c:v>900.99076471800004</c:v>
                </c:pt>
                <c:pt idx="144">
                  <c:v>900.932645278</c:v>
                </c:pt>
                <c:pt idx="145">
                  <c:v>0.31415659299999998</c:v>
                </c:pt>
                <c:pt idx="146">
                  <c:v>0.33215772599999999</c:v>
                </c:pt>
                <c:pt idx="147">
                  <c:v>0.34687832800000001</c:v>
                </c:pt>
                <c:pt idx="148">
                  <c:v>901.00079842299999</c:v>
                </c:pt>
                <c:pt idx="149">
                  <c:v>900.98803011200005</c:v>
                </c:pt>
                <c:pt idx="150">
                  <c:v>900.72392840400005</c:v>
                </c:pt>
                <c:pt idx="151">
                  <c:v>900.81777397200005</c:v>
                </c:pt>
                <c:pt idx="152">
                  <c:v>0.353304642</c:v>
                </c:pt>
                <c:pt idx="153">
                  <c:v>0.36328237499999999</c:v>
                </c:pt>
                <c:pt idx="154">
                  <c:v>0.38816826300000001</c:v>
                </c:pt>
                <c:pt idx="155">
                  <c:v>0.43550106700000002</c:v>
                </c:pt>
                <c:pt idx="156">
                  <c:v>0.4269194</c:v>
                </c:pt>
                <c:pt idx="157">
                  <c:v>0.46312501499999997</c:v>
                </c:pt>
                <c:pt idx="158">
                  <c:v>0.48315084899999999</c:v>
                </c:pt>
                <c:pt idx="159">
                  <c:v>0.51285254300000005</c:v>
                </c:pt>
                <c:pt idx="160">
                  <c:v>0.57100404800000004</c:v>
                </c:pt>
                <c:pt idx="161">
                  <c:v>0.39714550100000001</c:v>
                </c:pt>
                <c:pt idx="162">
                  <c:v>0.42563447300000001</c:v>
                </c:pt>
                <c:pt idx="163">
                  <c:v>0.43349689899999999</c:v>
                </c:pt>
                <c:pt idx="164">
                  <c:v>0.45611652400000002</c:v>
                </c:pt>
                <c:pt idx="165">
                  <c:v>0.51318612799999996</c:v>
                </c:pt>
                <c:pt idx="166">
                  <c:v>0.51268309899999998</c:v>
                </c:pt>
                <c:pt idx="167">
                  <c:v>0.55771033299999995</c:v>
                </c:pt>
                <c:pt idx="168">
                  <c:v>0.61486386100000001</c:v>
                </c:pt>
                <c:pt idx="169">
                  <c:v>0.64915046600000004</c:v>
                </c:pt>
              </c:numCache>
            </c:numRef>
          </c:yVal>
          <c:smooth val="0"/>
          <c:extLst>
            <c:ext xmlns:c16="http://schemas.microsoft.com/office/drawing/2014/chart" uri="{C3380CC4-5D6E-409C-BE32-E72D297353CC}">
              <c16:uniqueId val="{00000000-3BDE-433E-8926-BFF4E26B5C48}"/>
            </c:ext>
          </c:extLst>
        </c:ser>
        <c:ser>
          <c:idx val="1"/>
          <c:order val="1"/>
          <c:tx>
            <c:strRef>
              <c:f>'result-all-time-memory-non-ccf'!$D$1</c:f>
              <c:strCache>
                <c:ptCount val="1"/>
                <c:pt idx="0">
                  <c:v>Time-SCRAM-BDD</c:v>
                </c:pt>
              </c:strCache>
            </c:strRef>
          </c:tx>
          <c:spPr>
            <a:ln w="19050" cap="rnd">
              <a:noFill/>
              <a:round/>
            </a:ln>
            <a:effectLst/>
          </c:spPr>
          <c:marker>
            <c:symbol val="circle"/>
            <c:size val="5"/>
            <c:spPr>
              <a:solidFill>
                <a:schemeClr val="accent2"/>
              </a:solidFill>
              <a:ln w="38100">
                <a:solidFill>
                  <a:srgbClr val="7030A0"/>
                </a:solidFill>
              </a:ln>
              <a:effectLst/>
            </c:spPr>
          </c:marker>
          <c:xVal>
            <c:strRef>
              <c:f>'result-all-time-memory-non-ccf'!$A$2:$A$172</c:f>
              <c:strCache>
                <c:ptCount val="170"/>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8000-06</c:v>
                </c:pt>
                <c:pt idx="149">
                  <c:v>8000-07</c:v>
                </c:pt>
                <c:pt idx="150">
                  <c:v>8000-08</c:v>
                </c:pt>
                <c:pt idx="151">
                  <c:v>8000-09</c:v>
                </c:pt>
                <c:pt idx="152">
                  <c:v>9000-01</c:v>
                </c:pt>
                <c:pt idx="153">
                  <c:v>9000-02</c:v>
                </c:pt>
                <c:pt idx="154">
                  <c:v>9000-03</c:v>
                </c:pt>
                <c:pt idx="155">
                  <c:v>9000-04</c:v>
                </c:pt>
                <c:pt idx="156">
                  <c:v>9000-05</c:v>
                </c:pt>
                <c:pt idx="157">
                  <c:v>9000-06</c:v>
                </c:pt>
                <c:pt idx="158">
                  <c:v>9000-07</c:v>
                </c:pt>
                <c:pt idx="159">
                  <c:v>9000-08</c:v>
                </c:pt>
                <c:pt idx="160">
                  <c:v>9000-09</c:v>
                </c:pt>
                <c:pt idx="161">
                  <c:v>10000-01</c:v>
                </c:pt>
                <c:pt idx="162">
                  <c:v>10000-02</c:v>
                </c:pt>
                <c:pt idx="163">
                  <c:v>10000-03</c:v>
                </c:pt>
                <c:pt idx="164">
                  <c:v>10000-04</c:v>
                </c:pt>
                <c:pt idx="165">
                  <c:v>10000-05</c:v>
                </c:pt>
                <c:pt idx="166">
                  <c:v>10000-06</c:v>
                </c:pt>
                <c:pt idx="167">
                  <c:v>10000-07</c:v>
                </c:pt>
                <c:pt idx="168">
                  <c:v>10000-08</c:v>
                </c:pt>
                <c:pt idx="169">
                  <c:v>10000-09</c:v>
                </c:pt>
              </c:strCache>
            </c:strRef>
          </c:xVal>
          <c:yVal>
            <c:numRef>
              <c:f>'result-all-time-memory-non-ccf'!$D$2:$D$172</c:f>
              <c:numCache>
                <c:formatCode>General</c:formatCode>
                <c:ptCount val="171"/>
                <c:pt idx="0">
                  <c:v>0.11244756</c:v>
                </c:pt>
                <c:pt idx="1">
                  <c:v>0.21960044500000001</c:v>
                </c:pt>
                <c:pt idx="2">
                  <c:v>9.7503664000000004E-2</c:v>
                </c:pt>
                <c:pt idx="3">
                  <c:v>0.10509741</c:v>
                </c:pt>
                <c:pt idx="4">
                  <c:v>9.4771300000000003E-2</c:v>
                </c:pt>
                <c:pt idx="5">
                  <c:v>0.110762124</c:v>
                </c:pt>
                <c:pt idx="6">
                  <c:v>0.103812877</c:v>
                </c:pt>
                <c:pt idx="7">
                  <c:v>0.221237831</c:v>
                </c:pt>
                <c:pt idx="8">
                  <c:v>0.23065189999999999</c:v>
                </c:pt>
                <c:pt idx="9">
                  <c:v>0.133368608</c:v>
                </c:pt>
                <c:pt idx="10">
                  <c:v>14.98442949</c:v>
                </c:pt>
                <c:pt idx="11">
                  <c:v>1.103876946</c:v>
                </c:pt>
                <c:pt idx="12">
                  <c:v>0.103748514</c:v>
                </c:pt>
                <c:pt idx="13">
                  <c:v>0.221674606</c:v>
                </c:pt>
                <c:pt idx="14">
                  <c:v>2.024685963</c:v>
                </c:pt>
                <c:pt idx="15">
                  <c:v>12.893044789999999</c:v>
                </c:pt>
                <c:pt idx="16">
                  <c:v>2.676052678</c:v>
                </c:pt>
                <c:pt idx="17">
                  <c:v>34.973116781999998</c:v>
                </c:pt>
                <c:pt idx="18">
                  <c:v>97.869962161999993</c:v>
                </c:pt>
                <c:pt idx="19">
                  <c:v>0.71975614899999996</c:v>
                </c:pt>
                <c:pt idx="20">
                  <c:v>60.492957058999998</c:v>
                </c:pt>
                <c:pt idx="21">
                  <c:v>10.85593667</c:v>
                </c:pt>
                <c:pt idx="22">
                  <c:v>218.84672197699999</c:v>
                </c:pt>
                <c:pt idx="23">
                  <c:v>39.990834282999998</c:v>
                </c:pt>
                <c:pt idx="24">
                  <c:v>901.61510736599996</c:v>
                </c:pt>
                <c:pt idx="25">
                  <c:v>28.092711954999999</c:v>
                </c:pt>
                <c:pt idx="26">
                  <c:v>900.58322742300004</c:v>
                </c:pt>
                <c:pt idx="27">
                  <c:v>588.20149731499998</c:v>
                </c:pt>
                <c:pt idx="28">
                  <c:v>18.724334727999999</c:v>
                </c:pt>
                <c:pt idx="29">
                  <c:v>901.00444697399996</c:v>
                </c:pt>
                <c:pt idx="30">
                  <c:v>7.1043324700000001</c:v>
                </c:pt>
                <c:pt idx="31">
                  <c:v>900.38726370300003</c:v>
                </c:pt>
                <c:pt idx="32">
                  <c:v>901.01694426100005</c:v>
                </c:pt>
                <c:pt idx="33">
                  <c:v>900.44910126100001</c:v>
                </c:pt>
                <c:pt idx="34">
                  <c:v>101.949352749</c:v>
                </c:pt>
                <c:pt idx="35">
                  <c:v>900.36842554600003</c:v>
                </c:pt>
                <c:pt idx="36">
                  <c:v>900.70740531299998</c:v>
                </c:pt>
                <c:pt idx="37">
                  <c:v>284.23696863700002</c:v>
                </c:pt>
                <c:pt idx="38">
                  <c:v>512.98595976499996</c:v>
                </c:pt>
                <c:pt idx="39">
                  <c:v>900.39855015000001</c:v>
                </c:pt>
                <c:pt idx="40">
                  <c:v>900.73680904599996</c:v>
                </c:pt>
                <c:pt idx="41">
                  <c:v>900.94614853099995</c:v>
                </c:pt>
                <c:pt idx="42">
                  <c:v>441.01398707800001</c:v>
                </c:pt>
                <c:pt idx="43">
                  <c:v>900.702252284</c:v>
                </c:pt>
                <c:pt idx="44">
                  <c:v>900.66008242700002</c:v>
                </c:pt>
                <c:pt idx="45">
                  <c:v>901.00476944499997</c:v>
                </c:pt>
                <c:pt idx="46">
                  <c:v>408.48152690400002</c:v>
                </c:pt>
                <c:pt idx="47">
                  <c:v>900.43066589900002</c:v>
                </c:pt>
                <c:pt idx="48">
                  <c:v>900.561535456</c:v>
                </c:pt>
                <c:pt idx="49">
                  <c:v>901.17603198100005</c:v>
                </c:pt>
                <c:pt idx="50">
                  <c:v>267.69128387000001</c:v>
                </c:pt>
                <c:pt idx="51">
                  <c:v>353.15547186499998</c:v>
                </c:pt>
                <c:pt idx="52">
                  <c:v>304.63777496900002</c:v>
                </c:pt>
                <c:pt idx="53">
                  <c:v>362.21633642299997</c:v>
                </c:pt>
                <c:pt idx="54">
                  <c:v>900.44122453299997</c:v>
                </c:pt>
                <c:pt idx="55">
                  <c:v>900.20509299000003</c:v>
                </c:pt>
                <c:pt idx="56">
                  <c:v>301.40909507700002</c:v>
                </c:pt>
                <c:pt idx="57">
                  <c:v>245.078564148</c:v>
                </c:pt>
                <c:pt idx="58">
                  <c:v>275.43281568700002</c:v>
                </c:pt>
                <c:pt idx="59">
                  <c:v>334.769823761</c:v>
                </c:pt>
                <c:pt idx="60">
                  <c:v>900.58257210299996</c:v>
                </c:pt>
                <c:pt idx="61">
                  <c:v>374.39203918700002</c:v>
                </c:pt>
                <c:pt idx="62">
                  <c:v>285.26687088199998</c:v>
                </c:pt>
                <c:pt idx="63">
                  <c:v>900.59894763700004</c:v>
                </c:pt>
                <c:pt idx="64">
                  <c:v>900.29491190199997</c:v>
                </c:pt>
                <c:pt idx="65">
                  <c:v>359.24753006700001</c:v>
                </c:pt>
                <c:pt idx="66">
                  <c:v>900.66301364499998</c:v>
                </c:pt>
                <c:pt idx="67">
                  <c:v>900.53138542600004</c:v>
                </c:pt>
                <c:pt idx="68">
                  <c:v>410.08142751999998</c:v>
                </c:pt>
                <c:pt idx="69">
                  <c:v>372.54315026699999</c:v>
                </c:pt>
                <c:pt idx="70">
                  <c:v>258.93554730199997</c:v>
                </c:pt>
                <c:pt idx="71">
                  <c:v>254.275946734</c:v>
                </c:pt>
                <c:pt idx="72">
                  <c:v>900.420728822</c:v>
                </c:pt>
                <c:pt idx="73">
                  <c:v>674.48660142899996</c:v>
                </c:pt>
                <c:pt idx="74">
                  <c:v>358.23981279600002</c:v>
                </c:pt>
                <c:pt idx="75">
                  <c:v>388.22756268199998</c:v>
                </c:pt>
                <c:pt idx="76">
                  <c:v>329.31005549000002</c:v>
                </c:pt>
                <c:pt idx="77">
                  <c:v>866.81160497999997</c:v>
                </c:pt>
                <c:pt idx="78">
                  <c:v>417.370231547</c:v>
                </c:pt>
                <c:pt idx="79">
                  <c:v>292.96268531999999</c:v>
                </c:pt>
                <c:pt idx="80">
                  <c:v>264.60447728499997</c:v>
                </c:pt>
                <c:pt idx="81">
                  <c:v>454.91475658100001</c:v>
                </c:pt>
                <c:pt idx="82">
                  <c:v>301.25968962399998</c:v>
                </c:pt>
                <c:pt idx="83">
                  <c:v>271.32480610300001</c:v>
                </c:pt>
                <c:pt idx="84">
                  <c:v>348.37115927100001</c:v>
                </c:pt>
                <c:pt idx="85">
                  <c:v>274.56951914199999</c:v>
                </c:pt>
                <c:pt idx="86">
                  <c:v>250.412556239</c:v>
                </c:pt>
                <c:pt idx="87">
                  <c:v>262.63546230899999</c:v>
                </c:pt>
                <c:pt idx="88">
                  <c:v>290.33938035800003</c:v>
                </c:pt>
                <c:pt idx="89">
                  <c:v>260.84487040300002</c:v>
                </c:pt>
                <c:pt idx="90">
                  <c:v>580.43816354600006</c:v>
                </c:pt>
                <c:pt idx="91">
                  <c:v>244.57435914300001</c:v>
                </c:pt>
                <c:pt idx="92">
                  <c:v>314.65199078500001</c:v>
                </c:pt>
                <c:pt idx="93">
                  <c:v>249.62426269299999</c:v>
                </c:pt>
                <c:pt idx="94">
                  <c:v>900.47565701200006</c:v>
                </c:pt>
                <c:pt idx="95">
                  <c:v>314.24517816399998</c:v>
                </c:pt>
                <c:pt idx="96">
                  <c:v>260.58133175699999</c:v>
                </c:pt>
                <c:pt idx="97">
                  <c:v>275.57270638099999</c:v>
                </c:pt>
                <c:pt idx="98">
                  <c:v>579.44181760499998</c:v>
                </c:pt>
                <c:pt idx="99">
                  <c:v>276.798249849</c:v>
                </c:pt>
                <c:pt idx="100">
                  <c:v>283.46968845800001</c:v>
                </c:pt>
                <c:pt idx="101">
                  <c:v>240.79882419899999</c:v>
                </c:pt>
                <c:pt idx="102">
                  <c:v>269.47697736399999</c:v>
                </c:pt>
                <c:pt idx="103">
                  <c:v>337.81699579299999</c:v>
                </c:pt>
                <c:pt idx="104">
                  <c:v>267.942629275</c:v>
                </c:pt>
                <c:pt idx="105">
                  <c:v>343.37022203399999</c:v>
                </c:pt>
                <c:pt idx="106">
                  <c:v>328.44329129400001</c:v>
                </c:pt>
                <c:pt idx="107">
                  <c:v>304.29222677600001</c:v>
                </c:pt>
                <c:pt idx="108">
                  <c:v>234.739752428</c:v>
                </c:pt>
                <c:pt idx="109">
                  <c:v>248.36849641800001</c:v>
                </c:pt>
                <c:pt idx="110">
                  <c:v>371.58849856099999</c:v>
                </c:pt>
                <c:pt idx="111">
                  <c:v>552.37968263699997</c:v>
                </c:pt>
                <c:pt idx="112">
                  <c:v>243.15779695500001</c:v>
                </c:pt>
                <c:pt idx="113">
                  <c:v>357.00022468600002</c:v>
                </c:pt>
                <c:pt idx="114">
                  <c:v>231.61617044799999</c:v>
                </c:pt>
                <c:pt idx="115">
                  <c:v>259.16878341</c:v>
                </c:pt>
                <c:pt idx="116">
                  <c:v>243.76971373699999</c:v>
                </c:pt>
                <c:pt idx="117">
                  <c:v>258.32480092399999</c:v>
                </c:pt>
                <c:pt idx="118">
                  <c:v>285.222728335</c:v>
                </c:pt>
                <c:pt idx="119">
                  <c:v>318.10460129500001</c:v>
                </c:pt>
                <c:pt idx="120">
                  <c:v>277.56154948599999</c:v>
                </c:pt>
                <c:pt idx="121">
                  <c:v>235.699196046</c:v>
                </c:pt>
                <c:pt idx="122">
                  <c:v>264.69390834000001</c:v>
                </c:pt>
                <c:pt idx="123">
                  <c:v>389.89451014799999</c:v>
                </c:pt>
                <c:pt idx="124">
                  <c:v>335.482892064</c:v>
                </c:pt>
                <c:pt idx="125">
                  <c:v>281.96022654500001</c:v>
                </c:pt>
                <c:pt idx="126">
                  <c:v>300.14612388799998</c:v>
                </c:pt>
                <c:pt idx="127">
                  <c:v>289.84874341400001</c:v>
                </c:pt>
                <c:pt idx="128">
                  <c:v>282.41454880399999</c:v>
                </c:pt>
                <c:pt idx="129">
                  <c:v>274.79770590800001</c:v>
                </c:pt>
                <c:pt idx="130">
                  <c:v>283.02608759899999</c:v>
                </c:pt>
                <c:pt idx="131">
                  <c:v>264.491244849</c:v>
                </c:pt>
                <c:pt idx="132">
                  <c:v>269.666747988</c:v>
                </c:pt>
                <c:pt idx="133">
                  <c:v>445.36496587699997</c:v>
                </c:pt>
                <c:pt idx="134">
                  <c:v>247.78415055299999</c:v>
                </c:pt>
                <c:pt idx="135">
                  <c:v>313.86192082100001</c:v>
                </c:pt>
                <c:pt idx="136">
                  <c:v>387.22107886499998</c:v>
                </c:pt>
                <c:pt idx="137">
                  <c:v>274.65657055600002</c:v>
                </c:pt>
                <c:pt idx="138">
                  <c:v>276.39855823800002</c:v>
                </c:pt>
                <c:pt idx="139">
                  <c:v>318.03187783999999</c:v>
                </c:pt>
                <c:pt idx="140">
                  <c:v>234.46538080400001</c:v>
                </c:pt>
                <c:pt idx="141">
                  <c:v>258.46980444500002</c:v>
                </c:pt>
                <c:pt idx="142">
                  <c:v>235.786291006</c:v>
                </c:pt>
                <c:pt idx="143">
                  <c:v>395.26628126200001</c:v>
                </c:pt>
                <c:pt idx="144">
                  <c:v>251.63941311900001</c:v>
                </c:pt>
                <c:pt idx="145">
                  <c:v>236.77150342900001</c:v>
                </c:pt>
                <c:pt idx="146">
                  <c:v>306.68264920199999</c:v>
                </c:pt>
                <c:pt idx="147">
                  <c:v>230.87440232200001</c:v>
                </c:pt>
                <c:pt idx="148">
                  <c:v>286.46572742400002</c:v>
                </c:pt>
                <c:pt idx="149">
                  <c:v>250.789363288</c:v>
                </c:pt>
                <c:pt idx="150">
                  <c:v>305.01056910199998</c:v>
                </c:pt>
                <c:pt idx="151">
                  <c:v>345.69724319099998</c:v>
                </c:pt>
                <c:pt idx="152">
                  <c:v>358.51379549400002</c:v>
                </c:pt>
                <c:pt idx="153">
                  <c:v>286.59009589599998</c:v>
                </c:pt>
                <c:pt idx="154">
                  <c:v>334.15315001099998</c:v>
                </c:pt>
                <c:pt idx="155">
                  <c:v>240.748013421</c:v>
                </c:pt>
                <c:pt idx="156">
                  <c:v>258.24059554199999</c:v>
                </c:pt>
                <c:pt idx="157">
                  <c:v>242.97418495100001</c:v>
                </c:pt>
                <c:pt idx="158">
                  <c:v>227.788611014</c:v>
                </c:pt>
                <c:pt idx="159">
                  <c:v>256.34232049600001</c:v>
                </c:pt>
                <c:pt idx="160">
                  <c:v>239.04418958900001</c:v>
                </c:pt>
                <c:pt idx="161">
                  <c:v>239.28766783200001</c:v>
                </c:pt>
                <c:pt idx="162">
                  <c:v>258.41481858700001</c:v>
                </c:pt>
                <c:pt idx="163">
                  <c:v>384.91719468100001</c:v>
                </c:pt>
                <c:pt idx="164">
                  <c:v>385.39433057899998</c:v>
                </c:pt>
                <c:pt idx="165">
                  <c:v>261.67438487099997</c:v>
                </c:pt>
                <c:pt idx="166">
                  <c:v>235.53142177199999</c:v>
                </c:pt>
                <c:pt idx="167">
                  <c:v>292.54950083199998</c:v>
                </c:pt>
                <c:pt idx="168">
                  <c:v>259.89299405000003</c:v>
                </c:pt>
                <c:pt idx="169">
                  <c:v>275.90569621899999</c:v>
                </c:pt>
                <c:pt idx="170">
                  <c:v>297.64236547799999</c:v>
                </c:pt>
              </c:numCache>
            </c:numRef>
          </c:yVal>
          <c:smooth val="0"/>
          <c:extLst>
            <c:ext xmlns:c16="http://schemas.microsoft.com/office/drawing/2014/chart" uri="{C3380CC4-5D6E-409C-BE32-E72D297353CC}">
              <c16:uniqueId val="{00000001-3BDE-433E-8926-BFF4E26B5C48}"/>
            </c:ext>
          </c:extLst>
        </c:ser>
        <c:ser>
          <c:idx val="2"/>
          <c:order val="2"/>
          <c:tx>
            <c:strRef>
              <c:f>'result-all-time-memory-non-ccf'!$E$1</c:f>
              <c:strCache>
                <c:ptCount val="1"/>
                <c:pt idx="0">
                  <c:v>Time-SCRAM-MOCUS</c:v>
                </c:pt>
              </c:strCache>
            </c:strRef>
          </c:tx>
          <c:spPr>
            <a:ln w="19050" cap="rnd">
              <a:noFill/>
              <a:round/>
            </a:ln>
            <a:effectLst/>
          </c:spPr>
          <c:marker>
            <c:symbol val="circle"/>
            <c:size val="5"/>
            <c:spPr>
              <a:solidFill>
                <a:schemeClr val="accent3"/>
              </a:solidFill>
              <a:ln w="38100">
                <a:solidFill>
                  <a:schemeClr val="accent4"/>
                </a:solidFill>
              </a:ln>
              <a:effectLst/>
            </c:spPr>
          </c:marker>
          <c:xVal>
            <c:strRef>
              <c:f>'result-all-time-memory-non-ccf'!$A$2:$A$172</c:f>
              <c:strCache>
                <c:ptCount val="170"/>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8000-06</c:v>
                </c:pt>
                <c:pt idx="149">
                  <c:v>8000-07</c:v>
                </c:pt>
                <c:pt idx="150">
                  <c:v>8000-08</c:v>
                </c:pt>
                <c:pt idx="151">
                  <c:v>8000-09</c:v>
                </c:pt>
                <c:pt idx="152">
                  <c:v>9000-01</c:v>
                </c:pt>
                <c:pt idx="153">
                  <c:v>9000-02</c:v>
                </c:pt>
                <c:pt idx="154">
                  <c:v>9000-03</c:v>
                </c:pt>
                <c:pt idx="155">
                  <c:v>9000-04</c:v>
                </c:pt>
                <c:pt idx="156">
                  <c:v>9000-05</c:v>
                </c:pt>
                <c:pt idx="157">
                  <c:v>9000-06</c:v>
                </c:pt>
                <c:pt idx="158">
                  <c:v>9000-07</c:v>
                </c:pt>
                <c:pt idx="159">
                  <c:v>9000-08</c:v>
                </c:pt>
                <c:pt idx="160">
                  <c:v>9000-09</c:v>
                </c:pt>
                <c:pt idx="161">
                  <c:v>10000-01</c:v>
                </c:pt>
                <c:pt idx="162">
                  <c:v>10000-02</c:v>
                </c:pt>
                <c:pt idx="163">
                  <c:v>10000-03</c:v>
                </c:pt>
                <c:pt idx="164">
                  <c:v>10000-04</c:v>
                </c:pt>
                <c:pt idx="165">
                  <c:v>10000-05</c:v>
                </c:pt>
                <c:pt idx="166">
                  <c:v>10000-06</c:v>
                </c:pt>
                <c:pt idx="167">
                  <c:v>10000-07</c:v>
                </c:pt>
                <c:pt idx="168">
                  <c:v>10000-08</c:v>
                </c:pt>
                <c:pt idx="169">
                  <c:v>10000-09</c:v>
                </c:pt>
              </c:strCache>
            </c:strRef>
          </c:xVal>
          <c:yVal>
            <c:numRef>
              <c:f>'result-all-time-memory-non-ccf'!$E$2:$E$172</c:f>
              <c:numCache>
                <c:formatCode>General</c:formatCode>
                <c:ptCount val="171"/>
                <c:pt idx="0">
                  <c:v>0.118721988</c:v>
                </c:pt>
                <c:pt idx="1">
                  <c:v>0.226832702</c:v>
                </c:pt>
                <c:pt idx="2">
                  <c:v>0.102652994</c:v>
                </c:pt>
                <c:pt idx="3">
                  <c:v>0.110802336</c:v>
                </c:pt>
                <c:pt idx="4">
                  <c:v>0.100050083</c:v>
                </c:pt>
                <c:pt idx="5">
                  <c:v>0.118666935</c:v>
                </c:pt>
                <c:pt idx="6">
                  <c:v>0.10818058799999999</c:v>
                </c:pt>
                <c:pt idx="7">
                  <c:v>0.22956998200000001</c:v>
                </c:pt>
                <c:pt idx="8">
                  <c:v>0.238241487</c:v>
                </c:pt>
                <c:pt idx="9">
                  <c:v>0.13105389100000001</c:v>
                </c:pt>
                <c:pt idx="10">
                  <c:v>15.169111383000001</c:v>
                </c:pt>
                <c:pt idx="11">
                  <c:v>1.1165375120000001</c:v>
                </c:pt>
                <c:pt idx="12">
                  <c:v>0.107384961</c:v>
                </c:pt>
                <c:pt idx="13">
                  <c:v>0.22412981400000001</c:v>
                </c:pt>
                <c:pt idx="14">
                  <c:v>0.38593401300000002</c:v>
                </c:pt>
                <c:pt idx="15">
                  <c:v>13.077579808999999</c:v>
                </c:pt>
                <c:pt idx="16">
                  <c:v>0.74678053899999997</c:v>
                </c:pt>
                <c:pt idx="17">
                  <c:v>35.598312591999999</c:v>
                </c:pt>
                <c:pt idx="18">
                  <c:v>98.121022095000001</c:v>
                </c:pt>
                <c:pt idx="19">
                  <c:v>0.71364370399999999</c:v>
                </c:pt>
                <c:pt idx="20">
                  <c:v>58.751759880999998</c:v>
                </c:pt>
                <c:pt idx="21">
                  <c:v>11.095838485</c:v>
                </c:pt>
                <c:pt idx="22">
                  <c:v>219.57988500299999</c:v>
                </c:pt>
                <c:pt idx="23">
                  <c:v>38.383026800000003</c:v>
                </c:pt>
                <c:pt idx="24">
                  <c:v>900.06407556500005</c:v>
                </c:pt>
                <c:pt idx="25">
                  <c:v>27.018760514</c:v>
                </c:pt>
                <c:pt idx="26">
                  <c:v>900.55886227899998</c:v>
                </c:pt>
                <c:pt idx="27">
                  <c:v>581.83965657199997</c:v>
                </c:pt>
                <c:pt idx="28">
                  <c:v>18.937684114</c:v>
                </c:pt>
                <c:pt idx="29">
                  <c:v>900.50645831400004</c:v>
                </c:pt>
                <c:pt idx="30">
                  <c:v>7.654047813</c:v>
                </c:pt>
                <c:pt idx="31">
                  <c:v>900.741932185</c:v>
                </c:pt>
                <c:pt idx="32">
                  <c:v>901.00057588699997</c:v>
                </c:pt>
                <c:pt idx="33">
                  <c:v>900.69165591499996</c:v>
                </c:pt>
                <c:pt idx="34">
                  <c:v>104.875892791</c:v>
                </c:pt>
                <c:pt idx="35">
                  <c:v>900.42206032399997</c:v>
                </c:pt>
                <c:pt idx="36">
                  <c:v>900.62601442699997</c:v>
                </c:pt>
                <c:pt idx="37">
                  <c:v>900.58179121700005</c:v>
                </c:pt>
                <c:pt idx="38">
                  <c:v>900.87519253300002</c:v>
                </c:pt>
                <c:pt idx="39">
                  <c:v>900.66302862299995</c:v>
                </c:pt>
                <c:pt idx="40">
                  <c:v>900.69834227499996</c:v>
                </c:pt>
                <c:pt idx="41">
                  <c:v>900.67368546700004</c:v>
                </c:pt>
                <c:pt idx="42">
                  <c:v>900.76833597899997</c:v>
                </c:pt>
                <c:pt idx="43">
                  <c:v>900.62503227900004</c:v>
                </c:pt>
                <c:pt idx="44">
                  <c:v>900.71990403799998</c:v>
                </c:pt>
                <c:pt idx="45">
                  <c:v>900.63798706900002</c:v>
                </c:pt>
                <c:pt idx="46">
                  <c:v>900.84312740200005</c:v>
                </c:pt>
                <c:pt idx="47">
                  <c:v>900.88179477400001</c:v>
                </c:pt>
                <c:pt idx="48">
                  <c:v>900.73007248500005</c:v>
                </c:pt>
                <c:pt idx="49">
                  <c:v>900.70331985200005</c:v>
                </c:pt>
                <c:pt idx="50">
                  <c:v>900.22800648199996</c:v>
                </c:pt>
                <c:pt idx="51">
                  <c:v>900.80350098400004</c:v>
                </c:pt>
                <c:pt idx="52">
                  <c:v>900.80721770800005</c:v>
                </c:pt>
                <c:pt idx="53">
                  <c:v>901.07363602400005</c:v>
                </c:pt>
                <c:pt idx="54">
                  <c:v>900.61743040800002</c:v>
                </c:pt>
                <c:pt idx="55">
                  <c:v>900.61855696700002</c:v>
                </c:pt>
                <c:pt idx="56">
                  <c:v>900.72696442999995</c:v>
                </c:pt>
                <c:pt idx="57">
                  <c:v>901.12117005100004</c:v>
                </c:pt>
                <c:pt idx="58">
                  <c:v>900.59310218300004</c:v>
                </c:pt>
                <c:pt idx="59">
                  <c:v>900.87606576400003</c:v>
                </c:pt>
                <c:pt idx="60">
                  <c:v>900.56319834700003</c:v>
                </c:pt>
                <c:pt idx="61">
                  <c:v>901.26092959599998</c:v>
                </c:pt>
                <c:pt idx="62">
                  <c:v>900.92642051899998</c:v>
                </c:pt>
                <c:pt idx="63">
                  <c:v>900.70924787000001</c:v>
                </c:pt>
                <c:pt idx="64">
                  <c:v>900.71652265700004</c:v>
                </c:pt>
                <c:pt idx="65">
                  <c:v>900.76153183400004</c:v>
                </c:pt>
                <c:pt idx="66">
                  <c:v>900.52037272099994</c:v>
                </c:pt>
                <c:pt idx="67">
                  <c:v>900.62532965900004</c:v>
                </c:pt>
                <c:pt idx="68">
                  <c:v>900.97381410599996</c:v>
                </c:pt>
                <c:pt idx="69">
                  <c:v>900.19326328299996</c:v>
                </c:pt>
                <c:pt idx="70">
                  <c:v>900.73389185799999</c:v>
                </c:pt>
                <c:pt idx="71">
                  <c:v>900.49925293000001</c:v>
                </c:pt>
                <c:pt idx="72">
                  <c:v>900.20344078300002</c:v>
                </c:pt>
                <c:pt idx="73">
                  <c:v>900.61311889299998</c:v>
                </c:pt>
                <c:pt idx="74">
                  <c:v>901.16613682299999</c:v>
                </c:pt>
                <c:pt idx="75">
                  <c:v>900.99737023099999</c:v>
                </c:pt>
                <c:pt idx="76">
                  <c:v>901.65688570600003</c:v>
                </c:pt>
                <c:pt idx="77">
                  <c:v>900.57624852499998</c:v>
                </c:pt>
                <c:pt idx="78">
                  <c:v>901.29184270500002</c:v>
                </c:pt>
                <c:pt idx="79">
                  <c:v>900.28142052400005</c:v>
                </c:pt>
                <c:pt idx="80">
                  <c:v>592.45020705900004</c:v>
                </c:pt>
                <c:pt idx="81">
                  <c:v>900.81580006800004</c:v>
                </c:pt>
                <c:pt idx="82">
                  <c:v>900.42025803700005</c:v>
                </c:pt>
                <c:pt idx="83">
                  <c:v>782.29875594400005</c:v>
                </c:pt>
                <c:pt idx="84">
                  <c:v>900.74761833900004</c:v>
                </c:pt>
                <c:pt idx="85">
                  <c:v>663.28898936500002</c:v>
                </c:pt>
                <c:pt idx="86">
                  <c:v>900.36913307099996</c:v>
                </c:pt>
                <c:pt idx="87">
                  <c:v>704.30006337099996</c:v>
                </c:pt>
                <c:pt idx="88">
                  <c:v>900.92998198800001</c:v>
                </c:pt>
                <c:pt idx="89">
                  <c:v>900.65596497800004</c:v>
                </c:pt>
                <c:pt idx="90">
                  <c:v>900.45897315399998</c:v>
                </c:pt>
                <c:pt idx="91">
                  <c:v>900.71818734500005</c:v>
                </c:pt>
                <c:pt idx="92">
                  <c:v>900.80344073200001</c:v>
                </c:pt>
                <c:pt idx="93">
                  <c:v>901.329464723</c:v>
                </c:pt>
                <c:pt idx="94">
                  <c:v>900.63067360000002</c:v>
                </c:pt>
                <c:pt idx="95">
                  <c:v>900.98780075800005</c:v>
                </c:pt>
                <c:pt idx="96">
                  <c:v>900.74241049600005</c:v>
                </c:pt>
                <c:pt idx="97">
                  <c:v>871.35900070299999</c:v>
                </c:pt>
                <c:pt idx="98">
                  <c:v>901.000313914</c:v>
                </c:pt>
                <c:pt idx="99">
                  <c:v>901.19518481199998</c:v>
                </c:pt>
                <c:pt idx="100">
                  <c:v>901.10289617900003</c:v>
                </c:pt>
                <c:pt idx="101">
                  <c:v>900.73601434600005</c:v>
                </c:pt>
                <c:pt idx="102">
                  <c:v>743.21841240900005</c:v>
                </c:pt>
                <c:pt idx="103">
                  <c:v>786.88196169599996</c:v>
                </c:pt>
                <c:pt idx="104">
                  <c:v>901.00845111399997</c:v>
                </c:pt>
                <c:pt idx="105">
                  <c:v>900.91634880599997</c:v>
                </c:pt>
                <c:pt idx="106">
                  <c:v>900.96021605600004</c:v>
                </c:pt>
                <c:pt idx="107">
                  <c:v>684.75595167200004</c:v>
                </c:pt>
                <c:pt idx="108">
                  <c:v>900.796229584</c:v>
                </c:pt>
                <c:pt idx="109">
                  <c:v>901.20382762199995</c:v>
                </c:pt>
                <c:pt idx="110">
                  <c:v>901.01939975599998</c:v>
                </c:pt>
                <c:pt idx="111">
                  <c:v>900.94177709899998</c:v>
                </c:pt>
                <c:pt idx="112">
                  <c:v>900.87342429399996</c:v>
                </c:pt>
                <c:pt idx="113">
                  <c:v>901.05077969599995</c:v>
                </c:pt>
                <c:pt idx="114">
                  <c:v>900.67826023400005</c:v>
                </c:pt>
                <c:pt idx="115">
                  <c:v>901.05255565699997</c:v>
                </c:pt>
                <c:pt idx="116">
                  <c:v>900.95453154500001</c:v>
                </c:pt>
                <c:pt idx="117">
                  <c:v>782.445824786</c:v>
                </c:pt>
                <c:pt idx="118">
                  <c:v>901.10427113399999</c:v>
                </c:pt>
                <c:pt idx="119">
                  <c:v>901.11981507500002</c:v>
                </c:pt>
                <c:pt idx="120">
                  <c:v>737.48011999799996</c:v>
                </c:pt>
                <c:pt idx="121">
                  <c:v>749.01904489799995</c:v>
                </c:pt>
                <c:pt idx="122">
                  <c:v>901.037702846</c:v>
                </c:pt>
                <c:pt idx="123">
                  <c:v>900.759742254</c:v>
                </c:pt>
                <c:pt idx="124">
                  <c:v>900.861964908</c:v>
                </c:pt>
                <c:pt idx="125">
                  <c:v>889.46840442300004</c:v>
                </c:pt>
                <c:pt idx="126">
                  <c:v>900.80388904999995</c:v>
                </c:pt>
                <c:pt idx="127">
                  <c:v>900.88279217100001</c:v>
                </c:pt>
                <c:pt idx="128">
                  <c:v>900.74573001299996</c:v>
                </c:pt>
                <c:pt idx="129">
                  <c:v>808.56434757299996</c:v>
                </c:pt>
                <c:pt idx="130">
                  <c:v>901.20853455199995</c:v>
                </c:pt>
                <c:pt idx="131">
                  <c:v>901.12133119199996</c:v>
                </c:pt>
                <c:pt idx="132">
                  <c:v>794.39109446199996</c:v>
                </c:pt>
                <c:pt idx="133">
                  <c:v>901.35649847000002</c:v>
                </c:pt>
                <c:pt idx="134">
                  <c:v>707.400409653</c:v>
                </c:pt>
                <c:pt idx="135">
                  <c:v>799.57869366499995</c:v>
                </c:pt>
                <c:pt idx="136">
                  <c:v>817.53879359400003</c:v>
                </c:pt>
                <c:pt idx="137">
                  <c:v>900.83351148199995</c:v>
                </c:pt>
                <c:pt idx="138">
                  <c:v>901.03639334699994</c:v>
                </c:pt>
                <c:pt idx="139">
                  <c:v>825.18769141400003</c:v>
                </c:pt>
                <c:pt idx="140">
                  <c:v>900.80964833400003</c:v>
                </c:pt>
                <c:pt idx="141">
                  <c:v>900.81326489800006</c:v>
                </c:pt>
                <c:pt idx="142">
                  <c:v>603.54956849799999</c:v>
                </c:pt>
                <c:pt idx="143">
                  <c:v>589.68770482699995</c:v>
                </c:pt>
                <c:pt idx="144">
                  <c:v>674.36812564399997</c:v>
                </c:pt>
                <c:pt idx="145">
                  <c:v>782.20751877500004</c:v>
                </c:pt>
                <c:pt idx="146">
                  <c:v>691.00651817100004</c:v>
                </c:pt>
                <c:pt idx="147">
                  <c:v>901.13898750299995</c:v>
                </c:pt>
                <c:pt idx="148">
                  <c:v>662.27781862300003</c:v>
                </c:pt>
                <c:pt idx="149">
                  <c:v>900.77883559999998</c:v>
                </c:pt>
                <c:pt idx="150">
                  <c:v>901.08244443599995</c:v>
                </c:pt>
                <c:pt idx="151">
                  <c:v>754.51687681500005</c:v>
                </c:pt>
                <c:pt idx="152">
                  <c:v>756.57567970699995</c:v>
                </c:pt>
                <c:pt idx="153">
                  <c:v>900.73143060500001</c:v>
                </c:pt>
                <c:pt idx="154">
                  <c:v>900.73565080100002</c:v>
                </c:pt>
                <c:pt idx="155">
                  <c:v>865.81533198</c:v>
                </c:pt>
                <c:pt idx="156">
                  <c:v>901.11088607299996</c:v>
                </c:pt>
                <c:pt idx="157">
                  <c:v>897.86626549799996</c:v>
                </c:pt>
                <c:pt idx="158">
                  <c:v>901.12989532200004</c:v>
                </c:pt>
                <c:pt idx="159">
                  <c:v>746.57821592000005</c:v>
                </c:pt>
                <c:pt idx="160">
                  <c:v>570.86494316200003</c:v>
                </c:pt>
                <c:pt idx="161">
                  <c:v>813.23098905100005</c:v>
                </c:pt>
                <c:pt idx="162">
                  <c:v>901.03297192000002</c:v>
                </c:pt>
                <c:pt idx="163">
                  <c:v>828.50521643599996</c:v>
                </c:pt>
                <c:pt idx="164">
                  <c:v>834.22791353100001</c:v>
                </c:pt>
                <c:pt idx="165">
                  <c:v>519.21344740100005</c:v>
                </c:pt>
                <c:pt idx="166">
                  <c:v>900.90492355699996</c:v>
                </c:pt>
                <c:pt idx="167">
                  <c:v>900.98597761799999</c:v>
                </c:pt>
                <c:pt idx="168">
                  <c:v>901.12883448399998</c:v>
                </c:pt>
                <c:pt idx="169">
                  <c:v>901.27909736900006</c:v>
                </c:pt>
                <c:pt idx="170">
                  <c:v>901.12417811399996</c:v>
                </c:pt>
              </c:numCache>
            </c:numRef>
          </c:yVal>
          <c:smooth val="0"/>
          <c:extLst>
            <c:ext xmlns:c16="http://schemas.microsoft.com/office/drawing/2014/chart" uri="{C3380CC4-5D6E-409C-BE32-E72D297353CC}">
              <c16:uniqueId val="{00000002-3BDE-433E-8926-BFF4E26B5C48}"/>
            </c:ext>
          </c:extLst>
        </c:ser>
        <c:ser>
          <c:idx val="3"/>
          <c:order val="3"/>
          <c:tx>
            <c:strRef>
              <c:f>'result-all-time-memory-non-ccf'!$F$1</c:f>
              <c:strCache>
                <c:ptCount val="1"/>
                <c:pt idx="0">
                  <c:v>Time-SCRAM-ZBDD</c:v>
                </c:pt>
              </c:strCache>
            </c:strRef>
          </c:tx>
          <c:spPr>
            <a:ln w="19050" cap="rnd">
              <a:noFill/>
              <a:round/>
            </a:ln>
            <a:effectLst/>
          </c:spPr>
          <c:marker>
            <c:symbol val="circle"/>
            <c:size val="5"/>
            <c:spPr>
              <a:solidFill>
                <a:schemeClr val="accent4"/>
              </a:solidFill>
              <a:ln w="38100">
                <a:solidFill>
                  <a:schemeClr val="accent5"/>
                </a:solidFill>
              </a:ln>
              <a:effectLst/>
            </c:spPr>
          </c:marker>
          <c:xVal>
            <c:strRef>
              <c:f>'result-all-time-memory-non-ccf'!$A$2:$A$172</c:f>
              <c:strCache>
                <c:ptCount val="170"/>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8000-06</c:v>
                </c:pt>
                <c:pt idx="149">
                  <c:v>8000-07</c:v>
                </c:pt>
                <c:pt idx="150">
                  <c:v>8000-08</c:v>
                </c:pt>
                <c:pt idx="151">
                  <c:v>8000-09</c:v>
                </c:pt>
                <c:pt idx="152">
                  <c:v>9000-01</c:v>
                </c:pt>
                <c:pt idx="153">
                  <c:v>9000-02</c:v>
                </c:pt>
                <c:pt idx="154">
                  <c:v>9000-03</c:v>
                </c:pt>
                <c:pt idx="155">
                  <c:v>9000-04</c:v>
                </c:pt>
                <c:pt idx="156">
                  <c:v>9000-05</c:v>
                </c:pt>
                <c:pt idx="157">
                  <c:v>9000-06</c:v>
                </c:pt>
                <c:pt idx="158">
                  <c:v>9000-07</c:v>
                </c:pt>
                <c:pt idx="159">
                  <c:v>9000-08</c:v>
                </c:pt>
                <c:pt idx="160">
                  <c:v>9000-09</c:v>
                </c:pt>
                <c:pt idx="161">
                  <c:v>10000-01</c:v>
                </c:pt>
                <c:pt idx="162">
                  <c:v>10000-02</c:v>
                </c:pt>
                <c:pt idx="163">
                  <c:v>10000-03</c:v>
                </c:pt>
                <c:pt idx="164">
                  <c:v>10000-04</c:v>
                </c:pt>
                <c:pt idx="165">
                  <c:v>10000-05</c:v>
                </c:pt>
                <c:pt idx="166">
                  <c:v>10000-06</c:v>
                </c:pt>
                <c:pt idx="167">
                  <c:v>10000-07</c:v>
                </c:pt>
                <c:pt idx="168">
                  <c:v>10000-08</c:v>
                </c:pt>
                <c:pt idx="169">
                  <c:v>10000-09</c:v>
                </c:pt>
              </c:strCache>
            </c:strRef>
          </c:xVal>
          <c:yVal>
            <c:numRef>
              <c:f>'result-all-time-memory-non-ccf'!$F$2:$F$172</c:f>
              <c:numCache>
                <c:formatCode>General</c:formatCode>
                <c:ptCount val="171"/>
                <c:pt idx="0">
                  <c:v>0.113772972</c:v>
                </c:pt>
                <c:pt idx="1">
                  <c:v>0.221840754</c:v>
                </c:pt>
                <c:pt idx="2">
                  <c:v>0.100072827</c:v>
                </c:pt>
                <c:pt idx="3">
                  <c:v>0.105313641</c:v>
                </c:pt>
                <c:pt idx="4">
                  <c:v>9.5055674000000007E-2</c:v>
                </c:pt>
                <c:pt idx="5">
                  <c:v>0.110468444</c:v>
                </c:pt>
                <c:pt idx="6">
                  <c:v>0.10284903500000001</c:v>
                </c:pt>
                <c:pt idx="7">
                  <c:v>0.223540244</c:v>
                </c:pt>
                <c:pt idx="8">
                  <c:v>0.233140597</c:v>
                </c:pt>
                <c:pt idx="9">
                  <c:v>0.13125976</c:v>
                </c:pt>
                <c:pt idx="10">
                  <c:v>14.991968522000001</c:v>
                </c:pt>
                <c:pt idx="11">
                  <c:v>1.110123379</c:v>
                </c:pt>
                <c:pt idx="12">
                  <c:v>0.10867394900000001</c:v>
                </c:pt>
                <c:pt idx="13">
                  <c:v>0.22820383899999999</c:v>
                </c:pt>
                <c:pt idx="14">
                  <c:v>0.39378183500000002</c:v>
                </c:pt>
                <c:pt idx="15">
                  <c:v>12.958363910999999</c:v>
                </c:pt>
                <c:pt idx="16">
                  <c:v>0.74224239000000003</c:v>
                </c:pt>
                <c:pt idx="17">
                  <c:v>35.772169886</c:v>
                </c:pt>
                <c:pt idx="18">
                  <c:v>101.288234077</c:v>
                </c:pt>
                <c:pt idx="19">
                  <c:v>0.729909162</c:v>
                </c:pt>
                <c:pt idx="20">
                  <c:v>62.211099359999999</c:v>
                </c:pt>
                <c:pt idx="21">
                  <c:v>11.784253142000001</c:v>
                </c:pt>
                <c:pt idx="22">
                  <c:v>224.09513117200001</c:v>
                </c:pt>
                <c:pt idx="23">
                  <c:v>41.355713903999998</c:v>
                </c:pt>
                <c:pt idx="24">
                  <c:v>901.037127983</c:v>
                </c:pt>
                <c:pt idx="25">
                  <c:v>29.181718298</c:v>
                </c:pt>
                <c:pt idx="26">
                  <c:v>900.63898362500004</c:v>
                </c:pt>
                <c:pt idx="27">
                  <c:v>579.47119474399994</c:v>
                </c:pt>
                <c:pt idx="28">
                  <c:v>18.884020980999999</c:v>
                </c:pt>
                <c:pt idx="29">
                  <c:v>900.26928459700002</c:v>
                </c:pt>
                <c:pt idx="30">
                  <c:v>7.0912967929999997</c:v>
                </c:pt>
                <c:pt idx="31">
                  <c:v>900.37790500000006</c:v>
                </c:pt>
                <c:pt idx="32">
                  <c:v>901.00074585499999</c:v>
                </c:pt>
                <c:pt idx="33">
                  <c:v>900.51190014899998</c:v>
                </c:pt>
                <c:pt idx="34">
                  <c:v>103.669575352</c:v>
                </c:pt>
                <c:pt idx="35">
                  <c:v>900.61249708499997</c:v>
                </c:pt>
                <c:pt idx="36">
                  <c:v>900.71484535299999</c:v>
                </c:pt>
                <c:pt idx="37">
                  <c:v>900.75066494500004</c:v>
                </c:pt>
                <c:pt idx="38">
                  <c:v>300.68815876000002</c:v>
                </c:pt>
                <c:pt idx="39">
                  <c:v>900.70903568200004</c:v>
                </c:pt>
                <c:pt idx="40">
                  <c:v>900.74183300899995</c:v>
                </c:pt>
                <c:pt idx="41">
                  <c:v>900.73926895600005</c:v>
                </c:pt>
                <c:pt idx="42">
                  <c:v>900.81984434000003</c:v>
                </c:pt>
                <c:pt idx="43">
                  <c:v>900.59683742200002</c:v>
                </c:pt>
                <c:pt idx="44">
                  <c:v>900.61001479799995</c:v>
                </c:pt>
                <c:pt idx="45">
                  <c:v>900.54030226299994</c:v>
                </c:pt>
                <c:pt idx="46">
                  <c:v>291.886774559</c:v>
                </c:pt>
                <c:pt idx="47">
                  <c:v>900.67661845500004</c:v>
                </c:pt>
                <c:pt idx="48">
                  <c:v>900.67804614500005</c:v>
                </c:pt>
                <c:pt idx="49">
                  <c:v>900.80257170499999</c:v>
                </c:pt>
                <c:pt idx="50">
                  <c:v>901.01228915199999</c:v>
                </c:pt>
                <c:pt idx="51">
                  <c:v>900.80656674299996</c:v>
                </c:pt>
                <c:pt idx="52">
                  <c:v>900.56225555799995</c:v>
                </c:pt>
                <c:pt idx="53">
                  <c:v>374.22668306600002</c:v>
                </c:pt>
                <c:pt idx="54">
                  <c:v>900.63187374799998</c:v>
                </c:pt>
                <c:pt idx="55">
                  <c:v>900.61639546499998</c:v>
                </c:pt>
                <c:pt idx="56">
                  <c:v>293.36675469599999</c:v>
                </c:pt>
                <c:pt idx="57">
                  <c:v>299.48153785900001</c:v>
                </c:pt>
                <c:pt idx="58">
                  <c:v>900.57180929799995</c:v>
                </c:pt>
                <c:pt idx="59">
                  <c:v>316.588640446</c:v>
                </c:pt>
                <c:pt idx="60">
                  <c:v>900.56790247599997</c:v>
                </c:pt>
                <c:pt idx="61">
                  <c:v>808.36159149299999</c:v>
                </c:pt>
                <c:pt idx="62">
                  <c:v>420.396835082</c:v>
                </c:pt>
                <c:pt idx="63">
                  <c:v>326.96078279199997</c:v>
                </c:pt>
                <c:pt idx="64">
                  <c:v>900.69381047399997</c:v>
                </c:pt>
                <c:pt idx="65">
                  <c:v>900.752875668</c:v>
                </c:pt>
                <c:pt idx="66">
                  <c:v>900.56751756699998</c:v>
                </c:pt>
                <c:pt idx="67">
                  <c:v>900.70315056799996</c:v>
                </c:pt>
                <c:pt idx="68">
                  <c:v>330.98709936</c:v>
                </c:pt>
                <c:pt idx="69">
                  <c:v>900.58493330700003</c:v>
                </c:pt>
                <c:pt idx="70">
                  <c:v>900.75519294200001</c:v>
                </c:pt>
                <c:pt idx="71">
                  <c:v>900.72834091799996</c:v>
                </c:pt>
                <c:pt idx="72">
                  <c:v>900.52688756600003</c:v>
                </c:pt>
                <c:pt idx="73">
                  <c:v>900.959565097</c:v>
                </c:pt>
                <c:pt idx="74">
                  <c:v>339.77320929799998</c:v>
                </c:pt>
                <c:pt idx="75">
                  <c:v>901.00127026200005</c:v>
                </c:pt>
                <c:pt idx="76">
                  <c:v>264.983251198</c:v>
                </c:pt>
                <c:pt idx="77">
                  <c:v>900.610461364</c:v>
                </c:pt>
                <c:pt idx="78">
                  <c:v>343.39237315899999</c:v>
                </c:pt>
                <c:pt idx="79">
                  <c:v>900.62451302700003</c:v>
                </c:pt>
                <c:pt idx="80">
                  <c:v>314.53130529600003</c:v>
                </c:pt>
                <c:pt idx="81">
                  <c:v>315.54649961400003</c:v>
                </c:pt>
                <c:pt idx="82">
                  <c:v>900.56801208900004</c:v>
                </c:pt>
                <c:pt idx="83">
                  <c:v>243.529617159</c:v>
                </c:pt>
                <c:pt idx="84">
                  <c:v>900.88740633600003</c:v>
                </c:pt>
                <c:pt idx="85">
                  <c:v>323.44657573400002</c:v>
                </c:pt>
                <c:pt idx="86">
                  <c:v>900.69767796500003</c:v>
                </c:pt>
                <c:pt idx="87">
                  <c:v>425.866931185</c:v>
                </c:pt>
                <c:pt idx="88">
                  <c:v>294.09185460499998</c:v>
                </c:pt>
                <c:pt idx="89">
                  <c:v>235.278147838</c:v>
                </c:pt>
                <c:pt idx="90">
                  <c:v>900.25743851899995</c:v>
                </c:pt>
                <c:pt idx="91">
                  <c:v>318.26600759399997</c:v>
                </c:pt>
                <c:pt idx="92">
                  <c:v>667.359824688</c:v>
                </c:pt>
                <c:pt idx="93">
                  <c:v>310.288242287</c:v>
                </c:pt>
                <c:pt idx="94">
                  <c:v>900.59843831199998</c:v>
                </c:pt>
                <c:pt idx="95">
                  <c:v>495.25355326200003</c:v>
                </c:pt>
                <c:pt idx="96">
                  <c:v>233.588615465</c:v>
                </c:pt>
                <c:pt idx="97">
                  <c:v>347.33163368700002</c:v>
                </c:pt>
                <c:pt idx="98">
                  <c:v>360.17948710100001</c:v>
                </c:pt>
                <c:pt idx="99">
                  <c:v>625.67023580099999</c:v>
                </c:pt>
                <c:pt idx="100">
                  <c:v>274.973767603</c:v>
                </c:pt>
                <c:pt idx="101">
                  <c:v>378.66010631</c:v>
                </c:pt>
                <c:pt idx="102">
                  <c:v>224.29583413899999</c:v>
                </c:pt>
                <c:pt idx="103">
                  <c:v>317.85088365199999</c:v>
                </c:pt>
                <c:pt idx="104">
                  <c:v>458.920008741</c:v>
                </c:pt>
                <c:pt idx="105">
                  <c:v>253.841023331</c:v>
                </c:pt>
                <c:pt idx="106">
                  <c:v>314.91615663699997</c:v>
                </c:pt>
                <c:pt idx="107">
                  <c:v>341.88798187499998</c:v>
                </c:pt>
                <c:pt idx="108">
                  <c:v>643.863641164</c:v>
                </c:pt>
                <c:pt idx="109">
                  <c:v>687.99533256999996</c:v>
                </c:pt>
                <c:pt idx="110">
                  <c:v>337.49577777299999</c:v>
                </c:pt>
                <c:pt idx="111">
                  <c:v>901.15080430499995</c:v>
                </c:pt>
                <c:pt idx="112">
                  <c:v>315.044307135</c:v>
                </c:pt>
                <c:pt idx="113">
                  <c:v>901.29869364700005</c:v>
                </c:pt>
                <c:pt idx="114">
                  <c:v>333.38547047600002</c:v>
                </c:pt>
                <c:pt idx="115">
                  <c:v>321.05283604900001</c:v>
                </c:pt>
                <c:pt idx="116">
                  <c:v>363.76030083400002</c:v>
                </c:pt>
                <c:pt idx="117">
                  <c:v>378.569240304</c:v>
                </c:pt>
                <c:pt idx="118">
                  <c:v>308.859145227</c:v>
                </c:pt>
                <c:pt idx="119">
                  <c:v>310.61370849399998</c:v>
                </c:pt>
                <c:pt idx="120">
                  <c:v>354.56063649100003</c:v>
                </c:pt>
                <c:pt idx="121">
                  <c:v>362.02640970900001</c:v>
                </c:pt>
                <c:pt idx="122">
                  <c:v>234.092200977</c:v>
                </c:pt>
                <c:pt idx="123">
                  <c:v>239.19009989400001</c:v>
                </c:pt>
                <c:pt idx="124">
                  <c:v>901.34047057600003</c:v>
                </c:pt>
                <c:pt idx="125">
                  <c:v>326.931436491</c:v>
                </c:pt>
                <c:pt idx="126">
                  <c:v>358.632021726</c:v>
                </c:pt>
                <c:pt idx="127">
                  <c:v>900.80486848700002</c:v>
                </c:pt>
                <c:pt idx="128">
                  <c:v>277.39041941900001</c:v>
                </c:pt>
                <c:pt idx="129">
                  <c:v>316.06534569399997</c:v>
                </c:pt>
                <c:pt idx="130">
                  <c:v>371.42841855799998</c:v>
                </c:pt>
                <c:pt idx="131">
                  <c:v>314.09170927899999</c:v>
                </c:pt>
                <c:pt idx="132">
                  <c:v>816.26279474399996</c:v>
                </c:pt>
                <c:pt idx="133">
                  <c:v>375.210583434</c:v>
                </c:pt>
                <c:pt idx="134">
                  <c:v>685.27386797300005</c:v>
                </c:pt>
                <c:pt idx="135">
                  <c:v>655.70206682800006</c:v>
                </c:pt>
                <c:pt idx="136">
                  <c:v>588.46509837400004</c:v>
                </c:pt>
                <c:pt idx="137">
                  <c:v>307.73059558800003</c:v>
                </c:pt>
                <c:pt idx="138">
                  <c:v>480.17590314099999</c:v>
                </c:pt>
                <c:pt idx="139">
                  <c:v>488.02787016600001</c:v>
                </c:pt>
                <c:pt idx="140">
                  <c:v>860.82649957599995</c:v>
                </c:pt>
                <c:pt idx="141">
                  <c:v>471.00332027399998</c:v>
                </c:pt>
                <c:pt idx="142">
                  <c:v>360.51183251700002</c:v>
                </c:pt>
                <c:pt idx="143">
                  <c:v>900.94627722099995</c:v>
                </c:pt>
                <c:pt idx="144">
                  <c:v>900.97405518699998</c:v>
                </c:pt>
                <c:pt idx="145">
                  <c:v>900.95746463</c:v>
                </c:pt>
                <c:pt idx="146">
                  <c:v>241.36001009</c:v>
                </c:pt>
                <c:pt idx="147">
                  <c:v>420.31236422000001</c:v>
                </c:pt>
                <c:pt idx="148">
                  <c:v>269.81448065199999</c:v>
                </c:pt>
                <c:pt idx="149">
                  <c:v>751.81305029500004</c:v>
                </c:pt>
                <c:pt idx="150">
                  <c:v>625.52228361000004</c:v>
                </c:pt>
                <c:pt idx="151">
                  <c:v>329.61227969100003</c:v>
                </c:pt>
                <c:pt idx="152">
                  <c:v>331.45483824399997</c:v>
                </c:pt>
                <c:pt idx="153">
                  <c:v>580.61234234300002</c:v>
                </c:pt>
                <c:pt idx="154">
                  <c:v>576.83813253999995</c:v>
                </c:pt>
                <c:pt idx="155">
                  <c:v>275.95552676599999</c:v>
                </c:pt>
                <c:pt idx="156">
                  <c:v>304.54295888799999</c:v>
                </c:pt>
                <c:pt idx="157">
                  <c:v>901.11610701200004</c:v>
                </c:pt>
                <c:pt idx="158">
                  <c:v>312.29015045</c:v>
                </c:pt>
                <c:pt idx="159">
                  <c:v>859.38169605500002</c:v>
                </c:pt>
                <c:pt idx="160">
                  <c:v>311.643517266</c:v>
                </c:pt>
                <c:pt idx="161">
                  <c:v>328.82778323399998</c:v>
                </c:pt>
                <c:pt idx="162">
                  <c:v>314.83853890500001</c:v>
                </c:pt>
                <c:pt idx="163">
                  <c:v>382.59614033899999</c:v>
                </c:pt>
                <c:pt idx="164">
                  <c:v>361.34888046499998</c:v>
                </c:pt>
                <c:pt idx="165">
                  <c:v>610.57680147899998</c:v>
                </c:pt>
                <c:pt idx="166">
                  <c:v>505.47076003000001</c:v>
                </c:pt>
                <c:pt idx="167">
                  <c:v>900.77313423400005</c:v>
                </c:pt>
                <c:pt idx="168">
                  <c:v>725.29241300599995</c:v>
                </c:pt>
                <c:pt idx="169">
                  <c:v>306.87938292500002</c:v>
                </c:pt>
                <c:pt idx="170">
                  <c:v>816.742567947</c:v>
                </c:pt>
              </c:numCache>
            </c:numRef>
          </c:yVal>
          <c:smooth val="0"/>
          <c:extLst>
            <c:ext xmlns:c16="http://schemas.microsoft.com/office/drawing/2014/chart" uri="{C3380CC4-5D6E-409C-BE32-E72D297353CC}">
              <c16:uniqueId val="{00000003-3BDE-433E-8926-BFF4E26B5C48}"/>
            </c:ext>
          </c:extLst>
        </c:ser>
        <c:dLbls>
          <c:showLegendKey val="0"/>
          <c:showVal val="0"/>
          <c:showCatName val="0"/>
          <c:showSerName val="0"/>
          <c:showPercent val="0"/>
          <c:showBubbleSize val="0"/>
        </c:dLbls>
        <c:axId val="949871616"/>
        <c:axId val="150016304"/>
      </c:scatterChart>
      <c:scatterChart>
        <c:scatterStyle val="lineMarker"/>
        <c:varyColors val="0"/>
        <c:ser>
          <c:idx val="4"/>
          <c:order val="4"/>
          <c:tx>
            <c:strRef>
              <c:f>'result-all-time-memory-non-ccf'!$J$1</c:f>
              <c:strCache>
                <c:ptCount val="1"/>
                <c:pt idx="0">
                  <c:v>Memory-XFTA</c:v>
                </c:pt>
              </c:strCache>
            </c:strRef>
          </c:tx>
          <c:spPr>
            <a:ln w="19050" cap="rnd">
              <a:noFill/>
              <a:round/>
            </a:ln>
            <a:effectLst/>
          </c:spPr>
          <c:marker>
            <c:symbol val="square"/>
            <c:size val="5"/>
            <c:spPr>
              <a:solidFill>
                <a:schemeClr val="accent5"/>
              </a:solidFill>
              <a:ln w="38100">
                <a:solidFill>
                  <a:srgbClr val="00B050"/>
                </a:solidFill>
              </a:ln>
              <a:effectLst/>
            </c:spPr>
          </c:marker>
          <c:xVal>
            <c:strRef>
              <c:f>'result-all-time-memory-non-ccf'!$A$2:$A$172</c:f>
              <c:strCache>
                <c:ptCount val="170"/>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8000-06</c:v>
                </c:pt>
                <c:pt idx="149">
                  <c:v>8000-07</c:v>
                </c:pt>
                <c:pt idx="150">
                  <c:v>8000-08</c:v>
                </c:pt>
                <c:pt idx="151">
                  <c:v>8000-09</c:v>
                </c:pt>
                <c:pt idx="152">
                  <c:v>9000-01</c:v>
                </c:pt>
                <c:pt idx="153">
                  <c:v>9000-02</c:v>
                </c:pt>
                <c:pt idx="154">
                  <c:v>9000-03</c:v>
                </c:pt>
                <c:pt idx="155">
                  <c:v>9000-04</c:v>
                </c:pt>
                <c:pt idx="156">
                  <c:v>9000-05</c:v>
                </c:pt>
                <c:pt idx="157">
                  <c:v>9000-06</c:v>
                </c:pt>
                <c:pt idx="158">
                  <c:v>9000-07</c:v>
                </c:pt>
                <c:pt idx="159">
                  <c:v>9000-08</c:v>
                </c:pt>
                <c:pt idx="160">
                  <c:v>9000-09</c:v>
                </c:pt>
                <c:pt idx="161">
                  <c:v>10000-01</c:v>
                </c:pt>
                <c:pt idx="162">
                  <c:v>10000-02</c:v>
                </c:pt>
                <c:pt idx="163">
                  <c:v>10000-03</c:v>
                </c:pt>
                <c:pt idx="164">
                  <c:v>10000-04</c:v>
                </c:pt>
                <c:pt idx="165">
                  <c:v>10000-05</c:v>
                </c:pt>
                <c:pt idx="166">
                  <c:v>10000-06</c:v>
                </c:pt>
                <c:pt idx="167">
                  <c:v>10000-07</c:v>
                </c:pt>
                <c:pt idx="168">
                  <c:v>10000-08</c:v>
                </c:pt>
                <c:pt idx="169">
                  <c:v>10000-09</c:v>
                </c:pt>
              </c:strCache>
            </c:strRef>
          </c:xVal>
          <c:yVal>
            <c:numRef>
              <c:f>'result-all-time-memory-non-ccf'!$J$2:$J$172</c:f>
              <c:numCache>
                <c:formatCode>General</c:formatCode>
                <c:ptCount val="171"/>
                <c:pt idx="0">
                  <c:v>2.0152320000000001</c:v>
                </c:pt>
                <c:pt idx="1">
                  <c:v>2.1503999999999999</c:v>
                </c:pt>
                <c:pt idx="2">
                  <c:v>2.011136</c:v>
                </c:pt>
                <c:pt idx="3">
                  <c:v>2.0152320000000001</c:v>
                </c:pt>
                <c:pt idx="4">
                  <c:v>2.2773759999999998</c:v>
                </c:pt>
                <c:pt idx="5">
                  <c:v>2.0152320000000001</c:v>
                </c:pt>
                <c:pt idx="6">
                  <c:v>2.2773759999999998</c:v>
                </c:pt>
                <c:pt idx="7">
                  <c:v>2.1872639999999999</c:v>
                </c:pt>
                <c:pt idx="8">
                  <c:v>2.2405119999999998</c:v>
                </c:pt>
                <c:pt idx="9">
                  <c:v>2.4248319999999999</c:v>
                </c:pt>
                <c:pt idx="10">
                  <c:v>263.03283199999998</c:v>
                </c:pt>
                <c:pt idx="11">
                  <c:v>10.530816</c:v>
                </c:pt>
                <c:pt idx="12">
                  <c:v>2.4043519999999998</c:v>
                </c:pt>
                <c:pt idx="13">
                  <c:v>2.53952</c:v>
                </c:pt>
                <c:pt idx="14">
                  <c:v>4.9397760000000002</c:v>
                </c:pt>
                <c:pt idx="15">
                  <c:v>122.66291200000001</c:v>
                </c:pt>
                <c:pt idx="16">
                  <c:v>9.7648639999999993</c:v>
                </c:pt>
                <c:pt idx="17">
                  <c:v>362.70899200000002</c:v>
                </c:pt>
                <c:pt idx="18">
                  <c:v>1480.6876159999999</c:v>
                </c:pt>
                <c:pt idx="19">
                  <c:v>5.6688640000000001</c:v>
                </c:pt>
                <c:pt idx="20">
                  <c:v>386.30195200000003</c:v>
                </c:pt>
                <c:pt idx="21">
                  <c:v>86.020095999999995</c:v>
                </c:pt>
                <c:pt idx="22">
                  <c:v>1367.9288320000001</c:v>
                </c:pt>
                <c:pt idx="23">
                  <c:v>325.43948799999998</c:v>
                </c:pt>
                <c:pt idx="24">
                  <c:v>6557.7123840000004</c:v>
                </c:pt>
                <c:pt idx="25">
                  <c:v>209.42848000000001</c:v>
                </c:pt>
                <c:pt idx="26">
                  <c:v>4540.2398720000001</c:v>
                </c:pt>
                <c:pt idx="27">
                  <c:v>539.00902399999995</c:v>
                </c:pt>
                <c:pt idx="28">
                  <c:v>158.347264</c:v>
                </c:pt>
                <c:pt idx="29">
                  <c:v>16000</c:v>
                </c:pt>
                <c:pt idx="30">
                  <c:v>77.750271999999995</c:v>
                </c:pt>
                <c:pt idx="31">
                  <c:v>9012.6254079999999</c:v>
                </c:pt>
                <c:pt idx="32">
                  <c:v>3262.7589119999998</c:v>
                </c:pt>
                <c:pt idx="33">
                  <c:v>3027.529728</c:v>
                </c:pt>
                <c:pt idx="34">
                  <c:v>595.86559999999997</c:v>
                </c:pt>
                <c:pt idx="35">
                  <c:v>1548.3084799999999</c:v>
                </c:pt>
                <c:pt idx="36">
                  <c:v>3.4611200000000002</c:v>
                </c:pt>
                <c:pt idx="37">
                  <c:v>15065.059327999999</c:v>
                </c:pt>
                <c:pt idx="38">
                  <c:v>6558.1015040000002</c:v>
                </c:pt>
                <c:pt idx="39">
                  <c:v>774.89356799999996</c:v>
                </c:pt>
                <c:pt idx="40">
                  <c:v>2893.3857280000002</c:v>
                </c:pt>
                <c:pt idx="41">
                  <c:v>7062.7573759999996</c:v>
                </c:pt>
                <c:pt idx="42">
                  <c:v>5348.0325119999998</c:v>
                </c:pt>
                <c:pt idx="43">
                  <c:v>6054.2320639999998</c:v>
                </c:pt>
                <c:pt idx="44">
                  <c:v>3297.6117760000002</c:v>
                </c:pt>
                <c:pt idx="45">
                  <c:v>16000</c:v>
                </c:pt>
                <c:pt idx="46">
                  <c:v>539.80364799999995</c:v>
                </c:pt>
                <c:pt idx="47">
                  <c:v>3095.232512</c:v>
                </c:pt>
                <c:pt idx="48">
                  <c:v>3767.7096959999999</c:v>
                </c:pt>
                <c:pt idx="49">
                  <c:v>9584.8448000000008</c:v>
                </c:pt>
                <c:pt idx="50">
                  <c:v>102.924288</c:v>
                </c:pt>
                <c:pt idx="51">
                  <c:v>3162.9885439999998</c:v>
                </c:pt>
                <c:pt idx="52">
                  <c:v>9887.7972480000008</c:v>
                </c:pt>
                <c:pt idx="53">
                  <c:v>7064.0312320000003</c:v>
                </c:pt>
                <c:pt idx="54">
                  <c:v>573.730816</c:v>
                </c:pt>
                <c:pt idx="55">
                  <c:v>4743.1475200000004</c:v>
                </c:pt>
                <c:pt idx="56">
                  <c:v>10055.835648</c:v>
                </c:pt>
                <c:pt idx="57">
                  <c:v>69.636095999999995</c:v>
                </c:pt>
                <c:pt idx="58">
                  <c:v>2557.6734719999999</c:v>
                </c:pt>
                <c:pt idx="59">
                  <c:v>4407.2919039999997</c:v>
                </c:pt>
                <c:pt idx="60">
                  <c:v>8139.8743039999999</c:v>
                </c:pt>
                <c:pt idx="61">
                  <c:v>9686.6631679999991</c:v>
                </c:pt>
                <c:pt idx="62">
                  <c:v>5.4026240000000003</c:v>
                </c:pt>
                <c:pt idx="63">
                  <c:v>439.53766400000001</c:v>
                </c:pt>
                <c:pt idx="64">
                  <c:v>4.5178880000000001</c:v>
                </c:pt>
                <c:pt idx="65">
                  <c:v>137.16684799999999</c:v>
                </c:pt>
                <c:pt idx="66">
                  <c:v>7131.0376960000003</c:v>
                </c:pt>
                <c:pt idx="67">
                  <c:v>2087.3666560000001</c:v>
                </c:pt>
                <c:pt idx="68">
                  <c:v>2659.106816</c:v>
                </c:pt>
                <c:pt idx="69">
                  <c:v>238.465024</c:v>
                </c:pt>
                <c:pt idx="70">
                  <c:v>978.39923199999998</c:v>
                </c:pt>
                <c:pt idx="71">
                  <c:v>5618.7740160000003</c:v>
                </c:pt>
                <c:pt idx="72">
                  <c:v>70.021119999999996</c:v>
                </c:pt>
                <c:pt idx="73">
                  <c:v>5584.3717120000001</c:v>
                </c:pt>
                <c:pt idx="74">
                  <c:v>36.708351999999998</c:v>
                </c:pt>
                <c:pt idx="75">
                  <c:v>16000</c:v>
                </c:pt>
                <c:pt idx="76">
                  <c:v>3668.0663039999999</c:v>
                </c:pt>
                <c:pt idx="77">
                  <c:v>3399.1352320000001</c:v>
                </c:pt>
                <c:pt idx="78">
                  <c:v>7333.5726080000004</c:v>
                </c:pt>
                <c:pt idx="79">
                  <c:v>3198.2100479999999</c:v>
                </c:pt>
                <c:pt idx="80">
                  <c:v>5249.65888</c:v>
                </c:pt>
                <c:pt idx="81">
                  <c:v>6458.9905920000001</c:v>
                </c:pt>
                <c:pt idx="82">
                  <c:v>1045.48352</c:v>
                </c:pt>
                <c:pt idx="83">
                  <c:v>11.927552</c:v>
                </c:pt>
                <c:pt idx="84">
                  <c:v>440.44697600000001</c:v>
                </c:pt>
                <c:pt idx="85">
                  <c:v>5.554176</c:v>
                </c:pt>
                <c:pt idx="86">
                  <c:v>407.02771200000001</c:v>
                </c:pt>
                <c:pt idx="87">
                  <c:v>20.783104000000002</c:v>
                </c:pt>
                <c:pt idx="88">
                  <c:v>2458.6977280000001</c:v>
                </c:pt>
                <c:pt idx="89">
                  <c:v>3703.5048959999999</c:v>
                </c:pt>
                <c:pt idx="90">
                  <c:v>40.337408000000003</c:v>
                </c:pt>
                <c:pt idx="91">
                  <c:v>7874.6746880000001</c:v>
                </c:pt>
                <c:pt idx="92">
                  <c:v>74.366975999999994</c:v>
                </c:pt>
                <c:pt idx="93">
                  <c:v>2966.0487680000001</c:v>
                </c:pt>
                <c:pt idx="94">
                  <c:v>2092.3514879999998</c:v>
                </c:pt>
                <c:pt idx="95">
                  <c:v>1856.8970240000001</c:v>
                </c:pt>
                <c:pt idx="96">
                  <c:v>4984.4551680000004</c:v>
                </c:pt>
                <c:pt idx="97">
                  <c:v>3976.6548480000001</c:v>
                </c:pt>
                <c:pt idx="98">
                  <c:v>3944.0465920000001</c:v>
                </c:pt>
                <c:pt idx="99">
                  <c:v>3305.3614080000002</c:v>
                </c:pt>
                <c:pt idx="100">
                  <c:v>3271.9994879999999</c:v>
                </c:pt>
                <c:pt idx="101">
                  <c:v>1557.4466560000001</c:v>
                </c:pt>
                <c:pt idx="102">
                  <c:v>2902.851584</c:v>
                </c:pt>
                <c:pt idx="103">
                  <c:v>2231.0625279999999</c:v>
                </c:pt>
                <c:pt idx="104">
                  <c:v>4853.8460160000004</c:v>
                </c:pt>
                <c:pt idx="105">
                  <c:v>3038.5233920000001</c:v>
                </c:pt>
                <c:pt idx="106">
                  <c:v>3947.4872319999999</c:v>
                </c:pt>
                <c:pt idx="107">
                  <c:v>3712.917504</c:v>
                </c:pt>
                <c:pt idx="108">
                  <c:v>15.486976</c:v>
                </c:pt>
                <c:pt idx="109">
                  <c:v>3746.6726399999998</c:v>
                </c:pt>
                <c:pt idx="110">
                  <c:v>4217.6962560000002</c:v>
                </c:pt>
                <c:pt idx="111">
                  <c:v>5327.7286400000003</c:v>
                </c:pt>
                <c:pt idx="112">
                  <c:v>4252.3688959999999</c:v>
                </c:pt>
                <c:pt idx="113">
                  <c:v>3076.2311679999998</c:v>
                </c:pt>
                <c:pt idx="114">
                  <c:v>84.107264000000001</c:v>
                </c:pt>
                <c:pt idx="115">
                  <c:v>6641.9752959999996</c:v>
                </c:pt>
                <c:pt idx="116">
                  <c:v>1129.852928</c:v>
                </c:pt>
                <c:pt idx="117">
                  <c:v>2404.499456</c:v>
                </c:pt>
                <c:pt idx="118">
                  <c:v>1564.5655039999999</c:v>
                </c:pt>
                <c:pt idx="119">
                  <c:v>4692.6274560000002</c:v>
                </c:pt>
                <c:pt idx="120">
                  <c:v>3582.6155520000002</c:v>
                </c:pt>
                <c:pt idx="121">
                  <c:v>7315.8533120000002</c:v>
                </c:pt>
                <c:pt idx="122">
                  <c:v>6307.9915520000004</c:v>
                </c:pt>
                <c:pt idx="123">
                  <c:v>2980.37248</c:v>
                </c:pt>
                <c:pt idx="124">
                  <c:v>1535.9385600000001</c:v>
                </c:pt>
                <c:pt idx="125">
                  <c:v>3890.7903999999999</c:v>
                </c:pt>
                <c:pt idx="126">
                  <c:v>1870.319616</c:v>
                </c:pt>
                <c:pt idx="127">
                  <c:v>1736.0281600000001</c:v>
                </c:pt>
                <c:pt idx="128">
                  <c:v>2342.3549440000002</c:v>
                </c:pt>
                <c:pt idx="129">
                  <c:v>2007.9247359999999</c:v>
                </c:pt>
                <c:pt idx="130">
                  <c:v>5538.3736319999998</c:v>
                </c:pt>
                <c:pt idx="131">
                  <c:v>4799.6231680000001</c:v>
                </c:pt>
                <c:pt idx="132">
                  <c:v>1572.245504</c:v>
                </c:pt>
                <c:pt idx="133">
                  <c:v>328.91289599999999</c:v>
                </c:pt>
                <c:pt idx="134">
                  <c:v>3693.0109440000001</c:v>
                </c:pt>
                <c:pt idx="135">
                  <c:v>4932.9438719999998</c:v>
                </c:pt>
                <c:pt idx="136">
                  <c:v>1538.1790719999999</c:v>
                </c:pt>
                <c:pt idx="137">
                  <c:v>1874.5794559999999</c:v>
                </c:pt>
                <c:pt idx="138">
                  <c:v>4095.2299520000001</c:v>
                </c:pt>
                <c:pt idx="139">
                  <c:v>2346.8974079999998</c:v>
                </c:pt>
                <c:pt idx="140">
                  <c:v>5206.884352</c:v>
                </c:pt>
                <c:pt idx="141">
                  <c:v>231.31750400000001</c:v>
                </c:pt>
                <c:pt idx="142">
                  <c:v>2655.6211199999998</c:v>
                </c:pt>
                <c:pt idx="143">
                  <c:v>5917.2986879999999</c:v>
                </c:pt>
                <c:pt idx="144">
                  <c:v>4835.8891519999997</c:v>
                </c:pt>
                <c:pt idx="145">
                  <c:v>29.888511999999999</c:v>
                </c:pt>
                <c:pt idx="146">
                  <c:v>31.117311999999998</c:v>
                </c:pt>
                <c:pt idx="147">
                  <c:v>32.247807999999999</c:v>
                </c:pt>
                <c:pt idx="148">
                  <c:v>6354.2067200000001</c:v>
                </c:pt>
                <c:pt idx="149">
                  <c:v>5347.5573759999997</c:v>
                </c:pt>
                <c:pt idx="150">
                  <c:v>1853.407232</c:v>
                </c:pt>
                <c:pt idx="151">
                  <c:v>1954.22208</c:v>
                </c:pt>
                <c:pt idx="152">
                  <c:v>33.189888000000003</c:v>
                </c:pt>
                <c:pt idx="153">
                  <c:v>33.583103999999999</c:v>
                </c:pt>
                <c:pt idx="154">
                  <c:v>34.578431999999999</c:v>
                </c:pt>
                <c:pt idx="155">
                  <c:v>36.818944000000002</c:v>
                </c:pt>
                <c:pt idx="156">
                  <c:v>37.003264000000001</c:v>
                </c:pt>
                <c:pt idx="157">
                  <c:v>38.641663999999999</c:v>
                </c:pt>
                <c:pt idx="158">
                  <c:v>39.833599999999997</c:v>
                </c:pt>
                <c:pt idx="159">
                  <c:v>41.725951999999999</c:v>
                </c:pt>
                <c:pt idx="160">
                  <c:v>44.523519999999998</c:v>
                </c:pt>
                <c:pt idx="161">
                  <c:v>36.626432000000001</c:v>
                </c:pt>
                <c:pt idx="162">
                  <c:v>38.297600000000003</c:v>
                </c:pt>
                <c:pt idx="163">
                  <c:v>38.957056000000001</c:v>
                </c:pt>
                <c:pt idx="164">
                  <c:v>39.510016</c:v>
                </c:pt>
                <c:pt idx="165">
                  <c:v>42.975231999999998</c:v>
                </c:pt>
                <c:pt idx="166">
                  <c:v>42.20928</c:v>
                </c:pt>
                <c:pt idx="167">
                  <c:v>45.264896</c:v>
                </c:pt>
                <c:pt idx="168">
                  <c:v>48.459775999999998</c:v>
                </c:pt>
                <c:pt idx="169">
                  <c:v>50.778112</c:v>
                </c:pt>
              </c:numCache>
            </c:numRef>
          </c:yVal>
          <c:smooth val="0"/>
          <c:extLst>
            <c:ext xmlns:c16="http://schemas.microsoft.com/office/drawing/2014/chart" uri="{C3380CC4-5D6E-409C-BE32-E72D297353CC}">
              <c16:uniqueId val="{00000004-3BDE-433E-8926-BFF4E26B5C48}"/>
            </c:ext>
          </c:extLst>
        </c:ser>
        <c:ser>
          <c:idx val="5"/>
          <c:order val="5"/>
          <c:tx>
            <c:strRef>
              <c:f>'result-all-time-memory-non-ccf'!$L$1</c:f>
              <c:strCache>
                <c:ptCount val="1"/>
                <c:pt idx="0">
                  <c:v>Memory-SCRAM-BDD</c:v>
                </c:pt>
              </c:strCache>
            </c:strRef>
          </c:tx>
          <c:spPr>
            <a:ln w="19050" cap="rnd">
              <a:noFill/>
              <a:round/>
            </a:ln>
            <a:effectLst/>
          </c:spPr>
          <c:marker>
            <c:symbol val="square"/>
            <c:size val="5"/>
            <c:spPr>
              <a:solidFill>
                <a:schemeClr val="accent6"/>
              </a:solidFill>
              <a:ln w="38100">
                <a:solidFill>
                  <a:srgbClr val="7030A0"/>
                </a:solidFill>
              </a:ln>
              <a:effectLst/>
            </c:spPr>
          </c:marker>
          <c:xVal>
            <c:strRef>
              <c:f>'result-all-time-memory-non-ccf'!$A$2:$A$172</c:f>
              <c:strCache>
                <c:ptCount val="170"/>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8000-06</c:v>
                </c:pt>
                <c:pt idx="149">
                  <c:v>8000-07</c:v>
                </c:pt>
                <c:pt idx="150">
                  <c:v>8000-08</c:v>
                </c:pt>
                <c:pt idx="151">
                  <c:v>8000-09</c:v>
                </c:pt>
                <c:pt idx="152">
                  <c:v>9000-01</c:v>
                </c:pt>
                <c:pt idx="153">
                  <c:v>9000-02</c:v>
                </c:pt>
                <c:pt idx="154">
                  <c:v>9000-03</c:v>
                </c:pt>
                <c:pt idx="155">
                  <c:v>9000-04</c:v>
                </c:pt>
                <c:pt idx="156">
                  <c:v>9000-05</c:v>
                </c:pt>
                <c:pt idx="157">
                  <c:v>9000-06</c:v>
                </c:pt>
                <c:pt idx="158">
                  <c:v>9000-07</c:v>
                </c:pt>
                <c:pt idx="159">
                  <c:v>9000-08</c:v>
                </c:pt>
                <c:pt idx="160">
                  <c:v>9000-09</c:v>
                </c:pt>
                <c:pt idx="161">
                  <c:v>10000-01</c:v>
                </c:pt>
                <c:pt idx="162">
                  <c:v>10000-02</c:v>
                </c:pt>
                <c:pt idx="163">
                  <c:v>10000-03</c:v>
                </c:pt>
                <c:pt idx="164">
                  <c:v>10000-04</c:v>
                </c:pt>
                <c:pt idx="165">
                  <c:v>10000-05</c:v>
                </c:pt>
                <c:pt idx="166">
                  <c:v>10000-06</c:v>
                </c:pt>
                <c:pt idx="167">
                  <c:v>10000-07</c:v>
                </c:pt>
                <c:pt idx="168">
                  <c:v>10000-08</c:v>
                </c:pt>
                <c:pt idx="169">
                  <c:v>10000-09</c:v>
                </c:pt>
              </c:strCache>
            </c:strRef>
          </c:xVal>
          <c:yVal>
            <c:numRef>
              <c:f>'result-all-time-memory-non-ccf'!$L$2:$L$172</c:f>
              <c:numCache>
                <c:formatCode>General</c:formatCode>
                <c:ptCount val="171"/>
                <c:pt idx="0">
                  <c:v>6.3324160000000003</c:v>
                </c:pt>
                <c:pt idx="1">
                  <c:v>6.303744</c:v>
                </c:pt>
                <c:pt idx="2">
                  <c:v>6.2054400000000003</c:v>
                </c:pt>
                <c:pt idx="3">
                  <c:v>6.283264</c:v>
                </c:pt>
                <c:pt idx="4">
                  <c:v>6.0784640000000003</c:v>
                </c:pt>
                <c:pt idx="5">
                  <c:v>6.1890559999999999</c:v>
                </c:pt>
                <c:pt idx="6">
                  <c:v>6.230016</c:v>
                </c:pt>
                <c:pt idx="7">
                  <c:v>6.1849600000000002</c:v>
                </c:pt>
                <c:pt idx="8">
                  <c:v>6.3406079999999996</c:v>
                </c:pt>
                <c:pt idx="9">
                  <c:v>6.557696</c:v>
                </c:pt>
                <c:pt idx="10">
                  <c:v>12.759040000000001</c:v>
                </c:pt>
                <c:pt idx="11">
                  <c:v>6.8198400000000001</c:v>
                </c:pt>
                <c:pt idx="12">
                  <c:v>6.2545919999999997</c:v>
                </c:pt>
                <c:pt idx="13">
                  <c:v>6.4675840000000004</c:v>
                </c:pt>
                <c:pt idx="14">
                  <c:v>108.04428799999999</c:v>
                </c:pt>
                <c:pt idx="15">
                  <c:v>8.8186879999999999</c:v>
                </c:pt>
                <c:pt idx="16">
                  <c:v>116.744192</c:v>
                </c:pt>
                <c:pt idx="17">
                  <c:v>7.3564160000000003</c:v>
                </c:pt>
                <c:pt idx="18">
                  <c:v>8.9210879999999992</c:v>
                </c:pt>
                <c:pt idx="19">
                  <c:v>7.708672</c:v>
                </c:pt>
                <c:pt idx="20">
                  <c:v>9.6501760000000001</c:v>
                </c:pt>
                <c:pt idx="21">
                  <c:v>18.137087999999999</c:v>
                </c:pt>
                <c:pt idx="22">
                  <c:v>17.739775999999999</c:v>
                </c:pt>
                <c:pt idx="23">
                  <c:v>9.7443840000000002</c:v>
                </c:pt>
                <c:pt idx="24">
                  <c:v>9172.8814079999993</c:v>
                </c:pt>
                <c:pt idx="25">
                  <c:v>7.0696960000000004</c:v>
                </c:pt>
                <c:pt idx="26">
                  <c:v>80.785408000000004</c:v>
                </c:pt>
                <c:pt idx="27">
                  <c:v>8.6958079999999995</c:v>
                </c:pt>
                <c:pt idx="28">
                  <c:v>7.5366400000000002</c:v>
                </c:pt>
                <c:pt idx="29">
                  <c:v>11.976704</c:v>
                </c:pt>
                <c:pt idx="30">
                  <c:v>26.923007999999999</c:v>
                </c:pt>
                <c:pt idx="31">
                  <c:v>7.7045760000000003</c:v>
                </c:pt>
                <c:pt idx="32">
                  <c:v>159.428608</c:v>
                </c:pt>
                <c:pt idx="33">
                  <c:v>312.52480000000003</c:v>
                </c:pt>
                <c:pt idx="34">
                  <c:v>7.5202559999999998</c:v>
                </c:pt>
                <c:pt idx="35">
                  <c:v>123.379712</c:v>
                </c:pt>
                <c:pt idx="36">
                  <c:v>114.73715199999999</c:v>
                </c:pt>
                <c:pt idx="37">
                  <c:v>16000</c:v>
                </c:pt>
                <c:pt idx="38">
                  <c:v>16000</c:v>
                </c:pt>
                <c:pt idx="39">
                  <c:v>8.3025920000000006</c:v>
                </c:pt>
                <c:pt idx="40">
                  <c:v>2067.1733760000002</c:v>
                </c:pt>
                <c:pt idx="41">
                  <c:v>4929.6670720000002</c:v>
                </c:pt>
                <c:pt idx="42">
                  <c:v>16000</c:v>
                </c:pt>
                <c:pt idx="43">
                  <c:v>533.90540799999997</c:v>
                </c:pt>
                <c:pt idx="44">
                  <c:v>20.774912</c:v>
                </c:pt>
                <c:pt idx="45">
                  <c:v>14.315519999999999</c:v>
                </c:pt>
                <c:pt idx="46">
                  <c:v>16000</c:v>
                </c:pt>
                <c:pt idx="47">
                  <c:v>15.486976</c:v>
                </c:pt>
                <c:pt idx="48">
                  <c:v>31.764479999999999</c:v>
                </c:pt>
                <c:pt idx="49">
                  <c:v>9054.9493760000005</c:v>
                </c:pt>
                <c:pt idx="50">
                  <c:v>16000</c:v>
                </c:pt>
                <c:pt idx="51">
                  <c:v>16000</c:v>
                </c:pt>
                <c:pt idx="52">
                  <c:v>16000</c:v>
                </c:pt>
                <c:pt idx="53">
                  <c:v>16000</c:v>
                </c:pt>
                <c:pt idx="54">
                  <c:v>9.9983360000000001</c:v>
                </c:pt>
                <c:pt idx="55">
                  <c:v>13.021184</c:v>
                </c:pt>
                <c:pt idx="56">
                  <c:v>16000</c:v>
                </c:pt>
                <c:pt idx="57">
                  <c:v>16000</c:v>
                </c:pt>
                <c:pt idx="58">
                  <c:v>16000</c:v>
                </c:pt>
                <c:pt idx="59">
                  <c:v>16000</c:v>
                </c:pt>
                <c:pt idx="60">
                  <c:v>8.8268799999999992</c:v>
                </c:pt>
                <c:pt idx="61">
                  <c:v>16000</c:v>
                </c:pt>
                <c:pt idx="62">
                  <c:v>16000</c:v>
                </c:pt>
                <c:pt idx="63">
                  <c:v>773.341184</c:v>
                </c:pt>
                <c:pt idx="64">
                  <c:v>833.94969600000002</c:v>
                </c:pt>
                <c:pt idx="65">
                  <c:v>16000</c:v>
                </c:pt>
                <c:pt idx="66">
                  <c:v>2636.0872960000002</c:v>
                </c:pt>
                <c:pt idx="67">
                  <c:v>219.52511999999999</c:v>
                </c:pt>
                <c:pt idx="68">
                  <c:v>16000</c:v>
                </c:pt>
                <c:pt idx="69">
                  <c:v>16000</c:v>
                </c:pt>
                <c:pt idx="70">
                  <c:v>16000</c:v>
                </c:pt>
                <c:pt idx="71">
                  <c:v>16000</c:v>
                </c:pt>
                <c:pt idx="72">
                  <c:v>32.694271999999998</c:v>
                </c:pt>
                <c:pt idx="73">
                  <c:v>16000</c:v>
                </c:pt>
                <c:pt idx="74">
                  <c:v>16000</c:v>
                </c:pt>
                <c:pt idx="75">
                  <c:v>16000</c:v>
                </c:pt>
                <c:pt idx="76">
                  <c:v>16000</c:v>
                </c:pt>
                <c:pt idx="77">
                  <c:v>16000</c:v>
                </c:pt>
                <c:pt idx="78">
                  <c:v>16000</c:v>
                </c:pt>
                <c:pt idx="79">
                  <c:v>16000</c:v>
                </c:pt>
                <c:pt idx="80">
                  <c:v>16000</c:v>
                </c:pt>
                <c:pt idx="81">
                  <c:v>16000</c:v>
                </c:pt>
                <c:pt idx="82">
                  <c:v>16000</c:v>
                </c:pt>
                <c:pt idx="83">
                  <c:v>16000</c:v>
                </c:pt>
                <c:pt idx="84">
                  <c:v>16000</c:v>
                </c:pt>
                <c:pt idx="85">
                  <c:v>16000</c:v>
                </c:pt>
                <c:pt idx="86">
                  <c:v>16000</c:v>
                </c:pt>
                <c:pt idx="87">
                  <c:v>16000</c:v>
                </c:pt>
                <c:pt idx="88">
                  <c:v>16000</c:v>
                </c:pt>
                <c:pt idx="89">
                  <c:v>16000</c:v>
                </c:pt>
                <c:pt idx="90">
                  <c:v>16000</c:v>
                </c:pt>
                <c:pt idx="91">
                  <c:v>16000</c:v>
                </c:pt>
                <c:pt idx="92">
                  <c:v>16000</c:v>
                </c:pt>
                <c:pt idx="93">
                  <c:v>16000</c:v>
                </c:pt>
                <c:pt idx="94">
                  <c:v>17.539072000000001</c:v>
                </c:pt>
                <c:pt idx="95">
                  <c:v>16000</c:v>
                </c:pt>
                <c:pt idx="96">
                  <c:v>16000</c:v>
                </c:pt>
                <c:pt idx="97">
                  <c:v>16000</c:v>
                </c:pt>
                <c:pt idx="98">
                  <c:v>16000</c:v>
                </c:pt>
                <c:pt idx="99">
                  <c:v>16000</c:v>
                </c:pt>
                <c:pt idx="100">
                  <c:v>16000</c:v>
                </c:pt>
                <c:pt idx="101">
                  <c:v>16000</c:v>
                </c:pt>
                <c:pt idx="102">
                  <c:v>16000</c:v>
                </c:pt>
                <c:pt idx="103">
                  <c:v>16000</c:v>
                </c:pt>
                <c:pt idx="104">
                  <c:v>16000</c:v>
                </c:pt>
                <c:pt idx="105">
                  <c:v>16000</c:v>
                </c:pt>
                <c:pt idx="106">
                  <c:v>16000</c:v>
                </c:pt>
                <c:pt idx="107">
                  <c:v>16000</c:v>
                </c:pt>
                <c:pt idx="108">
                  <c:v>16000</c:v>
                </c:pt>
                <c:pt idx="109">
                  <c:v>16000</c:v>
                </c:pt>
                <c:pt idx="110">
                  <c:v>16000</c:v>
                </c:pt>
                <c:pt idx="111">
                  <c:v>16000</c:v>
                </c:pt>
                <c:pt idx="112">
                  <c:v>16000</c:v>
                </c:pt>
                <c:pt idx="113">
                  <c:v>16000</c:v>
                </c:pt>
                <c:pt idx="114">
                  <c:v>16000</c:v>
                </c:pt>
                <c:pt idx="115">
                  <c:v>16000</c:v>
                </c:pt>
                <c:pt idx="116">
                  <c:v>16000</c:v>
                </c:pt>
                <c:pt idx="117">
                  <c:v>16000</c:v>
                </c:pt>
                <c:pt idx="118">
                  <c:v>16000</c:v>
                </c:pt>
                <c:pt idx="119">
                  <c:v>16000</c:v>
                </c:pt>
                <c:pt idx="120">
                  <c:v>16000</c:v>
                </c:pt>
                <c:pt idx="121">
                  <c:v>16000</c:v>
                </c:pt>
                <c:pt idx="122">
                  <c:v>16000</c:v>
                </c:pt>
                <c:pt idx="123">
                  <c:v>16000</c:v>
                </c:pt>
                <c:pt idx="124">
                  <c:v>16000</c:v>
                </c:pt>
                <c:pt idx="125">
                  <c:v>16000</c:v>
                </c:pt>
                <c:pt idx="126">
                  <c:v>16000</c:v>
                </c:pt>
                <c:pt idx="127">
                  <c:v>16000</c:v>
                </c:pt>
                <c:pt idx="128">
                  <c:v>16000</c:v>
                </c:pt>
                <c:pt idx="129">
                  <c:v>16000</c:v>
                </c:pt>
                <c:pt idx="130">
                  <c:v>16000</c:v>
                </c:pt>
                <c:pt idx="131">
                  <c:v>16000</c:v>
                </c:pt>
                <c:pt idx="132">
                  <c:v>16000</c:v>
                </c:pt>
                <c:pt idx="133">
                  <c:v>16000</c:v>
                </c:pt>
                <c:pt idx="134">
                  <c:v>16000</c:v>
                </c:pt>
                <c:pt idx="135">
                  <c:v>16000</c:v>
                </c:pt>
                <c:pt idx="136">
                  <c:v>16000</c:v>
                </c:pt>
                <c:pt idx="137">
                  <c:v>16000</c:v>
                </c:pt>
                <c:pt idx="138">
                  <c:v>16000</c:v>
                </c:pt>
                <c:pt idx="139">
                  <c:v>16000</c:v>
                </c:pt>
                <c:pt idx="140">
                  <c:v>16000</c:v>
                </c:pt>
                <c:pt idx="141">
                  <c:v>16000</c:v>
                </c:pt>
                <c:pt idx="142">
                  <c:v>16000</c:v>
                </c:pt>
                <c:pt idx="143">
                  <c:v>16000</c:v>
                </c:pt>
                <c:pt idx="144">
                  <c:v>16000</c:v>
                </c:pt>
                <c:pt idx="145">
                  <c:v>16000</c:v>
                </c:pt>
                <c:pt idx="146">
                  <c:v>16000</c:v>
                </c:pt>
                <c:pt idx="147">
                  <c:v>16000</c:v>
                </c:pt>
                <c:pt idx="148">
                  <c:v>16000</c:v>
                </c:pt>
                <c:pt idx="149">
                  <c:v>16000</c:v>
                </c:pt>
                <c:pt idx="150">
                  <c:v>16000</c:v>
                </c:pt>
                <c:pt idx="151">
                  <c:v>16000</c:v>
                </c:pt>
                <c:pt idx="152">
                  <c:v>16000</c:v>
                </c:pt>
                <c:pt idx="153">
                  <c:v>16000</c:v>
                </c:pt>
                <c:pt idx="154">
                  <c:v>16000</c:v>
                </c:pt>
                <c:pt idx="155">
                  <c:v>16000</c:v>
                </c:pt>
                <c:pt idx="156">
                  <c:v>16000</c:v>
                </c:pt>
                <c:pt idx="157">
                  <c:v>16000</c:v>
                </c:pt>
                <c:pt idx="158">
                  <c:v>16000</c:v>
                </c:pt>
                <c:pt idx="159">
                  <c:v>16000</c:v>
                </c:pt>
                <c:pt idx="160">
                  <c:v>16000</c:v>
                </c:pt>
                <c:pt idx="161">
                  <c:v>16000</c:v>
                </c:pt>
                <c:pt idx="162">
                  <c:v>16000</c:v>
                </c:pt>
                <c:pt idx="163">
                  <c:v>16000</c:v>
                </c:pt>
                <c:pt idx="164">
                  <c:v>16000</c:v>
                </c:pt>
                <c:pt idx="165">
                  <c:v>16000</c:v>
                </c:pt>
                <c:pt idx="166">
                  <c:v>16000</c:v>
                </c:pt>
                <c:pt idx="167">
                  <c:v>16000</c:v>
                </c:pt>
                <c:pt idx="168">
                  <c:v>16000</c:v>
                </c:pt>
                <c:pt idx="169">
                  <c:v>16000</c:v>
                </c:pt>
                <c:pt idx="170">
                  <c:v>16000</c:v>
                </c:pt>
              </c:numCache>
            </c:numRef>
          </c:yVal>
          <c:smooth val="0"/>
          <c:extLst>
            <c:ext xmlns:c16="http://schemas.microsoft.com/office/drawing/2014/chart" uri="{C3380CC4-5D6E-409C-BE32-E72D297353CC}">
              <c16:uniqueId val="{00000005-3BDE-433E-8926-BFF4E26B5C48}"/>
            </c:ext>
          </c:extLst>
        </c:ser>
        <c:ser>
          <c:idx val="6"/>
          <c:order val="6"/>
          <c:tx>
            <c:strRef>
              <c:f>'result-all-time-memory-non-ccf'!$M$1</c:f>
              <c:strCache>
                <c:ptCount val="1"/>
                <c:pt idx="0">
                  <c:v>Memory-SCRAM-MOCUS</c:v>
                </c:pt>
              </c:strCache>
            </c:strRef>
          </c:tx>
          <c:spPr>
            <a:ln w="19050" cap="rnd">
              <a:noFill/>
              <a:round/>
            </a:ln>
            <a:effectLst/>
          </c:spPr>
          <c:marker>
            <c:symbol val="square"/>
            <c:size val="5"/>
            <c:spPr>
              <a:solidFill>
                <a:schemeClr val="accent1">
                  <a:lumMod val="60000"/>
                </a:schemeClr>
              </a:solidFill>
              <a:ln w="38100">
                <a:solidFill>
                  <a:schemeClr val="accent4"/>
                </a:solidFill>
              </a:ln>
              <a:effectLst/>
            </c:spPr>
          </c:marker>
          <c:xVal>
            <c:strRef>
              <c:f>'result-all-time-memory-non-ccf'!$A$2:$A$172</c:f>
              <c:strCache>
                <c:ptCount val="170"/>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8000-06</c:v>
                </c:pt>
                <c:pt idx="149">
                  <c:v>8000-07</c:v>
                </c:pt>
                <c:pt idx="150">
                  <c:v>8000-08</c:v>
                </c:pt>
                <c:pt idx="151">
                  <c:v>8000-09</c:v>
                </c:pt>
                <c:pt idx="152">
                  <c:v>9000-01</c:v>
                </c:pt>
                <c:pt idx="153">
                  <c:v>9000-02</c:v>
                </c:pt>
                <c:pt idx="154">
                  <c:v>9000-03</c:v>
                </c:pt>
                <c:pt idx="155">
                  <c:v>9000-04</c:v>
                </c:pt>
                <c:pt idx="156">
                  <c:v>9000-05</c:v>
                </c:pt>
                <c:pt idx="157">
                  <c:v>9000-06</c:v>
                </c:pt>
                <c:pt idx="158">
                  <c:v>9000-07</c:v>
                </c:pt>
                <c:pt idx="159">
                  <c:v>9000-08</c:v>
                </c:pt>
                <c:pt idx="160">
                  <c:v>9000-09</c:v>
                </c:pt>
                <c:pt idx="161">
                  <c:v>10000-01</c:v>
                </c:pt>
                <c:pt idx="162">
                  <c:v>10000-02</c:v>
                </c:pt>
                <c:pt idx="163">
                  <c:v>10000-03</c:v>
                </c:pt>
                <c:pt idx="164">
                  <c:v>10000-04</c:v>
                </c:pt>
                <c:pt idx="165">
                  <c:v>10000-05</c:v>
                </c:pt>
                <c:pt idx="166">
                  <c:v>10000-06</c:v>
                </c:pt>
                <c:pt idx="167">
                  <c:v>10000-07</c:v>
                </c:pt>
                <c:pt idx="168">
                  <c:v>10000-08</c:v>
                </c:pt>
                <c:pt idx="169">
                  <c:v>10000-09</c:v>
                </c:pt>
              </c:strCache>
            </c:strRef>
          </c:xVal>
          <c:yVal>
            <c:numRef>
              <c:f>'result-all-time-memory-non-ccf'!$M$2:$M$172</c:f>
              <c:numCache>
                <c:formatCode>General</c:formatCode>
                <c:ptCount val="171"/>
                <c:pt idx="0">
                  <c:v>6.2177280000000001</c:v>
                </c:pt>
                <c:pt idx="1">
                  <c:v>6.2136319999999996</c:v>
                </c:pt>
                <c:pt idx="2">
                  <c:v>6.1235200000000001</c:v>
                </c:pt>
                <c:pt idx="3">
                  <c:v>6.2095359999999999</c:v>
                </c:pt>
                <c:pt idx="4">
                  <c:v>6.0170240000000002</c:v>
                </c:pt>
                <c:pt idx="5">
                  <c:v>6.2095359999999999</c:v>
                </c:pt>
                <c:pt idx="6">
                  <c:v>6.0743679999999998</c:v>
                </c:pt>
                <c:pt idx="7">
                  <c:v>6.1235200000000001</c:v>
                </c:pt>
                <c:pt idx="8">
                  <c:v>6.3406079999999996</c:v>
                </c:pt>
                <c:pt idx="9">
                  <c:v>6.5863680000000002</c:v>
                </c:pt>
                <c:pt idx="10">
                  <c:v>7.8929919999999996</c:v>
                </c:pt>
                <c:pt idx="11">
                  <c:v>6.7706879999999998</c:v>
                </c:pt>
                <c:pt idx="12">
                  <c:v>6.2668799999999996</c:v>
                </c:pt>
                <c:pt idx="13">
                  <c:v>6.4716800000000001</c:v>
                </c:pt>
                <c:pt idx="14">
                  <c:v>8.3066879999999994</c:v>
                </c:pt>
                <c:pt idx="15">
                  <c:v>6.9959680000000004</c:v>
                </c:pt>
                <c:pt idx="16">
                  <c:v>6.9959680000000004</c:v>
                </c:pt>
                <c:pt idx="17">
                  <c:v>6.6437119999999998</c:v>
                </c:pt>
                <c:pt idx="18">
                  <c:v>7.4588159999999997</c:v>
                </c:pt>
                <c:pt idx="19">
                  <c:v>7.12704</c:v>
                </c:pt>
                <c:pt idx="20">
                  <c:v>7.2704000000000004</c:v>
                </c:pt>
                <c:pt idx="21">
                  <c:v>7.7824</c:v>
                </c:pt>
                <c:pt idx="22">
                  <c:v>7.4301440000000003</c:v>
                </c:pt>
                <c:pt idx="23">
                  <c:v>7.4997759999999998</c:v>
                </c:pt>
                <c:pt idx="24">
                  <c:v>84.119551999999999</c:v>
                </c:pt>
                <c:pt idx="25">
                  <c:v>7.0041599999999997</c:v>
                </c:pt>
                <c:pt idx="26">
                  <c:v>13.811712</c:v>
                </c:pt>
                <c:pt idx="27">
                  <c:v>7.9134719999999996</c:v>
                </c:pt>
                <c:pt idx="28">
                  <c:v>7.327744</c:v>
                </c:pt>
                <c:pt idx="29">
                  <c:v>8.0609280000000005</c:v>
                </c:pt>
                <c:pt idx="30">
                  <c:v>7.7824</c:v>
                </c:pt>
                <c:pt idx="31">
                  <c:v>7.3400319999999999</c:v>
                </c:pt>
                <c:pt idx="32">
                  <c:v>8.2001919999999995</c:v>
                </c:pt>
                <c:pt idx="33">
                  <c:v>8.4008959999999995</c:v>
                </c:pt>
                <c:pt idx="34">
                  <c:v>7.5161600000000002</c:v>
                </c:pt>
                <c:pt idx="35">
                  <c:v>7.9134719999999996</c:v>
                </c:pt>
                <c:pt idx="36">
                  <c:v>34.082816000000001</c:v>
                </c:pt>
                <c:pt idx="37">
                  <c:v>66.756608</c:v>
                </c:pt>
                <c:pt idx="38">
                  <c:v>3886.1824000000001</c:v>
                </c:pt>
                <c:pt idx="39">
                  <c:v>7.909376</c:v>
                </c:pt>
                <c:pt idx="40">
                  <c:v>83.668992000000003</c:v>
                </c:pt>
                <c:pt idx="41">
                  <c:v>117.850112</c:v>
                </c:pt>
                <c:pt idx="42">
                  <c:v>912.69939199999999</c:v>
                </c:pt>
                <c:pt idx="43">
                  <c:v>8.5729279999999992</c:v>
                </c:pt>
                <c:pt idx="44">
                  <c:v>10.006527999999999</c:v>
                </c:pt>
                <c:pt idx="45">
                  <c:v>8.7080959999999994</c:v>
                </c:pt>
                <c:pt idx="46">
                  <c:v>898.67468799999995</c:v>
                </c:pt>
                <c:pt idx="47">
                  <c:v>8.7367679999999996</c:v>
                </c:pt>
                <c:pt idx="48">
                  <c:v>9.0562559999999994</c:v>
                </c:pt>
                <c:pt idx="49">
                  <c:v>20.23424</c:v>
                </c:pt>
                <c:pt idx="50">
                  <c:v>28.749824</c:v>
                </c:pt>
                <c:pt idx="51">
                  <c:v>288.42803199999997</c:v>
                </c:pt>
                <c:pt idx="52">
                  <c:v>67.293183999999997</c:v>
                </c:pt>
                <c:pt idx="53">
                  <c:v>14957.645823999999</c:v>
                </c:pt>
                <c:pt idx="54">
                  <c:v>8.7777279999999998</c:v>
                </c:pt>
                <c:pt idx="55">
                  <c:v>8.9620479999999993</c:v>
                </c:pt>
                <c:pt idx="56">
                  <c:v>7481.135104</c:v>
                </c:pt>
                <c:pt idx="57">
                  <c:v>14920.269824000001</c:v>
                </c:pt>
                <c:pt idx="58">
                  <c:v>4038.6396159999999</c:v>
                </c:pt>
                <c:pt idx="59">
                  <c:v>10440.806399999999</c:v>
                </c:pt>
                <c:pt idx="60">
                  <c:v>8.8350720000000003</c:v>
                </c:pt>
                <c:pt idx="61">
                  <c:v>15194.312704</c:v>
                </c:pt>
                <c:pt idx="62">
                  <c:v>9631.8750720000007</c:v>
                </c:pt>
                <c:pt idx="63">
                  <c:v>2270.2407680000001</c:v>
                </c:pt>
                <c:pt idx="64">
                  <c:v>21.54496</c:v>
                </c:pt>
                <c:pt idx="65">
                  <c:v>304.75059199999998</c:v>
                </c:pt>
                <c:pt idx="66">
                  <c:v>14.598144</c:v>
                </c:pt>
                <c:pt idx="67">
                  <c:v>15.937536</c:v>
                </c:pt>
                <c:pt idx="68">
                  <c:v>7359.2872960000004</c:v>
                </c:pt>
                <c:pt idx="69">
                  <c:v>65.736704000000003</c:v>
                </c:pt>
                <c:pt idx="70">
                  <c:v>2062.0697599999999</c:v>
                </c:pt>
                <c:pt idx="71">
                  <c:v>1092.4236800000001</c:v>
                </c:pt>
                <c:pt idx="72">
                  <c:v>11.583487999999999</c:v>
                </c:pt>
                <c:pt idx="73">
                  <c:v>4594.0654080000004</c:v>
                </c:pt>
                <c:pt idx="74">
                  <c:v>14906.597376</c:v>
                </c:pt>
                <c:pt idx="75">
                  <c:v>10.788864</c:v>
                </c:pt>
                <c:pt idx="76">
                  <c:v>15309.49632</c:v>
                </c:pt>
                <c:pt idx="77">
                  <c:v>304.79155200000002</c:v>
                </c:pt>
                <c:pt idx="78">
                  <c:v>15830.695936</c:v>
                </c:pt>
                <c:pt idx="79">
                  <c:v>21.54496</c:v>
                </c:pt>
                <c:pt idx="80">
                  <c:v>16000</c:v>
                </c:pt>
                <c:pt idx="81">
                  <c:v>9467.0766079999994</c:v>
                </c:pt>
                <c:pt idx="82">
                  <c:v>943.23916799999995</c:v>
                </c:pt>
                <c:pt idx="83">
                  <c:v>16000</c:v>
                </c:pt>
                <c:pt idx="84">
                  <c:v>10332.061696000001</c:v>
                </c:pt>
                <c:pt idx="85">
                  <c:v>16000</c:v>
                </c:pt>
                <c:pt idx="86">
                  <c:v>3666.0346880000002</c:v>
                </c:pt>
                <c:pt idx="87">
                  <c:v>16000</c:v>
                </c:pt>
                <c:pt idx="88">
                  <c:v>10521.063424</c:v>
                </c:pt>
                <c:pt idx="89">
                  <c:v>7385.82528</c:v>
                </c:pt>
                <c:pt idx="90">
                  <c:v>30.457856</c:v>
                </c:pt>
                <c:pt idx="91">
                  <c:v>8522.3792639999992</c:v>
                </c:pt>
                <c:pt idx="92">
                  <c:v>7514.9352959999997</c:v>
                </c:pt>
                <c:pt idx="93">
                  <c:v>14911.746048000001</c:v>
                </c:pt>
                <c:pt idx="94">
                  <c:v>14.635007999999999</c:v>
                </c:pt>
                <c:pt idx="95">
                  <c:v>14905.683967999999</c:v>
                </c:pt>
                <c:pt idx="96">
                  <c:v>8621.2157439999992</c:v>
                </c:pt>
                <c:pt idx="97">
                  <c:v>16000</c:v>
                </c:pt>
                <c:pt idx="98">
                  <c:v>14943.694847999999</c:v>
                </c:pt>
                <c:pt idx="99">
                  <c:v>15003.078656</c:v>
                </c:pt>
                <c:pt idx="100">
                  <c:v>10300.735488</c:v>
                </c:pt>
                <c:pt idx="101">
                  <c:v>10185.46176</c:v>
                </c:pt>
                <c:pt idx="102">
                  <c:v>16000</c:v>
                </c:pt>
                <c:pt idx="103">
                  <c:v>16000</c:v>
                </c:pt>
                <c:pt idx="104">
                  <c:v>14924.554239999999</c:v>
                </c:pt>
                <c:pt idx="105">
                  <c:v>8135.3400320000001</c:v>
                </c:pt>
                <c:pt idx="106">
                  <c:v>14971.211776</c:v>
                </c:pt>
                <c:pt idx="107">
                  <c:v>16000</c:v>
                </c:pt>
                <c:pt idx="108">
                  <c:v>7410.0613119999998</c:v>
                </c:pt>
                <c:pt idx="109">
                  <c:v>14961.782784000001</c:v>
                </c:pt>
                <c:pt idx="110">
                  <c:v>14905.962496</c:v>
                </c:pt>
                <c:pt idx="111">
                  <c:v>10020.491264</c:v>
                </c:pt>
                <c:pt idx="112">
                  <c:v>9184.8089600000003</c:v>
                </c:pt>
                <c:pt idx="113">
                  <c:v>15258.398719999999</c:v>
                </c:pt>
                <c:pt idx="114">
                  <c:v>7444.3980799999999</c:v>
                </c:pt>
                <c:pt idx="115">
                  <c:v>9544.6958080000004</c:v>
                </c:pt>
                <c:pt idx="116">
                  <c:v>7422.0298240000002</c:v>
                </c:pt>
                <c:pt idx="117">
                  <c:v>16000</c:v>
                </c:pt>
                <c:pt idx="118">
                  <c:v>14914.207743999999</c:v>
                </c:pt>
                <c:pt idx="119">
                  <c:v>14955.364352000001</c:v>
                </c:pt>
                <c:pt idx="120">
                  <c:v>16000</c:v>
                </c:pt>
                <c:pt idx="121">
                  <c:v>16000</c:v>
                </c:pt>
                <c:pt idx="122">
                  <c:v>14931.116032</c:v>
                </c:pt>
                <c:pt idx="123">
                  <c:v>8517.5992320000005</c:v>
                </c:pt>
                <c:pt idx="124">
                  <c:v>9655.4639360000001</c:v>
                </c:pt>
                <c:pt idx="125">
                  <c:v>16000</c:v>
                </c:pt>
                <c:pt idx="126">
                  <c:v>10394.300416</c:v>
                </c:pt>
                <c:pt idx="127">
                  <c:v>15024.828416</c:v>
                </c:pt>
                <c:pt idx="128">
                  <c:v>10560.397311999999</c:v>
                </c:pt>
                <c:pt idx="129">
                  <c:v>16000</c:v>
                </c:pt>
                <c:pt idx="130">
                  <c:v>14957.199360000001</c:v>
                </c:pt>
                <c:pt idx="131">
                  <c:v>15279.906816000001</c:v>
                </c:pt>
                <c:pt idx="132">
                  <c:v>16000</c:v>
                </c:pt>
                <c:pt idx="133">
                  <c:v>15172.99712</c:v>
                </c:pt>
                <c:pt idx="134">
                  <c:v>16000</c:v>
                </c:pt>
                <c:pt idx="135">
                  <c:v>16000</c:v>
                </c:pt>
                <c:pt idx="136">
                  <c:v>16000</c:v>
                </c:pt>
                <c:pt idx="137">
                  <c:v>10145.280000000001</c:v>
                </c:pt>
                <c:pt idx="138">
                  <c:v>15004.7744</c:v>
                </c:pt>
                <c:pt idx="139">
                  <c:v>16000</c:v>
                </c:pt>
                <c:pt idx="140">
                  <c:v>8771.7601279999999</c:v>
                </c:pt>
                <c:pt idx="141">
                  <c:v>8304.6973440000002</c:v>
                </c:pt>
                <c:pt idx="142">
                  <c:v>16000</c:v>
                </c:pt>
                <c:pt idx="143">
                  <c:v>16000</c:v>
                </c:pt>
                <c:pt idx="144">
                  <c:v>16000</c:v>
                </c:pt>
                <c:pt idx="145">
                  <c:v>16000</c:v>
                </c:pt>
                <c:pt idx="146">
                  <c:v>16000</c:v>
                </c:pt>
                <c:pt idx="147">
                  <c:v>14969.774079999999</c:v>
                </c:pt>
                <c:pt idx="148">
                  <c:v>16000</c:v>
                </c:pt>
                <c:pt idx="149">
                  <c:v>8776.1510400000006</c:v>
                </c:pt>
                <c:pt idx="150">
                  <c:v>14930.464768</c:v>
                </c:pt>
                <c:pt idx="151">
                  <c:v>16000</c:v>
                </c:pt>
                <c:pt idx="152">
                  <c:v>16000</c:v>
                </c:pt>
                <c:pt idx="153">
                  <c:v>7379.1242240000001</c:v>
                </c:pt>
                <c:pt idx="154">
                  <c:v>7430.2750720000004</c:v>
                </c:pt>
                <c:pt idx="155">
                  <c:v>16000</c:v>
                </c:pt>
                <c:pt idx="156">
                  <c:v>14930.759679999999</c:v>
                </c:pt>
                <c:pt idx="157">
                  <c:v>16000</c:v>
                </c:pt>
                <c:pt idx="158">
                  <c:v>14891.057151999999</c:v>
                </c:pt>
                <c:pt idx="159">
                  <c:v>16000</c:v>
                </c:pt>
                <c:pt idx="160">
                  <c:v>16000</c:v>
                </c:pt>
                <c:pt idx="161">
                  <c:v>16000</c:v>
                </c:pt>
                <c:pt idx="162">
                  <c:v>14910.472191999999</c:v>
                </c:pt>
                <c:pt idx="163">
                  <c:v>16000</c:v>
                </c:pt>
                <c:pt idx="164">
                  <c:v>16000</c:v>
                </c:pt>
                <c:pt idx="165">
                  <c:v>16000</c:v>
                </c:pt>
                <c:pt idx="166">
                  <c:v>9915.5435519999992</c:v>
                </c:pt>
                <c:pt idx="167">
                  <c:v>15330.816000000001</c:v>
                </c:pt>
                <c:pt idx="168">
                  <c:v>15059.476479999999</c:v>
                </c:pt>
                <c:pt idx="169">
                  <c:v>15984.381952</c:v>
                </c:pt>
                <c:pt idx="170">
                  <c:v>15057.567744</c:v>
                </c:pt>
              </c:numCache>
            </c:numRef>
          </c:yVal>
          <c:smooth val="0"/>
          <c:extLst>
            <c:ext xmlns:c16="http://schemas.microsoft.com/office/drawing/2014/chart" uri="{C3380CC4-5D6E-409C-BE32-E72D297353CC}">
              <c16:uniqueId val="{00000006-3BDE-433E-8926-BFF4E26B5C48}"/>
            </c:ext>
          </c:extLst>
        </c:ser>
        <c:ser>
          <c:idx val="7"/>
          <c:order val="7"/>
          <c:tx>
            <c:strRef>
              <c:f>'result-all-time-memory-non-ccf'!$N$1</c:f>
              <c:strCache>
                <c:ptCount val="1"/>
                <c:pt idx="0">
                  <c:v>Memory-SCRAM-ZBDD</c:v>
                </c:pt>
              </c:strCache>
            </c:strRef>
          </c:tx>
          <c:spPr>
            <a:ln w="19050" cap="rnd">
              <a:noFill/>
              <a:round/>
            </a:ln>
            <a:effectLst/>
          </c:spPr>
          <c:marker>
            <c:symbol val="square"/>
            <c:size val="5"/>
            <c:spPr>
              <a:solidFill>
                <a:schemeClr val="accent2">
                  <a:lumMod val="60000"/>
                </a:schemeClr>
              </a:solidFill>
              <a:ln w="38100">
                <a:solidFill>
                  <a:schemeClr val="accent5"/>
                </a:solidFill>
              </a:ln>
              <a:effectLst/>
            </c:spPr>
          </c:marker>
          <c:xVal>
            <c:strRef>
              <c:f>'result-all-time-memory-non-ccf'!$A$2:$A$172</c:f>
              <c:strCache>
                <c:ptCount val="170"/>
                <c:pt idx="0">
                  <c:v>100-01</c:v>
                </c:pt>
                <c:pt idx="1">
                  <c:v>100-02</c:v>
                </c:pt>
                <c:pt idx="2">
                  <c:v>100-03</c:v>
                </c:pt>
                <c:pt idx="3">
                  <c:v>100-04</c:v>
                </c:pt>
                <c:pt idx="4">
                  <c:v>100-05</c:v>
                </c:pt>
                <c:pt idx="5">
                  <c:v>100-06</c:v>
                </c:pt>
                <c:pt idx="6">
                  <c:v>100-07</c:v>
                </c:pt>
                <c:pt idx="7">
                  <c:v>100-08</c:v>
                </c:pt>
                <c:pt idx="8">
                  <c:v>100-09</c:v>
                </c:pt>
                <c:pt idx="9">
                  <c:v>200-01</c:v>
                </c:pt>
                <c:pt idx="10">
                  <c:v>200-02</c:v>
                </c:pt>
                <c:pt idx="11">
                  <c:v>200-03</c:v>
                </c:pt>
                <c:pt idx="12">
                  <c:v>200-04</c:v>
                </c:pt>
                <c:pt idx="13">
                  <c:v>200-05</c:v>
                </c:pt>
                <c:pt idx="14">
                  <c:v>200-06</c:v>
                </c:pt>
                <c:pt idx="15">
                  <c:v>200-07</c:v>
                </c:pt>
                <c:pt idx="16">
                  <c:v>200-08</c:v>
                </c:pt>
                <c:pt idx="17">
                  <c:v>200-09</c:v>
                </c:pt>
                <c:pt idx="18">
                  <c:v>300-01</c:v>
                </c:pt>
                <c:pt idx="19">
                  <c:v>300-02</c:v>
                </c:pt>
                <c:pt idx="20">
                  <c:v>300-03</c:v>
                </c:pt>
                <c:pt idx="21">
                  <c:v>300-04</c:v>
                </c:pt>
                <c:pt idx="22">
                  <c:v>300-05</c:v>
                </c:pt>
                <c:pt idx="23">
                  <c:v>300-06</c:v>
                </c:pt>
                <c:pt idx="24">
                  <c:v>300-07</c:v>
                </c:pt>
                <c:pt idx="25">
                  <c:v>300-08</c:v>
                </c:pt>
                <c:pt idx="26">
                  <c:v>300-09</c:v>
                </c:pt>
                <c:pt idx="27">
                  <c:v>400-01</c:v>
                </c:pt>
                <c:pt idx="28">
                  <c:v>400-02</c:v>
                </c:pt>
                <c:pt idx="29">
                  <c:v>400-03</c:v>
                </c:pt>
                <c:pt idx="30">
                  <c:v>400-04</c:v>
                </c:pt>
                <c:pt idx="31">
                  <c:v>400-05</c:v>
                </c:pt>
                <c:pt idx="32">
                  <c:v>400-06</c:v>
                </c:pt>
                <c:pt idx="33">
                  <c:v>400-07</c:v>
                </c:pt>
                <c:pt idx="34">
                  <c:v>400-08</c:v>
                </c:pt>
                <c:pt idx="35">
                  <c:v>400-09</c:v>
                </c:pt>
                <c:pt idx="36">
                  <c:v>500-01</c:v>
                </c:pt>
                <c:pt idx="37">
                  <c:v>500-02</c:v>
                </c:pt>
                <c:pt idx="38">
                  <c:v>500-03</c:v>
                </c:pt>
                <c:pt idx="39">
                  <c:v>500-04</c:v>
                </c:pt>
                <c:pt idx="40">
                  <c:v>500-05</c:v>
                </c:pt>
                <c:pt idx="41">
                  <c:v>500-06</c:v>
                </c:pt>
                <c:pt idx="42">
                  <c:v>500-07</c:v>
                </c:pt>
                <c:pt idx="43">
                  <c:v>500-08</c:v>
                </c:pt>
                <c:pt idx="44">
                  <c:v>500-09</c:v>
                </c:pt>
                <c:pt idx="45">
                  <c:v>600-01</c:v>
                </c:pt>
                <c:pt idx="46">
                  <c:v>600-02</c:v>
                </c:pt>
                <c:pt idx="47">
                  <c:v>600-03</c:v>
                </c:pt>
                <c:pt idx="48">
                  <c:v>600-04</c:v>
                </c:pt>
                <c:pt idx="49">
                  <c:v>600-05</c:v>
                </c:pt>
                <c:pt idx="50">
                  <c:v>600-06</c:v>
                </c:pt>
                <c:pt idx="51">
                  <c:v>600-07</c:v>
                </c:pt>
                <c:pt idx="52">
                  <c:v>600-08</c:v>
                </c:pt>
                <c:pt idx="53">
                  <c:v>600-09</c:v>
                </c:pt>
                <c:pt idx="54">
                  <c:v>700-01</c:v>
                </c:pt>
                <c:pt idx="55">
                  <c:v>700-02</c:v>
                </c:pt>
                <c:pt idx="56">
                  <c:v>700-03</c:v>
                </c:pt>
                <c:pt idx="57">
                  <c:v>700-04</c:v>
                </c:pt>
                <c:pt idx="58">
                  <c:v>700-05</c:v>
                </c:pt>
                <c:pt idx="59">
                  <c:v>700-06</c:v>
                </c:pt>
                <c:pt idx="60">
                  <c:v>700-07</c:v>
                </c:pt>
                <c:pt idx="61">
                  <c:v>700-08</c:v>
                </c:pt>
                <c:pt idx="62">
                  <c:v>700-09</c:v>
                </c:pt>
                <c:pt idx="63">
                  <c:v>800-01</c:v>
                </c:pt>
                <c:pt idx="64">
                  <c:v>800-02</c:v>
                </c:pt>
                <c:pt idx="65">
                  <c:v>800-03</c:v>
                </c:pt>
                <c:pt idx="66">
                  <c:v>800-04</c:v>
                </c:pt>
                <c:pt idx="67">
                  <c:v>800-05</c:v>
                </c:pt>
                <c:pt idx="68">
                  <c:v>800-06</c:v>
                </c:pt>
                <c:pt idx="69">
                  <c:v>800-07</c:v>
                </c:pt>
                <c:pt idx="70">
                  <c:v>800-08</c:v>
                </c:pt>
                <c:pt idx="71">
                  <c:v>800-09</c:v>
                </c:pt>
                <c:pt idx="72">
                  <c:v>900-01</c:v>
                </c:pt>
                <c:pt idx="73">
                  <c:v>900-02</c:v>
                </c:pt>
                <c:pt idx="74">
                  <c:v>900-03</c:v>
                </c:pt>
                <c:pt idx="75">
                  <c:v>900-04</c:v>
                </c:pt>
                <c:pt idx="76">
                  <c:v>900-05</c:v>
                </c:pt>
                <c:pt idx="77">
                  <c:v>900-06</c:v>
                </c:pt>
                <c:pt idx="78">
                  <c:v>900-07</c:v>
                </c:pt>
                <c:pt idx="79">
                  <c:v>900-08</c:v>
                </c:pt>
                <c:pt idx="80">
                  <c:v>900-09</c:v>
                </c:pt>
                <c:pt idx="81">
                  <c:v>1000-01</c:v>
                </c:pt>
                <c:pt idx="82">
                  <c:v>1000-02</c:v>
                </c:pt>
                <c:pt idx="83">
                  <c:v>1000-03</c:v>
                </c:pt>
                <c:pt idx="84">
                  <c:v>1000-04</c:v>
                </c:pt>
                <c:pt idx="85">
                  <c:v>1000-05</c:v>
                </c:pt>
                <c:pt idx="86">
                  <c:v>1000-06</c:v>
                </c:pt>
                <c:pt idx="87">
                  <c:v>1000-07</c:v>
                </c:pt>
                <c:pt idx="88">
                  <c:v>1000-08</c:v>
                </c:pt>
                <c:pt idx="89">
                  <c:v>1000-09</c:v>
                </c:pt>
                <c:pt idx="90">
                  <c:v>2000-01</c:v>
                </c:pt>
                <c:pt idx="91">
                  <c:v>2000-02</c:v>
                </c:pt>
                <c:pt idx="92">
                  <c:v>2000-03</c:v>
                </c:pt>
                <c:pt idx="93">
                  <c:v>2000-04</c:v>
                </c:pt>
                <c:pt idx="94">
                  <c:v>2000-05</c:v>
                </c:pt>
                <c:pt idx="95">
                  <c:v>2000-06</c:v>
                </c:pt>
                <c:pt idx="96">
                  <c:v>2000-07</c:v>
                </c:pt>
                <c:pt idx="97">
                  <c:v>2000-08</c:v>
                </c:pt>
                <c:pt idx="98">
                  <c:v>2000-09</c:v>
                </c:pt>
                <c:pt idx="99">
                  <c:v>3000-01</c:v>
                </c:pt>
                <c:pt idx="100">
                  <c:v>3000-02</c:v>
                </c:pt>
                <c:pt idx="101">
                  <c:v>3000-03</c:v>
                </c:pt>
                <c:pt idx="102">
                  <c:v>3000-04</c:v>
                </c:pt>
                <c:pt idx="103">
                  <c:v>3000-05</c:v>
                </c:pt>
                <c:pt idx="104">
                  <c:v>3000-06</c:v>
                </c:pt>
                <c:pt idx="105">
                  <c:v>3000-07</c:v>
                </c:pt>
                <c:pt idx="106">
                  <c:v>3000-08</c:v>
                </c:pt>
                <c:pt idx="107">
                  <c:v>3000-09</c:v>
                </c:pt>
                <c:pt idx="108">
                  <c:v>4000-01</c:v>
                </c:pt>
                <c:pt idx="109">
                  <c:v>4000-02</c:v>
                </c:pt>
                <c:pt idx="110">
                  <c:v>4000-03</c:v>
                </c:pt>
                <c:pt idx="111">
                  <c:v>4000-04</c:v>
                </c:pt>
                <c:pt idx="112">
                  <c:v>4000-05</c:v>
                </c:pt>
                <c:pt idx="113">
                  <c:v>4000-06</c:v>
                </c:pt>
                <c:pt idx="114">
                  <c:v>4000-07</c:v>
                </c:pt>
                <c:pt idx="115">
                  <c:v>4000-08</c:v>
                </c:pt>
                <c:pt idx="116">
                  <c:v>4000-09</c:v>
                </c:pt>
                <c:pt idx="117">
                  <c:v>5000-01</c:v>
                </c:pt>
                <c:pt idx="118">
                  <c:v>5000-02</c:v>
                </c:pt>
                <c:pt idx="119">
                  <c:v>5000-03</c:v>
                </c:pt>
                <c:pt idx="120">
                  <c:v>5000-04</c:v>
                </c:pt>
                <c:pt idx="121">
                  <c:v>5000-05</c:v>
                </c:pt>
                <c:pt idx="122">
                  <c:v>5000-06</c:v>
                </c:pt>
                <c:pt idx="123">
                  <c:v>5000-07</c:v>
                </c:pt>
                <c:pt idx="124">
                  <c:v>5000-08</c:v>
                </c:pt>
                <c:pt idx="125">
                  <c:v>5000-09</c:v>
                </c:pt>
                <c:pt idx="126">
                  <c:v>6000-01</c:v>
                </c:pt>
                <c:pt idx="127">
                  <c:v>6000-02</c:v>
                </c:pt>
                <c:pt idx="128">
                  <c:v>6000-03</c:v>
                </c:pt>
                <c:pt idx="129">
                  <c:v>6000-04</c:v>
                </c:pt>
                <c:pt idx="130">
                  <c:v>6000-05</c:v>
                </c:pt>
                <c:pt idx="131">
                  <c:v>6000-06</c:v>
                </c:pt>
                <c:pt idx="132">
                  <c:v>6000-07</c:v>
                </c:pt>
                <c:pt idx="133">
                  <c:v>6000-08</c:v>
                </c:pt>
                <c:pt idx="134">
                  <c:v>6000-09</c:v>
                </c:pt>
                <c:pt idx="135">
                  <c:v>7000-01</c:v>
                </c:pt>
                <c:pt idx="136">
                  <c:v>7000-02</c:v>
                </c:pt>
                <c:pt idx="137">
                  <c:v>7000-03</c:v>
                </c:pt>
                <c:pt idx="138">
                  <c:v>7000-04</c:v>
                </c:pt>
                <c:pt idx="139">
                  <c:v>7000-05</c:v>
                </c:pt>
                <c:pt idx="140">
                  <c:v>7000-06</c:v>
                </c:pt>
                <c:pt idx="141">
                  <c:v>7000-07</c:v>
                </c:pt>
                <c:pt idx="142">
                  <c:v>7000-08</c:v>
                </c:pt>
                <c:pt idx="143">
                  <c:v>7000-09</c:v>
                </c:pt>
                <c:pt idx="144">
                  <c:v>8000-01</c:v>
                </c:pt>
                <c:pt idx="145">
                  <c:v>8000-02</c:v>
                </c:pt>
                <c:pt idx="146">
                  <c:v>8000-03</c:v>
                </c:pt>
                <c:pt idx="147">
                  <c:v>8000-04</c:v>
                </c:pt>
                <c:pt idx="148">
                  <c:v>8000-06</c:v>
                </c:pt>
                <c:pt idx="149">
                  <c:v>8000-07</c:v>
                </c:pt>
                <c:pt idx="150">
                  <c:v>8000-08</c:v>
                </c:pt>
                <c:pt idx="151">
                  <c:v>8000-09</c:v>
                </c:pt>
                <c:pt idx="152">
                  <c:v>9000-01</c:v>
                </c:pt>
                <c:pt idx="153">
                  <c:v>9000-02</c:v>
                </c:pt>
                <c:pt idx="154">
                  <c:v>9000-03</c:v>
                </c:pt>
                <c:pt idx="155">
                  <c:v>9000-04</c:v>
                </c:pt>
                <c:pt idx="156">
                  <c:v>9000-05</c:v>
                </c:pt>
                <c:pt idx="157">
                  <c:v>9000-06</c:v>
                </c:pt>
                <c:pt idx="158">
                  <c:v>9000-07</c:v>
                </c:pt>
                <c:pt idx="159">
                  <c:v>9000-08</c:v>
                </c:pt>
                <c:pt idx="160">
                  <c:v>9000-09</c:v>
                </c:pt>
                <c:pt idx="161">
                  <c:v>10000-01</c:v>
                </c:pt>
                <c:pt idx="162">
                  <c:v>10000-02</c:v>
                </c:pt>
                <c:pt idx="163">
                  <c:v>10000-03</c:v>
                </c:pt>
                <c:pt idx="164">
                  <c:v>10000-04</c:v>
                </c:pt>
                <c:pt idx="165">
                  <c:v>10000-05</c:v>
                </c:pt>
                <c:pt idx="166">
                  <c:v>10000-06</c:v>
                </c:pt>
                <c:pt idx="167">
                  <c:v>10000-07</c:v>
                </c:pt>
                <c:pt idx="168">
                  <c:v>10000-08</c:v>
                </c:pt>
                <c:pt idx="169">
                  <c:v>10000-09</c:v>
                </c:pt>
              </c:strCache>
            </c:strRef>
          </c:xVal>
          <c:yVal>
            <c:numRef>
              <c:f>'result-all-time-memory-non-ccf'!$N$2:$N$172</c:f>
              <c:numCache>
                <c:formatCode>General</c:formatCode>
                <c:ptCount val="171"/>
                <c:pt idx="0">
                  <c:v>6.2709760000000001</c:v>
                </c:pt>
                <c:pt idx="1">
                  <c:v>6.1521920000000003</c:v>
                </c:pt>
                <c:pt idx="2">
                  <c:v>6.0784640000000003</c:v>
                </c:pt>
                <c:pt idx="3">
                  <c:v>6.1685759999999998</c:v>
                </c:pt>
                <c:pt idx="4">
                  <c:v>5.9637760000000002</c:v>
                </c:pt>
                <c:pt idx="5">
                  <c:v>6.2136319999999996</c:v>
                </c:pt>
                <c:pt idx="6">
                  <c:v>6.1685759999999998</c:v>
                </c:pt>
                <c:pt idx="7">
                  <c:v>6.1890559999999999</c:v>
                </c:pt>
                <c:pt idx="8">
                  <c:v>6.2423039999999999</c:v>
                </c:pt>
                <c:pt idx="9">
                  <c:v>6.4757759999999998</c:v>
                </c:pt>
                <c:pt idx="10">
                  <c:v>8.1756159999999998</c:v>
                </c:pt>
                <c:pt idx="11">
                  <c:v>6.7338240000000003</c:v>
                </c:pt>
                <c:pt idx="12">
                  <c:v>6.2054400000000003</c:v>
                </c:pt>
                <c:pt idx="13">
                  <c:v>6.4716800000000001</c:v>
                </c:pt>
                <c:pt idx="14">
                  <c:v>9.8672640000000005</c:v>
                </c:pt>
                <c:pt idx="15">
                  <c:v>8.6958079999999995</c:v>
                </c:pt>
                <c:pt idx="16">
                  <c:v>9.7443840000000002</c:v>
                </c:pt>
                <c:pt idx="17">
                  <c:v>6.5986560000000001</c:v>
                </c:pt>
                <c:pt idx="18">
                  <c:v>7.6513280000000004</c:v>
                </c:pt>
                <c:pt idx="19">
                  <c:v>7.1352320000000002</c:v>
                </c:pt>
                <c:pt idx="20">
                  <c:v>7.3482240000000001</c:v>
                </c:pt>
                <c:pt idx="21">
                  <c:v>7.909376</c:v>
                </c:pt>
                <c:pt idx="22">
                  <c:v>7.6472319999999998</c:v>
                </c:pt>
                <c:pt idx="23">
                  <c:v>7.708672</c:v>
                </c:pt>
                <c:pt idx="24">
                  <c:v>338.931712</c:v>
                </c:pt>
                <c:pt idx="25">
                  <c:v>6.9918719999999999</c:v>
                </c:pt>
                <c:pt idx="26">
                  <c:v>22.58944</c:v>
                </c:pt>
                <c:pt idx="27">
                  <c:v>8.0363520000000008</c:v>
                </c:pt>
                <c:pt idx="28">
                  <c:v>7.2622080000000002</c:v>
                </c:pt>
                <c:pt idx="29">
                  <c:v>8.2534399999999994</c:v>
                </c:pt>
                <c:pt idx="30">
                  <c:v>8.0404479999999996</c:v>
                </c:pt>
                <c:pt idx="31">
                  <c:v>7.3891840000000002</c:v>
                </c:pt>
                <c:pt idx="32">
                  <c:v>8.3066879999999994</c:v>
                </c:pt>
                <c:pt idx="33">
                  <c:v>8.7080959999999994</c:v>
                </c:pt>
                <c:pt idx="34">
                  <c:v>7.4670079999999999</c:v>
                </c:pt>
                <c:pt idx="35">
                  <c:v>7.9175680000000002</c:v>
                </c:pt>
                <c:pt idx="36">
                  <c:v>118.14502400000001</c:v>
                </c:pt>
                <c:pt idx="37">
                  <c:v>129.417216</c:v>
                </c:pt>
                <c:pt idx="38">
                  <c:v>16000</c:v>
                </c:pt>
                <c:pt idx="39">
                  <c:v>8.3025920000000006</c:v>
                </c:pt>
                <c:pt idx="40">
                  <c:v>141.34067200000001</c:v>
                </c:pt>
                <c:pt idx="41">
                  <c:v>158.25305599999999</c:v>
                </c:pt>
                <c:pt idx="42">
                  <c:v>2162.60608</c:v>
                </c:pt>
                <c:pt idx="43">
                  <c:v>9.7443840000000002</c:v>
                </c:pt>
                <c:pt idx="44">
                  <c:v>14.336</c:v>
                </c:pt>
                <c:pt idx="45">
                  <c:v>8.8391680000000008</c:v>
                </c:pt>
                <c:pt idx="46">
                  <c:v>16000</c:v>
                </c:pt>
                <c:pt idx="47">
                  <c:v>8.8064</c:v>
                </c:pt>
                <c:pt idx="48">
                  <c:v>9.2282879999999992</c:v>
                </c:pt>
                <c:pt idx="49">
                  <c:v>54.439936000000003</c:v>
                </c:pt>
                <c:pt idx="50">
                  <c:v>106.217472</c:v>
                </c:pt>
                <c:pt idx="51">
                  <c:v>1264.898048</c:v>
                </c:pt>
                <c:pt idx="52">
                  <c:v>141.47584000000001</c:v>
                </c:pt>
                <c:pt idx="53">
                  <c:v>16000</c:v>
                </c:pt>
                <c:pt idx="54">
                  <c:v>9.2979199999999995</c:v>
                </c:pt>
                <c:pt idx="55">
                  <c:v>11.862016000000001</c:v>
                </c:pt>
                <c:pt idx="56">
                  <c:v>16000</c:v>
                </c:pt>
                <c:pt idx="57">
                  <c:v>16000</c:v>
                </c:pt>
                <c:pt idx="58">
                  <c:v>4239.4378239999996</c:v>
                </c:pt>
                <c:pt idx="59">
                  <c:v>16000</c:v>
                </c:pt>
                <c:pt idx="60">
                  <c:v>8.8432639999999996</c:v>
                </c:pt>
                <c:pt idx="61">
                  <c:v>16000</c:v>
                </c:pt>
                <c:pt idx="62">
                  <c:v>16000</c:v>
                </c:pt>
                <c:pt idx="63">
                  <c:v>16000</c:v>
                </c:pt>
                <c:pt idx="64">
                  <c:v>43.040768</c:v>
                </c:pt>
                <c:pt idx="65">
                  <c:v>575.27910399999996</c:v>
                </c:pt>
                <c:pt idx="66">
                  <c:v>17.887232000000001</c:v>
                </c:pt>
                <c:pt idx="67">
                  <c:v>27.570176</c:v>
                </c:pt>
                <c:pt idx="68">
                  <c:v>16000</c:v>
                </c:pt>
                <c:pt idx="69">
                  <c:v>2277.56032</c:v>
                </c:pt>
                <c:pt idx="70">
                  <c:v>2515.02592</c:v>
                </c:pt>
                <c:pt idx="71">
                  <c:v>2225.9712</c:v>
                </c:pt>
                <c:pt idx="72">
                  <c:v>20.275200000000002</c:v>
                </c:pt>
                <c:pt idx="73">
                  <c:v>9696.1126399999994</c:v>
                </c:pt>
                <c:pt idx="74">
                  <c:v>16000</c:v>
                </c:pt>
                <c:pt idx="75">
                  <c:v>13.414400000000001</c:v>
                </c:pt>
                <c:pt idx="76">
                  <c:v>16000</c:v>
                </c:pt>
                <c:pt idx="77">
                  <c:v>504.79513600000001</c:v>
                </c:pt>
                <c:pt idx="78">
                  <c:v>16000</c:v>
                </c:pt>
                <c:pt idx="79">
                  <c:v>28.225536000000002</c:v>
                </c:pt>
                <c:pt idx="80">
                  <c:v>16000</c:v>
                </c:pt>
                <c:pt idx="81">
                  <c:v>16000</c:v>
                </c:pt>
                <c:pt idx="82">
                  <c:v>1172.226048</c:v>
                </c:pt>
                <c:pt idx="83">
                  <c:v>16000</c:v>
                </c:pt>
                <c:pt idx="84">
                  <c:v>15441.301503999999</c:v>
                </c:pt>
                <c:pt idx="85">
                  <c:v>16000</c:v>
                </c:pt>
                <c:pt idx="86">
                  <c:v>3724.7221760000002</c:v>
                </c:pt>
                <c:pt idx="87">
                  <c:v>16000</c:v>
                </c:pt>
                <c:pt idx="88">
                  <c:v>16000</c:v>
                </c:pt>
                <c:pt idx="89">
                  <c:v>16000</c:v>
                </c:pt>
                <c:pt idx="90">
                  <c:v>42.647551999999997</c:v>
                </c:pt>
                <c:pt idx="91">
                  <c:v>16000</c:v>
                </c:pt>
                <c:pt idx="92">
                  <c:v>16000</c:v>
                </c:pt>
                <c:pt idx="93">
                  <c:v>16000</c:v>
                </c:pt>
                <c:pt idx="94">
                  <c:v>15.38048</c:v>
                </c:pt>
                <c:pt idx="95">
                  <c:v>16000</c:v>
                </c:pt>
                <c:pt idx="96">
                  <c:v>16000</c:v>
                </c:pt>
                <c:pt idx="97">
                  <c:v>16000</c:v>
                </c:pt>
                <c:pt idx="98">
                  <c:v>16000</c:v>
                </c:pt>
                <c:pt idx="99">
                  <c:v>16000</c:v>
                </c:pt>
                <c:pt idx="100">
                  <c:v>16000</c:v>
                </c:pt>
                <c:pt idx="101">
                  <c:v>16000</c:v>
                </c:pt>
                <c:pt idx="102">
                  <c:v>16000</c:v>
                </c:pt>
                <c:pt idx="103">
                  <c:v>16000</c:v>
                </c:pt>
                <c:pt idx="104">
                  <c:v>16000</c:v>
                </c:pt>
                <c:pt idx="105">
                  <c:v>16000</c:v>
                </c:pt>
                <c:pt idx="106">
                  <c:v>16000</c:v>
                </c:pt>
                <c:pt idx="107">
                  <c:v>16000</c:v>
                </c:pt>
                <c:pt idx="108">
                  <c:v>16000</c:v>
                </c:pt>
                <c:pt idx="109">
                  <c:v>16000</c:v>
                </c:pt>
                <c:pt idx="110">
                  <c:v>16000</c:v>
                </c:pt>
                <c:pt idx="111">
                  <c:v>12243.918847999999</c:v>
                </c:pt>
                <c:pt idx="112">
                  <c:v>16000</c:v>
                </c:pt>
                <c:pt idx="113">
                  <c:v>15414.505472000001</c:v>
                </c:pt>
                <c:pt idx="114">
                  <c:v>16000</c:v>
                </c:pt>
                <c:pt idx="115">
                  <c:v>16000</c:v>
                </c:pt>
                <c:pt idx="116">
                  <c:v>16000</c:v>
                </c:pt>
                <c:pt idx="117">
                  <c:v>16000</c:v>
                </c:pt>
                <c:pt idx="118">
                  <c:v>16000</c:v>
                </c:pt>
                <c:pt idx="119">
                  <c:v>16000</c:v>
                </c:pt>
                <c:pt idx="120">
                  <c:v>16000</c:v>
                </c:pt>
                <c:pt idx="121">
                  <c:v>16000</c:v>
                </c:pt>
                <c:pt idx="122">
                  <c:v>16000</c:v>
                </c:pt>
                <c:pt idx="123">
                  <c:v>16000</c:v>
                </c:pt>
                <c:pt idx="124">
                  <c:v>15150.600192</c:v>
                </c:pt>
                <c:pt idx="125">
                  <c:v>16000</c:v>
                </c:pt>
                <c:pt idx="126">
                  <c:v>16000</c:v>
                </c:pt>
                <c:pt idx="127">
                  <c:v>8577.7981440000003</c:v>
                </c:pt>
                <c:pt idx="128">
                  <c:v>16000</c:v>
                </c:pt>
                <c:pt idx="129">
                  <c:v>16000</c:v>
                </c:pt>
                <c:pt idx="130">
                  <c:v>16000</c:v>
                </c:pt>
                <c:pt idx="131">
                  <c:v>16000</c:v>
                </c:pt>
                <c:pt idx="132">
                  <c:v>16000</c:v>
                </c:pt>
                <c:pt idx="133">
                  <c:v>16000</c:v>
                </c:pt>
                <c:pt idx="134">
                  <c:v>16000</c:v>
                </c:pt>
                <c:pt idx="135">
                  <c:v>16000</c:v>
                </c:pt>
                <c:pt idx="136">
                  <c:v>16000</c:v>
                </c:pt>
                <c:pt idx="137">
                  <c:v>16000</c:v>
                </c:pt>
                <c:pt idx="138">
                  <c:v>16000</c:v>
                </c:pt>
                <c:pt idx="139">
                  <c:v>16000</c:v>
                </c:pt>
                <c:pt idx="140">
                  <c:v>16000</c:v>
                </c:pt>
                <c:pt idx="141">
                  <c:v>16000</c:v>
                </c:pt>
                <c:pt idx="142">
                  <c:v>16000</c:v>
                </c:pt>
                <c:pt idx="143">
                  <c:v>9157.9432959999995</c:v>
                </c:pt>
                <c:pt idx="144">
                  <c:v>8666.5297919999994</c:v>
                </c:pt>
                <c:pt idx="145">
                  <c:v>9373.6714240000001</c:v>
                </c:pt>
                <c:pt idx="146">
                  <c:v>16000</c:v>
                </c:pt>
                <c:pt idx="147">
                  <c:v>16000</c:v>
                </c:pt>
                <c:pt idx="148">
                  <c:v>16000</c:v>
                </c:pt>
                <c:pt idx="149">
                  <c:v>16000</c:v>
                </c:pt>
                <c:pt idx="150">
                  <c:v>16000</c:v>
                </c:pt>
                <c:pt idx="151">
                  <c:v>16000</c:v>
                </c:pt>
                <c:pt idx="152">
                  <c:v>16000</c:v>
                </c:pt>
                <c:pt idx="153">
                  <c:v>16000</c:v>
                </c:pt>
                <c:pt idx="154">
                  <c:v>16000</c:v>
                </c:pt>
                <c:pt idx="155">
                  <c:v>16000</c:v>
                </c:pt>
                <c:pt idx="156">
                  <c:v>16000</c:v>
                </c:pt>
                <c:pt idx="157">
                  <c:v>11087.314944</c:v>
                </c:pt>
                <c:pt idx="158">
                  <c:v>16000</c:v>
                </c:pt>
                <c:pt idx="159">
                  <c:v>16000</c:v>
                </c:pt>
                <c:pt idx="160">
                  <c:v>16000</c:v>
                </c:pt>
                <c:pt idx="161">
                  <c:v>16000</c:v>
                </c:pt>
                <c:pt idx="162">
                  <c:v>16000</c:v>
                </c:pt>
                <c:pt idx="163">
                  <c:v>16000</c:v>
                </c:pt>
                <c:pt idx="164">
                  <c:v>16000</c:v>
                </c:pt>
                <c:pt idx="165">
                  <c:v>16000</c:v>
                </c:pt>
                <c:pt idx="166">
                  <c:v>16000</c:v>
                </c:pt>
                <c:pt idx="167">
                  <c:v>10000.5888</c:v>
                </c:pt>
                <c:pt idx="168">
                  <c:v>16000</c:v>
                </c:pt>
                <c:pt idx="169">
                  <c:v>16000</c:v>
                </c:pt>
                <c:pt idx="170">
                  <c:v>16000</c:v>
                </c:pt>
              </c:numCache>
            </c:numRef>
          </c:yVal>
          <c:smooth val="0"/>
          <c:extLst>
            <c:ext xmlns:c16="http://schemas.microsoft.com/office/drawing/2014/chart" uri="{C3380CC4-5D6E-409C-BE32-E72D297353CC}">
              <c16:uniqueId val="{00000007-3BDE-433E-8926-BFF4E26B5C48}"/>
            </c:ext>
          </c:extLst>
        </c:ser>
        <c:dLbls>
          <c:showLegendKey val="0"/>
          <c:showVal val="0"/>
          <c:showCatName val="0"/>
          <c:showSerName val="0"/>
          <c:showPercent val="0"/>
          <c:showBubbleSize val="0"/>
        </c:dLbls>
        <c:axId val="806587264"/>
        <c:axId val="806586304"/>
      </c:scatterChart>
      <c:valAx>
        <c:axId val="9498716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b="1">
                    <a:solidFill>
                      <a:sysClr val="windowText" lastClr="000000"/>
                    </a:solidFill>
                  </a:rPr>
                  <a:t>Input</a:t>
                </a:r>
                <a:r>
                  <a:rPr lang="en-US" sz="2000" b="1" baseline="0">
                    <a:solidFill>
                      <a:sysClr val="windowText" lastClr="000000"/>
                    </a:solidFill>
                  </a:rPr>
                  <a:t> models</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crossAx val="150016304"/>
        <c:crosses val="autoZero"/>
        <c:crossBetween val="midCat"/>
      </c:valAx>
      <c:valAx>
        <c:axId val="150016304"/>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b="1">
                    <a:solidFill>
                      <a:schemeClr val="tx1">
                        <a:lumMod val="95000"/>
                        <a:lumOff val="5000"/>
                      </a:schemeClr>
                    </a:solidFill>
                  </a:rPr>
                  <a:t>CPU</a:t>
                </a:r>
                <a:r>
                  <a:rPr lang="en-US" sz="2000" b="1" baseline="0">
                    <a:solidFill>
                      <a:schemeClr val="tx1">
                        <a:lumMod val="95000"/>
                        <a:lumOff val="5000"/>
                      </a:schemeClr>
                    </a:solidFill>
                  </a:rPr>
                  <a:t>  Time (sec)</a:t>
                </a:r>
                <a:endParaRPr lang="en-US" sz="2000" b="1">
                  <a:solidFill>
                    <a:schemeClr val="tx1">
                      <a:lumMod val="95000"/>
                      <a:lumOff val="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crossAx val="949871616"/>
        <c:crosses val="autoZero"/>
        <c:crossBetween val="midCat"/>
      </c:valAx>
      <c:valAx>
        <c:axId val="806586304"/>
        <c:scaling>
          <c:logBase val="10"/>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b="1">
                    <a:solidFill>
                      <a:schemeClr val="tx1">
                        <a:lumMod val="95000"/>
                        <a:lumOff val="5000"/>
                      </a:schemeClr>
                    </a:solidFill>
                  </a:rPr>
                  <a:t>Memory (MB)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crossAx val="806587264"/>
        <c:crosses val="max"/>
        <c:crossBetween val="midCat"/>
      </c:valAx>
      <c:valAx>
        <c:axId val="806587264"/>
        <c:scaling>
          <c:orientation val="minMax"/>
        </c:scaling>
        <c:delete val="1"/>
        <c:axPos val="b"/>
        <c:majorTickMark val="out"/>
        <c:minorTickMark val="none"/>
        <c:tickLblPos val="nextTo"/>
        <c:crossAx val="806586304"/>
        <c:crosses val="autoZero"/>
        <c:crossBetween val="midCat"/>
      </c:valAx>
      <c:spPr>
        <a:noFill/>
        <a:ln>
          <a:noFill/>
        </a:ln>
        <a:effectLst/>
      </c:spPr>
    </c:plotArea>
    <c:legend>
      <c:legendPos val="b"/>
      <c:layout>
        <c:manualLayout>
          <c:xMode val="edge"/>
          <c:yMode val="edge"/>
          <c:x val="8.2039501005003942E-2"/>
          <c:y val="0.91305159047623419"/>
          <c:w val="0.83378519643992699"/>
          <c:h val="8.5419649454112262E-2"/>
        </c:manualLayout>
      </c:layout>
      <c:overlay val="0"/>
      <c:spPr>
        <a:noFill/>
        <a:ln>
          <a:noFill/>
        </a:ln>
        <a:effectLst/>
      </c:spPr>
      <c:txPr>
        <a:bodyPr rot="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'results-all-time-memory-ccf'!$B$1</c:f>
              <c:strCache>
                <c:ptCount val="1"/>
                <c:pt idx="0">
                  <c:v>CPU Time-XFTA</c:v>
                </c:pt>
              </c:strCache>
            </c:strRef>
          </c:tx>
          <c:spPr>
            <a:ln w="19050" cap="rnd">
              <a:noFill/>
              <a:round/>
            </a:ln>
            <a:effectLst/>
          </c:spPr>
          <c:marker>
            <c:symbol val="circle"/>
            <c:size val="5"/>
            <c:spPr>
              <a:solidFill>
                <a:schemeClr val="accent1"/>
              </a:solidFill>
              <a:ln w="9525">
                <a:solidFill>
                  <a:schemeClr val="accent1"/>
                </a:solidFill>
              </a:ln>
              <a:effectLst/>
            </c:spPr>
          </c:marker>
          <c:xVal>
            <c:strRef>
              <c:f>'results-all-time-memory-ccf'!$A$2:$A$91</c:f>
              <c:strCache>
                <c:ptCount val="90"/>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ccf6-600-05</c:v>
                </c:pt>
                <c:pt idx="51">
                  <c:v>ccf7-600-05</c:v>
                </c:pt>
                <c:pt idx="52">
                  <c:v>ccf8-600-05</c:v>
                </c:pt>
                <c:pt idx="53">
                  <c:v>ccf9-600-05</c:v>
                </c:pt>
                <c:pt idx="54">
                  <c:v>ccf1-700-05</c:v>
                </c:pt>
                <c:pt idx="55">
                  <c:v>ccf2-700-05</c:v>
                </c:pt>
                <c:pt idx="56">
                  <c:v>ccf3-700-05</c:v>
                </c:pt>
                <c:pt idx="57">
                  <c:v>ccf4-700-05</c:v>
                </c:pt>
                <c:pt idx="58">
                  <c:v>ccf5-700-05</c:v>
                </c:pt>
                <c:pt idx="59">
                  <c:v>ccf6-700-05</c:v>
                </c:pt>
                <c:pt idx="60">
                  <c:v>ccf7-700-05</c:v>
                </c:pt>
                <c:pt idx="61">
                  <c:v>ccf8-700-05</c:v>
                </c:pt>
                <c:pt idx="62">
                  <c:v>ccf9-700-05</c:v>
                </c:pt>
                <c:pt idx="63">
                  <c:v>ccf1-800-05</c:v>
                </c:pt>
                <c:pt idx="64">
                  <c:v>ccf2-800-05</c:v>
                </c:pt>
                <c:pt idx="65">
                  <c:v>ccf3-800-05</c:v>
                </c:pt>
                <c:pt idx="66">
                  <c:v>ccf4-800-05</c:v>
                </c:pt>
                <c:pt idx="67">
                  <c:v>ccf5-800-05</c:v>
                </c:pt>
                <c:pt idx="68">
                  <c:v>ccf6-800-05</c:v>
                </c:pt>
                <c:pt idx="69">
                  <c:v>ccf7-800-05</c:v>
                </c:pt>
                <c:pt idx="70">
                  <c:v>ccf8-800-05</c:v>
                </c:pt>
                <c:pt idx="71">
                  <c:v>ccf9-800-05</c:v>
                </c:pt>
                <c:pt idx="72">
                  <c:v>ccf1-900-05</c:v>
                </c:pt>
                <c:pt idx="73">
                  <c:v>ccf2-900-05</c:v>
                </c:pt>
                <c:pt idx="74">
                  <c:v>ccf3-900-05</c:v>
                </c:pt>
                <c:pt idx="75">
                  <c:v>ccf4-900-05</c:v>
                </c:pt>
                <c:pt idx="76">
                  <c:v>ccf5-900-05</c:v>
                </c:pt>
                <c:pt idx="77">
                  <c:v>ccf6-900-05</c:v>
                </c:pt>
                <c:pt idx="78">
                  <c:v>ccf7-900-05</c:v>
                </c:pt>
                <c:pt idx="79">
                  <c:v>ccf8-900-05</c:v>
                </c:pt>
                <c:pt idx="80">
                  <c:v>ccf9-900-05</c:v>
                </c:pt>
                <c:pt idx="81">
                  <c:v>ccf1-1000-05</c:v>
                </c:pt>
                <c:pt idx="82">
                  <c:v>ccf2-1000-05</c:v>
                </c:pt>
                <c:pt idx="83">
                  <c:v>ccf3-1000-05</c:v>
                </c:pt>
                <c:pt idx="84">
                  <c:v>ccf4-1000-05</c:v>
                </c:pt>
                <c:pt idx="85">
                  <c:v>ccf5-1000-05</c:v>
                </c:pt>
                <c:pt idx="86">
                  <c:v>ccf6-1000-05</c:v>
                </c:pt>
                <c:pt idx="87">
                  <c:v>ccf7-1000-05</c:v>
                </c:pt>
                <c:pt idx="88">
                  <c:v>ccf8-1000-05</c:v>
                </c:pt>
                <c:pt idx="89">
                  <c:v>ccf9-1000-05</c:v>
                </c:pt>
              </c:strCache>
            </c:strRef>
          </c:xVal>
          <c:yVal>
            <c:numRef>
              <c:f>'results-all-time-memory-ccf'!$B$2:$B$91</c:f>
              <c:numCache>
                <c:formatCode>General</c:formatCode>
                <c:ptCount val="90"/>
                <c:pt idx="0">
                  <c:v>3.6760888999999998E-2</c:v>
                </c:pt>
                <c:pt idx="1">
                  <c:v>2.8130930780000001</c:v>
                </c:pt>
                <c:pt idx="2">
                  <c:v>47.590023115999998</c:v>
                </c:pt>
                <c:pt idx="3">
                  <c:v>900.96818929000005</c:v>
                </c:pt>
                <c:pt idx="4">
                  <c:v>901.00209502099995</c:v>
                </c:pt>
                <c:pt idx="5">
                  <c:v>900.90026603900003</c:v>
                </c:pt>
                <c:pt idx="6">
                  <c:v>900.91762509700004</c:v>
                </c:pt>
                <c:pt idx="7">
                  <c:v>900.85239782899998</c:v>
                </c:pt>
                <c:pt idx="8">
                  <c:v>900.69757861899996</c:v>
                </c:pt>
                <c:pt idx="9">
                  <c:v>1.4992862360000001</c:v>
                </c:pt>
                <c:pt idx="10">
                  <c:v>23.549590503000001</c:v>
                </c:pt>
                <c:pt idx="11">
                  <c:v>213.71024798400001</c:v>
                </c:pt>
                <c:pt idx="12">
                  <c:v>900.72650018100001</c:v>
                </c:pt>
                <c:pt idx="13">
                  <c:v>900.75089162699999</c:v>
                </c:pt>
                <c:pt idx="14">
                  <c:v>900.75763968399997</c:v>
                </c:pt>
                <c:pt idx="15">
                  <c:v>900.75233026800004</c:v>
                </c:pt>
                <c:pt idx="16">
                  <c:v>900.69345829400004</c:v>
                </c:pt>
                <c:pt idx="17">
                  <c:v>900.78652858299995</c:v>
                </c:pt>
                <c:pt idx="18">
                  <c:v>900.77013510100005</c:v>
                </c:pt>
                <c:pt idx="19">
                  <c:v>900.74977125400005</c:v>
                </c:pt>
                <c:pt idx="20">
                  <c:v>900.54074981999997</c:v>
                </c:pt>
                <c:pt idx="21">
                  <c:v>900.769289007</c:v>
                </c:pt>
                <c:pt idx="22">
                  <c:v>900.78168913699994</c:v>
                </c:pt>
                <c:pt idx="23">
                  <c:v>900.76334058700002</c:v>
                </c:pt>
                <c:pt idx="24">
                  <c:v>900.70047884600001</c:v>
                </c:pt>
                <c:pt idx="25">
                  <c:v>900.74569722800004</c:v>
                </c:pt>
                <c:pt idx="26">
                  <c:v>900.75200207800003</c:v>
                </c:pt>
                <c:pt idx="27">
                  <c:v>900.83711838099998</c:v>
                </c:pt>
                <c:pt idx="28">
                  <c:v>900.76873198600003</c:v>
                </c:pt>
                <c:pt idx="29">
                  <c:v>900.73436756000001</c:v>
                </c:pt>
                <c:pt idx="30">
                  <c:v>900.757429462</c:v>
                </c:pt>
                <c:pt idx="31">
                  <c:v>900.79090684400001</c:v>
                </c:pt>
                <c:pt idx="32">
                  <c:v>900.78473819199996</c:v>
                </c:pt>
                <c:pt idx="33">
                  <c:v>900.77610190500002</c:v>
                </c:pt>
                <c:pt idx="34">
                  <c:v>900.75868876699997</c:v>
                </c:pt>
                <c:pt idx="35">
                  <c:v>900.98376791999999</c:v>
                </c:pt>
                <c:pt idx="36">
                  <c:v>900.80650474699996</c:v>
                </c:pt>
                <c:pt idx="37">
                  <c:v>900.62386793799999</c:v>
                </c:pt>
                <c:pt idx="38">
                  <c:v>900.84085813299998</c:v>
                </c:pt>
                <c:pt idx="39">
                  <c:v>901.01944450999997</c:v>
                </c:pt>
                <c:pt idx="40">
                  <c:v>900.81091344000004</c:v>
                </c:pt>
                <c:pt idx="41">
                  <c:v>900.855011666</c:v>
                </c:pt>
                <c:pt idx="42">
                  <c:v>900.95517601200004</c:v>
                </c:pt>
                <c:pt idx="43">
                  <c:v>900.91927556500002</c:v>
                </c:pt>
                <c:pt idx="44">
                  <c:v>900.79674105100003</c:v>
                </c:pt>
                <c:pt idx="45">
                  <c:v>900.70903408499998</c:v>
                </c:pt>
                <c:pt idx="46">
                  <c:v>900.88492541899996</c:v>
                </c:pt>
                <c:pt idx="47">
                  <c:v>900.84600819000002</c:v>
                </c:pt>
                <c:pt idx="48">
                  <c:v>900.834447125</c:v>
                </c:pt>
                <c:pt idx="49">
                  <c:v>900.805864681</c:v>
                </c:pt>
                <c:pt idx="50">
                  <c:v>900.94947806300002</c:v>
                </c:pt>
                <c:pt idx="51">
                  <c:v>900.94304416199998</c:v>
                </c:pt>
                <c:pt idx="52">
                  <c:v>900.88539872900003</c:v>
                </c:pt>
                <c:pt idx="53">
                  <c:v>900.76256523500001</c:v>
                </c:pt>
                <c:pt idx="54">
                  <c:v>900.867815769</c:v>
                </c:pt>
                <c:pt idx="55">
                  <c:v>900.84368534299995</c:v>
                </c:pt>
                <c:pt idx="56">
                  <c:v>900.83690600099999</c:v>
                </c:pt>
                <c:pt idx="57">
                  <c:v>900.825601216</c:v>
                </c:pt>
                <c:pt idx="58">
                  <c:v>900.87022650400002</c:v>
                </c:pt>
                <c:pt idx="59">
                  <c:v>900.84096275000002</c:v>
                </c:pt>
                <c:pt idx="60">
                  <c:v>900.865200792</c:v>
                </c:pt>
                <c:pt idx="61">
                  <c:v>900.870136065</c:v>
                </c:pt>
                <c:pt idx="62">
                  <c:v>900.82957704499995</c:v>
                </c:pt>
                <c:pt idx="63">
                  <c:v>900.75879034000002</c:v>
                </c:pt>
                <c:pt idx="64">
                  <c:v>900.80690316799996</c:v>
                </c:pt>
                <c:pt idx="65">
                  <c:v>900.817414106</c:v>
                </c:pt>
                <c:pt idx="66">
                  <c:v>900.76345761300001</c:v>
                </c:pt>
                <c:pt idx="67">
                  <c:v>900.81797974000006</c:v>
                </c:pt>
                <c:pt idx="68">
                  <c:v>900.80771134099996</c:v>
                </c:pt>
                <c:pt idx="69">
                  <c:v>900.82855700599998</c:v>
                </c:pt>
                <c:pt idx="70">
                  <c:v>900.83635305600001</c:v>
                </c:pt>
                <c:pt idx="71">
                  <c:v>900.90934356900004</c:v>
                </c:pt>
                <c:pt idx="72">
                  <c:v>900.80660298600003</c:v>
                </c:pt>
                <c:pt idx="73">
                  <c:v>900.82142730500004</c:v>
                </c:pt>
                <c:pt idx="74">
                  <c:v>900.79100047300005</c:v>
                </c:pt>
                <c:pt idx="75">
                  <c:v>900.75853393700004</c:v>
                </c:pt>
                <c:pt idx="76">
                  <c:v>900.76472361699996</c:v>
                </c:pt>
                <c:pt idx="77">
                  <c:v>900.77883002900001</c:v>
                </c:pt>
                <c:pt idx="78">
                  <c:v>900.77204425399998</c:v>
                </c:pt>
                <c:pt idx="79">
                  <c:v>900.79645935400004</c:v>
                </c:pt>
                <c:pt idx="80">
                  <c:v>900.81749189799996</c:v>
                </c:pt>
                <c:pt idx="81">
                  <c:v>900.74484856499998</c:v>
                </c:pt>
                <c:pt idx="82">
                  <c:v>901.05195798</c:v>
                </c:pt>
                <c:pt idx="83">
                  <c:v>901.05123140499995</c:v>
                </c:pt>
                <c:pt idx="84">
                  <c:v>901.05960575999995</c:v>
                </c:pt>
                <c:pt idx="85">
                  <c:v>901.06978000000004</c:v>
                </c:pt>
                <c:pt idx="86">
                  <c:v>901.12103751200004</c:v>
                </c:pt>
                <c:pt idx="87">
                  <c:v>901.16072678099999</c:v>
                </c:pt>
                <c:pt idx="88">
                  <c:v>901.089346503</c:v>
                </c:pt>
                <c:pt idx="89">
                  <c:v>900.85193613499996</c:v>
                </c:pt>
              </c:numCache>
            </c:numRef>
          </c:yVal>
          <c:smooth val="0"/>
          <c:extLst>
            <c:ext xmlns:c16="http://schemas.microsoft.com/office/drawing/2014/chart" uri="{C3380CC4-5D6E-409C-BE32-E72D297353CC}">
              <c16:uniqueId val="{00000000-D9F4-40FA-909B-A11541A01F26}"/>
            </c:ext>
          </c:extLst>
        </c:ser>
        <c:ser>
          <c:idx val="2"/>
          <c:order val="1"/>
          <c:tx>
            <c:strRef>
              <c:f>'results-all-time-memory-ccf'!$D$1</c:f>
              <c:strCache>
                <c:ptCount val="1"/>
                <c:pt idx="0">
                  <c:v>CPU Time -BDD</c:v>
                </c:pt>
              </c:strCache>
            </c:strRef>
          </c:tx>
          <c:spPr>
            <a:ln w="19050" cap="rnd">
              <a:noFill/>
              <a:round/>
            </a:ln>
            <a:effectLst/>
          </c:spPr>
          <c:marker>
            <c:symbol val="circle"/>
            <c:size val="5"/>
            <c:spPr>
              <a:solidFill>
                <a:schemeClr val="accent3"/>
              </a:solidFill>
              <a:ln w="9525">
                <a:solidFill>
                  <a:schemeClr val="accent3"/>
                </a:solidFill>
              </a:ln>
              <a:effectLst/>
            </c:spPr>
          </c:marker>
          <c:xVal>
            <c:strRef>
              <c:f>'results-all-time-memory-ccf'!$A$2:$A$91</c:f>
              <c:strCache>
                <c:ptCount val="90"/>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ccf6-600-05</c:v>
                </c:pt>
                <c:pt idx="51">
                  <c:v>ccf7-600-05</c:v>
                </c:pt>
                <c:pt idx="52">
                  <c:v>ccf8-600-05</c:v>
                </c:pt>
                <c:pt idx="53">
                  <c:v>ccf9-600-05</c:v>
                </c:pt>
                <c:pt idx="54">
                  <c:v>ccf1-700-05</c:v>
                </c:pt>
                <c:pt idx="55">
                  <c:v>ccf2-700-05</c:v>
                </c:pt>
                <c:pt idx="56">
                  <c:v>ccf3-700-05</c:v>
                </c:pt>
                <c:pt idx="57">
                  <c:v>ccf4-700-05</c:v>
                </c:pt>
                <c:pt idx="58">
                  <c:v>ccf5-700-05</c:v>
                </c:pt>
                <c:pt idx="59">
                  <c:v>ccf6-700-05</c:v>
                </c:pt>
                <c:pt idx="60">
                  <c:v>ccf7-700-05</c:v>
                </c:pt>
                <c:pt idx="61">
                  <c:v>ccf8-700-05</c:v>
                </c:pt>
                <c:pt idx="62">
                  <c:v>ccf9-700-05</c:v>
                </c:pt>
                <c:pt idx="63">
                  <c:v>ccf1-800-05</c:v>
                </c:pt>
                <c:pt idx="64">
                  <c:v>ccf2-800-05</c:v>
                </c:pt>
                <c:pt idx="65">
                  <c:v>ccf3-800-05</c:v>
                </c:pt>
                <c:pt idx="66">
                  <c:v>ccf4-800-05</c:v>
                </c:pt>
                <c:pt idx="67">
                  <c:v>ccf5-800-05</c:v>
                </c:pt>
                <c:pt idx="68">
                  <c:v>ccf6-800-05</c:v>
                </c:pt>
                <c:pt idx="69">
                  <c:v>ccf7-800-05</c:v>
                </c:pt>
                <c:pt idx="70">
                  <c:v>ccf8-800-05</c:v>
                </c:pt>
                <c:pt idx="71">
                  <c:v>ccf9-800-05</c:v>
                </c:pt>
                <c:pt idx="72">
                  <c:v>ccf1-900-05</c:v>
                </c:pt>
                <c:pt idx="73">
                  <c:v>ccf2-900-05</c:v>
                </c:pt>
                <c:pt idx="74">
                  <c:v>ccf3-900-05</c:v>
                </c:pt>
                <c:pt idx="75">
                  <c:v>ccf4-900-05</c:v>
                </c:pt>
                <c:pt idx="76">
                  <c:v>ccf5-900-05</c:v>
                </c:pt>
                <c:pt idx="77">
                  <c:v>ccf6-900-05</c:v>
                </c:pt>
                <c:pt idx="78">
                  <c:v>ccf7-900-05</c:v>
                </c:pt>
                <c:pt idx="79">
                  <c:v>ccf8-900-05</c:v>
                </c:pt>
                <c:pt idx="80">
                  <c:v>ccf9-900-05</c:v>
                </c:pt>
                <c:pt idx="81">
                  <c:v>ccf1-1000-05</c:v>
                </c:pt>
                <c:pt idx="82">
                  <c:v>ccf2-1000-05</c:v>
                </c:pt>
                <c:pt idx="83">
                  <c:v>ccf3-1000-05</c:v>
                </c:pt>
                <c:pt idx="84">
                  <c:v>ccf4-1000-05</c:v>
                </c:pt>
                <c:pt idx="85">
                  <c:v>ccf5-1000-05</c:v>
                </c:pt>
                <c:pt idx="86">
                  <c:v>ccf6-1000-05</c:v>
                </c:pt>
                <c:pt idx="87">
                  <c:v>ccf7-1000-05</c:v>
                </c:pt>
                <c:pt idx="88">
                  <c:v>ccf8-1000-05</c:v>
                </c:pt>
                <c:pt idx="89">
                  <c:v>ccf9-1000-05</c:v>
                </c:pt>
              </c:strCache>
            </c:strRef>
          </c:xVal>
          <c:yVal>
            <c:numRef>
              <c:f>'results-all-time-memory-ccf'!$D$2:$D$91</c:f>
              <c:numCache>
                <c:formatCode>General</c:formatCode>
                <c:ptCount val="90"/>
                <c:pt idx="0">
                  <c:v>0.112576778</c:v>
                </c:pt>
                <c:pt idx="1">
                  <c:v>2.84156977</c:v>
                </c:pt>
                <c:pt idx="2">
                  <c:v>48.333348209999997</c:v>
                </c:pt>
                <c:pt idx="3">
                  <c:v>901.00027503900003</c:v>
                </c:pt>
                <c:pt idx="4">
                  <c:v>901.00263383100003</c:v>
                </c:pt>
                <c:pt idx="5">
                  <c:v>900.46385791399996</c:v>
                </c:pt>
                <c:pt idx="6">
                  <c:v>900.317365827</c:v>
                </c:pt>
                <c:pt idx="7">
                  <c:v>900.56415408700002</c:v>
                </c:pt>
                <c:pt idx="8">
                  <c:v>900.49929923900004</c:v>
                </c:pt>
                <c:pt idx="9">
                  <c:v>1.176530842</c:v>
                </c:pt>
                <c:pt idx="10">
                  <c:v>16.807068467000001</c:v>
                </c:pt>
                <c:pt idx="11">
                  <c:v>152.107668872</c:v>
                </c:pt>
                <c:pt idx="12">
                  <c:v>901.01205639900002</c:v>
                </c:pt>
                <c:pt idx="13">
                  <c:v>900.49836832599999</c:v>
                </c:pt>
                <c:pt idx="14">
                  <c:v>900.64608491599995</c:v>
                </c:pt>
                <c:pt idx="15">
                  <c:v>900.65055078900002</c:v>
                </c:pt>
                <c:pt idx="16">
                  <c:v>900.94669834299998</c:v>
                </c:pt>
                <c:pt idx="17">
                  <c:v>900.42187422400002</c:v>
                </c:pt>
                <c:pt idx="18">
                  <c:v>901.023330418</c:v>
                </c:pt>
                <c:pt idx="19">
                  <c:v>900.55485027700001</c:v>
                </c:pt>
                <c:pt idx="20">
                  <c:v>900.60671619100003</c:v>
                </c:pt>
                <c:pt idx="21">
                  <c:v>352.25189193099999</c:v>
                </c:pt>
                <c:pt idx="22">
                  <c:v>363.07352179399999</c:v>
                </c:pt>
                <c:pt idx="23">
                  <c:v>504.89603783799998</c:v>
                </c:pt>
                <c:pt idx="24">
                  <c:v>341.68712385399999</c:v>
                </c:pt>
                <c:pt idx="25">
                  <c:v>269.39371121300002</c:v>
                </c:pt>
                <c:pt idx="26">
                  <c:v>316.08627189200001</c:v>
                </c:pt>
                <c:pt idx="27">
                  <c:v>900.66514474200005</c:v>
                </c:pt>
                <c:pt idx="28">
                  <c:v>900.76302212999997</c:v>
                </c:pt>
                <c:pt idx="29">
                  <c:v>900.67187615700004</c:v>
                </c:pt>
                <c:pt idx="30">
                  <c:v>901.01818298000001</c:v>
                </c:pt>
                <c:pt idx="31">
                  <c:v>900.95290756700001</c:v>
                </c:pt>
                <c:pt idx="32">
                  <c:v>266.272871834</c:v>
                </c:pt>
                <c:pt idx="33">
                  <c:v>307.44254313200003</c:v>
                </c:pt>
                <c:pt idx="34">
                  <c:v>334.28958532199999</c:v>
                </c:pt>
                <c:pt idx="35">
                  <c:v>466.617252501</c:v>
                </c:pt>
                <c:pt idx="36">
                  <c:v>490.56377439800002</c:v>
                </c:pt>
                <c:pt idx="37">
                  <c:v>900.51390483900002</c:v>
                </c:pt>
                <c:pt idx="38">
                  <c:v>712.81715030099997</c:v>
                </c:pt>
                <c:pt idx="39">
                  <c:v>296.79090823400003</c:v>
                </c:pt>
                <c:pt idx="40">
                  <c:v>328.85356646499997</c:v>
                </c:pt>
                <c:pt idx="41">
                  <c:v>257.00031512300001</c:v>
                </c:pt>
                <c:pt idx="42">
                  <c:v>294.535845241</c:v>
                </c:pt>
                <c:pt idx="43">
                  <c:v>331.31139919200001</c:v>
                </c:pt>
                <c:pt idx="44">
                  <c:v>250.72438263199999</c:v>
                </c:pt>
                <c:pt idx="45">
                  <c:v>342.52406618499998</c:v>
                </c:pt>
                <c:pt idx="46">
                  <c:v>471.00320042599998</c:v>
                </c:pt>
                <c:pt idx="47">
                  <c:v>243.255597913</c:v>
                </c:pt>
                <c:pt idx="48">
                  <c:v>251.46731956799999</c:v>
                </c:pt>
                <c:pt idx="49">
                  <c:v>266.97374978699997</c:v>
                </c:pt>
                <c:pt idx="50">
                  <c:v>266.99391716299999</c:v>
                </c:pt>
                <c:pt idx="51">
                  <c:v>356.90721315899998</c:v>
                </c:pt>
                <c:pt idx="52">
                  <c:v>261.43500637699998</c:v>
                </c:pt>
                <c:pt idx="53">
                  <c:v>287.66383600900002</c:v>
                </c:pt>
                <c:pt idx="54">
                  <c:v>278.68518135599999</c:v>
                </c:pt>
                <c:pt idx="55">
                  <c:v>270.873135838</c:v>
                </c:pt>
                <c:pt idx="56">
                  <c:v>287.843376154</c:v>
                </c:pt>
                <c:pt idx="57">
                  <c:v>333.97865297499999</c:v>
                </c:pt>
                <c:pt idx="58">
                  <c:v>410.31732945599998</c:v>
                </c:pt>
                <c:pt idx="59">
                  <c:v>336.01508636599999</c:v>
                </c:pt>
                <c:pt idx="60">
                  <c:v>250.43410346100001</c:v>
                </c:pt>
                <c:pt idx="61">
                  <c:v>251.79880013499999</c:v>
                </c:pt>
                <c:pt idx="62">
                  <c:v>258.181924256</c:v>
                </c:pt>
                <c:pt idx="63">
                  <c:v>900.62072193500001</c:v>
                </c:pt>
                <c:pt idx="64">
                  <c:v>901.09629545799999</c:v>
                </c:pt>
                <c:pt idx="65">
                  <c:v>431.28230180700001</c:v>
                </c:pt>
                <c:pt idx="66">
                  <c:v>251.522484069</c:v>
                </c:pt>
                <c:pt idx="67">
                  <c:v>256.71965747299998</c:v>
                </c:pt>
                <c:pt idx="68">
                  <c:v>299.471250269</c:v>
                </c:pt>
                <c:pt idx="69">
                  <c:v>439.18918935099998</c:v>
                </c:pt>
                <c:pt idx="70">
                  <c:v>246.57838572700001</c:v>
                </c:pt>
                <c:pt idx="71">
                  <c:v>602.20688997100001</c:v>
                </c:pt>
                <c:pt idx="72">
                  <c:v>354.91195205899999</c:v>
                </c:pt>
                <c:pt idx="73">
                  <c:v>303.53861825899997</c:v>
                </c:pt>
                <c:pt idx="74">
                  <c:v>359.89189752999999</c:v>
                </c:pt>
                <c:pt idx="75">
                  <c:v>373.59435516799999</c:v>
                </c:pt>
                <c:pt idx="76">
                  <c:v>337.08358661900002</c:v>
                </c:pt>
                <c:pt idx="77">
                  <c:v>337.74787810100003</c:v>
                </c:pt>
                <c:pt idx="78">
                  <c:v>330.61288792699997</c:v>
                </c:pt>
                <c:pt idx="79">
                  <c:v>343.75693908099998</c:v>
                </c:pt>
                <c:pt idx="80">
                  <c:v>259.85812765999998</c:v>
                </c:pt>
                <c:pt idx="81">
                  <c:v>306.28426618100002</c:v>
                </c:pt>
                <c:pt idx="82">
                  <c:v>321.82699595700001</c:v>
                </c:pt>
                <c:pt idx="83">
                  <c:v>419.72427243300001</c:v>
                </c:pt>
                <c:pt idx="84">
                  <c:v>242.12432923599999</c:v>
                </c:pt>
                <c:pt idx="85">
                  <c:v>234.640918658</c:v>
                </c:pt>
                <c:pt idx="86">
                  <c:v>247.617721007</c:v>
                </c:pt>
                <c:pt idx="87">
                  <c:v>304.76653016199998</c:v>
                </c:pt>
                <c:pt idx="88">
                  <c:v>304.89573966799998</c:v>
                </c:pt>
                <c:pt idx="89">
                  <c:v>220.04364314599999</c:v>
                </c:pt>
              </c:numCache>
            </c:numRef>
          </c:yVal>
          <c:smooth val="0"/>
          <c:extLst>
            <c:ext xmlns:c16="http://schemas.microsoft.com/office/drawing/2014/chart" uri="{C3380CC4-5D6E-409C-BE32-E72D297353CC}">
              <c16:uniqueId val="{00000002-D9F4-40FA-909B-A11541A01F26}"/>
            </c:ext>
          </c:extLst>
        </c:ser>
        <c:ser>
          <c:idx val="3"/>
          <c:order val="2"/>
          <c:tx>
            <c:strRef>
              <c:f>'results-all-time-memory-ccf'!$E$1</c:f>
              <c:strCache>
                <c:ptCount val="1"/>
                <c:pt idx="0">
                  <c:v>CPU Time-Mocus</c:v>
                </c:pt>
              </c:strCache>
            </c:strRef>
          </c:tx>
          <c:spPr>
            <a:ln w="19050" cap="rnd">
              <a:noFill/>
              <a:round/>
            </a:ln>
            <a:effectLst/>
          </c:spPr>
          <c:marker>
            <c:symbol val="circle"/>
            <c:size val="5"/>
            <c:spPr>
              <a:solidFill>
                <a:schemeClr val="accent4"/>
              </a:solidFill>
              <a:ln w="9525">
                <a:solidFill>
                  <a:schemeClr val="accent4"/>
                </a:solidFill>
              </a:ln>
              <a:effectLst/>
            </c:spPr>
          </c:marker>
          <c:xVal>
            <c:strRef>
              <c:f>'results-all-time-memory-ccf'!$A$2:$A$91</c:f>
              <c:strCache>
                <c:ptCount val="90"/>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ccf6-600-05</c:v>
                </c:pt>
                <c:pt idx="51">
                  <c:v>ccf7-600-05</c:v>
                </c:pt>
                <c:pt idx="52">
                  <c:v>ccf8-600-05</c:v>
                </c:pt>
                <c:pt idx="53">
                  <c:v>ccf9-600-05</c:v>
                </c:pt>
                <c:pt idx="54">
                  <c:v>ccf1-700-05</c:v>
                </c:pt>
                <c:pt idx="55">
                  <c:v>ccf2-700-05</c:v>
                </c:pt>
                <c:pt idx="56">
                  <c:v>ccf3-700-05</c:v>
                </c:pt>
                <c:pt idx="57">
                  <c:v>ccf4-700-05</c:v>
                </c:pt>
                <c:pt idx="58">
                  <c:v>ccf5-700-05</c:v>
                </c:pt>
                <c:pt idx="59">
                  <c:v>ccf6-700-05</c:v>
                </c:pt>
                <c:pt idx="60">
                  <c:v>ccf7-700-05</c:v>
                </c:pt>
                <c:pt idx="61">
                  <c:v>ccf8-700-05</c:v>
                </c:pt>
                <c:pt idx="62">
                  <c:v>ccf9-700-05</c:v>
                </c:pt>
                <c:pt idx="63">
                  <c:v>ccf1-800-05</c:v>
                </c:pt>
                <c:pt idx="64">
                  <c:v>ccf2-800-05</c:v>
                </c:pt>
                <c:pt idx="65">
                  <c:v>ccf3-800-05</c:v>
                </c:pt>
                <c:pt idx="66">
                  <c:v>ccf4-800-05</c:v>
                </c:pt>
                <c:pt idx="67">
                  <c:v>ccf5-800-05</c:v>
                </c:pt>
                <c:pt idx="68">
                  <c:v>ccf6-800-05</c:v>
                </c:pt>
                <c:pt idx="69">
                  <c:v>ccf7-800-05</c:v>
                </c:pt>
                <c:pt idx="70">
                  <c:v>ccf8-800-05</c:v>
                </c:pt>
                <c:pt idx="71">
                  <c:v>ccf9-800-05</c:v>
                </c:pt>
                <c:pt idx="72">
                  <c:v>ccf1-900-05</c:v>
                </c:pt>
                <c:pt idx="73">
                  <c:v>ccf2-900-05</c:v>
                </c:pt>
                <c:pt idx="74">
                  <c:v>ccf3-900-05</c:v>
                </c:pt>
                <c:pt idx="75">
                  <c:v>ccf4-900-05</c:v>
                </c:pt>
                <c:pt idx="76">
                  <c:v>ccf5-900-05</c:v>
                </c:pt>
                <c:pt idx="77">
                  <c:v>ccf6-900-05</c:v>
                </c:pt>
                <c:pt idx="78">
                  <c:v>ccf7-900-05</c:v>
                </c:pt>
                <c:pt idx="79">
                  <c:v>ccf8-900-05</c:v>
                </c:pt>
                <c:pt idx="80">
                  <c:v>ccf9-900-05</c:v>
                </c:pt>
                <c:pt idx="81">
                  <c:v>ccf1-1000-05</c:v>
                </c:pt>
                <c:pt idx="82">
                  <c:v>ccf2-1000-05</c:v>
                </c:pt>
                <c:pt idx="83">
                  <c:v>ccf3-1000-05</c:v>
                </c:pt>
                <c:pt idx="84">
                  <c:v>ccf4-1000-05</c:v>
                </c:pt>
                <c:pt idx="85">
                  <c:v>ccf5-1000-05</c:v>
                </c:pt>
                <c:pt idx="86">
                  <c:v>ccf6-1000-05</c:v>
                </c:pt>
                <c:pt idx="87">
                  <c:v>ccf7-1000-05</c:v>
                </c:pt>
                <c:pt idx="88">
                  <c:v>ccf8-1000-05</c:v>
                </c:pt>
                <c:pt idx="89">
                  <c:v>ccf9-1000-05</c:v>
                </c:pt>
              </c:strCache>
            </c:strRef>
          </c:xVal>
          <c:yVal>
            <c:numRef>
              <c:f>'results-all-time-memory-ccf'!$E$2:$E$91</c:f>
              <c:numCache>
                <c:formatCode>General</c:formatCode>
                <c:ptCount val="90"/>
                <c:pt idx="0">
                  <c:v>0.11676247300000001</c:v>
                </c:pt>
                <c:pt idx="1">
                  <c:v>3.1006338119999999</c:v>
                </c:pt>
                <c:pt idx="2">
                  <c:v>49.136650009</c:v>
                </c:pt>
                <c:pt idx="3">
                  <c:v>901.00157390100003</c:v>
                </c:pt>
                <c:pt idx="4">
                  <c:v>901.00181766000003</c:v>
                </c:pt>
                <c:pt idx="5">
                  <c:v>900.606204617</c:v>
                </c:pt>
                <c:pt idx="6">
                  <c:v>900.57390462900003</c:v>
                </c:pt>
                <c:pt idx="7">
                  <c:v>900.55980494400001</c:v>
                </c:pt>
                <c:pt idx="8">
                  <c:v>900.48886139900003</c:v>
                </c:pt>
                <c:pt idx="9">
                  <c:v>1.1896825529999999</c:v>
                </c:pt>
                <c:pt idx="10">
                  <c:v>16.816384222</c:v>
                </c:pt>
                <c:pt idx="11">
                  <c:v>149.539492276</c:v>
                </c:pt>
                <c:pt idx="12">
                  <c:v>900.40765734199999</c:v>
                </c:pt>
                <c:pt idx="13">
                  <c:v>900.55780081299997</c:v>
                </c:pt>
                <c:pt idx="14">
                  <c:v>900.57493953699998</c:v>
                </c:pt>
                <c:pt idx="15">
                  <c:v>900.28162654000005</c:v>
                </c:pt>
                <c:pt idx="16">
                  <c:v>900.51202771999999</c:v>
                </c:pt>
                <c:pt idx="17">
                  <c:v>900.43999998899994</c:v>
                </c:pt>
                <c:pt idx="18">
                  <c:v>901.00434332299994</c:v>
                </c:pt>
                <c:pt idx="19">
                  <c:v>900.488247935</c:v>
                </c:pt>
                <c:pt idx="20">
                  <c:v>900.45866372199998</c:v>
                </c:pt>
                <c:pt idx="21">
                  <c:v>900.54871417000004</c:v>
                </c:pt>
                <c:pt idx="22">
                  <c:v>900.72441632000005</c:v>
                </c:pt>
                <c:pt idx="23">
                  <c:v>900.88287345499998</c:v>
                </c:pt>
                <c:pt idx="24">
                  <c:v>623.10625450800001</c:v>
                </c:pt>
                <c:pt idx="25">
                  <c:v>727.03524810800002</c:v>
                </c:pt>
                <c:pt idx="26">
                  <c:v>408.10758049600003</c:v>
                </c:pt>
                <c:pt idx="27">
                  <c:v>900.72005330000002</c:v>
                </c:pt>
                <c:pt idx="28">
                  <c:v>900.74158389399997</c:v>
                </c:pt>
                <c:pt idx="29">
                  <c:v>900.62656542299999</c:v>
                </c:pt>
                <c:pt idx="30">
                  <c:v>900.67174980100003</c:v>
                </c:pt>
                <c:pt idx="31">
                  <c:v>900.692187343</c:v>
                </c:pt>
                <c:pt idx="32">
                  <c:v>668.34748224400005</c:v>
                </c:pt>
                <c:pt idx="33">
                  <c:v>654.71062634099997</c:v>
                </c:pt>
                <c:pt idx="34">
                  <c:v>592.18702674500003</c:v>
                </c:pt>
                <c:pt idx="35">
                  <c:v>803.98657676799996</c:v>
                </c:pt>
                <c:pt idx="36">
                  <c:v>900.64535636000005</c:v>
                </c:pt>
                <c:pt idx="37">
                  <c:v>900.71610469699999</c:v>
                </c:pt>
                <c:pt idx="38">
                  <c:v>900.72809303400004</c:v>
                </c:pt>
                <c:pt idx="39">
                  <c:v>479.18724326699999</c:v>
                </c:pt>
                <c:pt idx="40">
                  <c:v>900.88055774400004</c:v>
                </c:pt>
                <c:pt idx="41">
                  <c:v>901.256588964</c:v>
                </c:pt>
                <c:pt idx="42">
                  <c:v>900.97958470900005</c:v>
                </c:pt>
                <c:pt idx="43">
                  <c:v>900.96560698799999</c:v>
                </c:pt>
                <c:pt idx="44">
                  <c:v>617.85073844600004</c:v>
                </c:pt>
                <c:pt idx="45">
                  <c:v>900.71906323899998</c:v>
                </c:pt>
                <c:pt idx="46">
                  <c:v>900.64149188199997</c:v>
                </c:pt>
                <c:pt idx="47">
                  <c:v>900.88669275500001</c:v>
                </c:pt>
                <c:pt idx="48">
                  <c:v>901.34783365800001</c:v>
                </c:pt>
                <c:pt idx="49">
                  <c:v>900.90840958800004</c:v>
                </c:pt>
                <c:pt idx="50">
                  <c:v>901.01250177099996</c:v>
                </c:pt>
                <c:pt idx="51">
                  <c:v>862.44701335599996</c:v>
                </c:pt>
                <c:pt idx="52">
                  <c:v>901.217523594</c:v>
                </c:pt>
                <c:pt idx="53">
                  <c:v>725.231264528</c:v>
                </c:pt>
                <c:pt idx="54">
                  <c:v>900.90000783999994</c:v>
                </c:pt>
                <c:pt idx="55">
                  <c:v>900.94933401499998</c:v>
                </c:pt>
                <c:pt idx="56">
                  <c:v>901.29002294099996</c:v>
                </c:pt>
                <c:pt idx="57">
                  <c:v>901.23950296199996</c:v>
                </c:pt>
                <c:pt idx="58">
                  <c:v>901.31750307300001</c:v>
                </c:pt>
                <c:pt idx="59">
                  <c:v>901.05161878800004</c:v>
                </c:pt>
                <c:pt idx="60">
                  <c:v>720.23445894099996</c:v>
                </c:pt>
                <c:pt idx="61">
                  <c:v>785.90134233100002</c:v>
                </c:pt>
                <c:pt idx="62">
                  <c:v>900.62184962000003</c:v>
                </c:pt>
                <c:pt idx="63">
                  <c:v>900.63051771599999</c:v>
                </c:pt>
                <c:pt idx="64">
                  <c:v>900.737510563</c:v>
                </c:pt>
                <c:pt idx="65">
                  <c:v>901.017874474</c:v>
                </c:pt>
                <c:pt idx="66">
                  <c:v>901.249074845</c:v>
                </c:pt>
                <c:pt idx="67">
                  <c:v>900.89604331700002</c:v>
                </c:pt>
                <c:pt idx="68">
                  <c:v>901.33446591899997</c:v>
                </c:pt>
                <c:pt idx="69">
                  <c:v>536.74346351600002</c:v>
                </c:pt>
                <c:pt idx="70">
                  <c:v>900.89739007100002</c:v>
                </c:pt>
                <c:pt idx="71">
                  <c:v>900.94862977900004</c:v>
                </c:pt>
                <c:pt idx="72">
                  <c:v>901.48188204799999</c:v>
                </c:pt>
                <c:pt idx="73">
                  <c:v>545.40562250799996</c:v>
                </c:pt>
                <c:pt idx="74">
                  <c:v>596.26917677899996</c:v>
                </c:pt>
                <c:pt idx="75">
                  <c:v>654.16382123000005</c:v>
                </c:pt>
                <c:pt idx="76">
                  <c:v>900.82187715400005</c:v>
                </c:pt>
                <c:pt idx="77">
                  <c:v>900.81505128399999</c:v>
                </c:pt>
                <c:pt idx="78">
                  <c:v>900.76317246099995</c:v>
                </c:pt>
                <c:pt idx="79">
                  <c:v>894.88880705099996</c:v>
                </c:pt>
                <c:pt idx="80">
                  <c:v>900.75985780099995</c:v>
                </c:pt>
                <c:pt idx="81">
                  <c:v>901.26325517400005</c:v>
                </c:pt>
                <c:pt idx="82">
                  <c:v>632.77765777299999</c:v>
                </c:pt>
                <c:pt idx="83">
                  <c:v>866.09138455499999</c:v>
                </c:pt>
                <c:pt idx="84">
                  <c:v>849.96104164099995</c:v>
                </c:pt>
                <c:pt idx="85">
                  <c:v>901.19004537399996</c:v>
                </c:pt>
                <c:pt idx="86">
                  <c:v>901.03419805800002</c:v>
                </c:pt>
                <c:pt idx="87">
                  <c:v>901.03142377699999</c:v>
                </c:pt>
                <c:pt idx="88">
                  <c:v>900.87143034400003</c:v>
                </c:pt>
                <c:pt idx="89">
                  <c:v>901.20520799200006</c:v>
                </c:pt>
              </c:numCache>
            </c:numRef>
          </c:yVal>
          <c:smooth val="0"/>
          <c:extLst>
            <c:ext xmlns:c16="http://schemas.microsoft.com/office/drawing/2014/chart" uri="{C3380CC4-5D6E-409C-BE32-E72D297353CC}">
              <c16:uniqueId val="{00000003-D9F4-40FA-909B-A11541A01F26}"/>
            </c:ext>
          </c:extLst>
        </c:ser>
        <c:ser>
          <c:idx val="4"/>
          <c:order val="3"/>
          <c:tx>
            <c:strRef>
              <c:f>'results-all-time-memory-ccf'!$F$1</c:f>
              <c:strCache>
                <c:ptCount val="1"/>
                <c:pt idx="0">
                  <c:v>CPU Time-zbdd</c:v>
                </c:pt>
              </c:strCache>
            </c:strRef>
          </c:tx>
          <c:spPr>
            <a:ln w="19050" cap="rnd">
              <a:noFill/>
              <a:round/>
            </a:ln>
            <a:effectLst/>
          </c:spPr>
          <c:marker>
            <c:symbol val="circle"/>
            <c:size val="5"/>
            <c:spPr>
              <a:solidFill>
                <a:schemeClr val="accent5"/>
              </a:solidFill>
              <a:ln w="9525">
                <a:solidFill>
                  <a:schemeClr val="accent5"/>
                </a:solidFill>
              </a:ln>
              <a:effectLst/>
            </c:spPr>
          </c:marker>
          <c:xVal>
            <c:strRef>
              <c:f>'results-all-time-memory-ccf'!$A$2:$A$91</c:f>
              <c:strCache>
                <c:ptCount val="90"/>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ccf6-600-05</c:v>
                </c:pt>
                <c:pt idx="51">
                  <c:v>ccf7-600-05</c:v>
                </c:pt>
                <c:pt idx="52">
                  <c:v>ccf8-600-05</c:v>
                </c:pt>
                <c:pt idx="53">
                  <c:v>ccf9-600-05</c:v>
                </c:pt>
                <c:pt idx="54">
                  <c:v>ccf1-700-05</c:v>
                </c:pt>
                <c:pt idx="55">
                  <c:v>ccf2-700-05</c:v>
                </c:pt>
                <c:pt idx="56">
                  <c:v>ccf3-700-05</c:v>
                </c:pt>
                <c:pt idx="57">
                  <c:v>ccf4-700-05</c:v>
                </c:pt>
                <c:pt idx="58">
                  <c:v>ccf5-700-05</c:v>
                </c:pt>
                <c:pt idx="59">
                  <c:v>ccf6-700-05</c:v>
                </c:pt>
                <c:pt idx="60">
                  <c:v>ccf7-700-05</c:v>
                </c:pt>
                <c:pt idx="61">
                  <c:v>ccf8-700-05</c:v>
                </c:pt>
                <c:pt idx="62">
                  <c:v>ccf9-700-05</c:v>
                </c:pt>
                <c:pt idx="63">
                  <c:v>ccf1-800-05</c:v>
                </c:pt>
                <c:pt idx="64">
                  <c:v>ccf2-800-05</c:v>
                </c:pt>
                <c:pt idx="65">
                  <c:v>ccf3-800-05</c:v>
                </c:pt>
                <c:pt idx="66">
                  <c:v>ccf4-800-05</c:v>
                </c:pt>
                <c:pt idx="67">
                  <c:v>ccf5-800-05</c:v>
                </c:pt>
                <c:pt idx="68">
                  <c:v>ccf6-800-05</c:v>
                </c:pt>
                <c:pt idx="69">
                  <c:v>ccf7-800-05</c:v>
                </c:pt>
                <c:pt idx="70">
                  <c:v>ccf8-800-05</c:v>
                </c:pt>
                <c:pt idx="71">
                  <c:v>ccf9-800-05</c:v>
                </c:pt>
                <c:pt idx="72">
                  <c:v>ccf1-900-05</c:v>
                </c:pt>
                <c:pt idx="73">
                  <c:v>ccf2-900-05</c:v>
                </c:pt>
                <c:pt idx="74">
                  <c:v>ccf3-900-05</c:v>
                </c:pt>
                <c:pt idx="75">
                  <c:v>ccf4-900-05</c:v>
                </c:pt>
                <c:pt idx="76">
                  <c:v>ccf5-900-05</c:v>
                </c:pt>
                <c:pt idx="77">
                  <c:v>ccf6-900-05</c:v>
                </c:pt>
                <c:pt idx="78">
                  <c:v>ccf7-900-05</c:v>
                </c:pt>
                <c:pt idx="79">
                  <c:v>ccf8-900-05</c:v>
                </c:pt>
                <c:pt idx="80">
                  <c:v>ccf9-900-05</c:v>
                </c:pt>
                <c:pt idx="81">
                  <c:v>ccf1-1000-05</c:v>
                </c:pt>
                <c:pt idx="82">
                  <c:v>ccf2-1000-05</c:v>
                </c:pt>
                <c:pt idx="83">
                  <c:v>ccf3-1000-05</c:v>
                </c:pt>
                <c:pt idx="84">
                  <c:v>ccf4-1000-05</c:v>
                </c:pt>
                <c:pt idx="85">
                  <c:v>ccf5-1000-05</c:v>
                </c:pt>
                <c:pt idx="86">
                  <c:v>ccf6-1000-05</c:v>
                </c:pt>
                <c:pt idx="87">
                  <c:v>ccf7-1000-05</c:v>
                </c:pt>
                <c:pt idx="88">
                  <c:v>ccf8-1000-05</c:v>
                </c:pt>
                <c:pt idx="89">
                  <c:v>ccf9-1000-05</c:v>
                </c:pt>
              </c:strCache>
            </c:strRef>
          </c:xVal>
          <c:yVal>
            <c:numRef>
              <c:f>'results-all-time-memory-ccf'!$F$2:$F$91</c:f>
              <c:numCache>
                <c:formatCode>General</c:formatCode>
                <c:ptCount val="90"/>
                <c:pt idx="0">
                  <c:v>0.102610805</c:v>
                </c:pt>
                <c:pt idx="1">
                  <c:v>2.8968663480000001</c:v>
                </c:pt>
                <c:pt idx="2">
                  <c:v>48.459245586999998</c:v>
                </c:pt>
                <c:pt idx="3">
                  <c:v>901.002709106</c:v>
                </c:pt>
                <c:pt idx="4">
                  <c:v>900.99725093200004</c:v>
                </c:pt>
                <c:pt idx="5">
                  <c:v>900.62724787299999</c:v>
                </c:pt>
                <c:pt idx="6">
                  <c:v>900.587552964</c:v>
                </c:pt>
                <c:pt idx="7">
                  <c:v>900.593005221</c:v>
                </c:pt>
                <c:pt idx="8">
                  <c:v>900.62511521900001</c:v>
                </c:pt>
                <c:pt idx="9">
                  <c:v>1.153946672</c:v>
                </c:pt>
                <c:pt idx="10">
                  <c:v>17.221681088</c:v>
                </c:pt>
                <c:pt idx="11">
                  <c:v>149.64532529300001</c:v>
                </c:pt>
                <c:pt idx="12">
                  <c:v>900.45720542200002</c:v>
                </c:pt>
                <c:pt idx="13">
                  <c:v>900.33519087100001</c:v>
                </c:pt>
                <c:pt idx="14">
                  <c:v>900.55694487799997</c:v>
                </c:pt>
                <c:pt idx="15">
                  <c:v>900.28867023199996</c:v>
                </c:pt>
                <c:pt idx="16">
                  <c:v>900.60726083300005</c:v>
                </c:pt>
                <c:pt idx="17">
                  <c:v>900.63986642899999</c:v>
                </c:pt>
                <c:pt idx="18">
                  <c:v>901.00386247400002</c:v>
                </c:pt>
                <c:pt idx="19">
                  <c:v>900.75656670000001</c:v>
                </c:pt>
                <c:pt idx="20">
                  <c:v>900.72519436000005</c:v>
                </c:pt>
                <c:pt idx="21">
                  <c:v>900.77032449499995</c:v>
                </c:pt>
                <c:pt idx="22">
                  <c:v>900.702116553</c:v>
                </c:pt>
                <c:pt idx="23">
                  <c:v>901.32678059499995</c:v>
                </c:pt>
                <c:pt idx="24">
                  <c:v>230.39695430500001</c:v>
                </c:pt>
                <c:pt idx="25">
                  <c:v>238.99841170100001</c:v>
                </c:pt>
                <c:pt idx="26">
                  <c:v>257.44440100399999</c:v>
                </c:pt>
                <c:pt idx="27">
                  <c:v>900.71965971199995</c:v>
                </c:pt>
                <c:pt idx="28">
                  <c:v>900.41648357500003</c:v>
                </c:pt>
                <c:pt idx="29">
                  <c:v>901.083921369</c:v>
                </c:pt>
                <c:pt idx="30">
                  <c:v>901.27995832700003</c:v>
                </c:pt>
                <c:pt idx="31">
                  <c:v>901.082885584</c:v>
                </c:pt>
                <c:pt idx="32">
                  <c:v>256.78763682300001</c:v>
                </c:pt>
                <c:pt idx="33">
                  <c:v>285.33420842300001</c:v>
                </c:pt>
                <c:pt idx="34">
                  <c:v>267.27299018899998</c:v>
                </c:pt>
                <c:pt idx="35">
                  <c:v>247.22610993000001</c:v>
                </c:pt>
                <c:pt idx="36">
                  <c:v>900.72024278100002</c:v>
                </c:pt>
                <c:pt idx="37">
                  <c:v>900.69569900900001</c:v>
                </c:pt>
                <c:pt idx="38">
                  <c:v>900.64698202299996</c:v>
                </c:pt>
                <c:pt idx="39">
                  <c:v>337.84640346399999</c:v>
                </c:pt>
                <c:pt idx="40">
                  <c:v>901.32596099600005</c:v>
                </c:pt>
                <c:pt idx="41">
                  <c:v>314.08582267100002</c:v>
                </c:pt>
                <c:pt idx="42">
                  <c:v>319.30130795000002</c:v>
                </c:pt>
                <c:pt idx="43">
                  <c:v>312.20783092400001</c:v>
                </c:pt>
                <c:pt idx="44">
                  <c:v>310.91431795300002</c:v>
                </c:pt>
                <c:pt idx="45">
                  <c:v>900.76394856399997</c:v>
                </c:pt>
                <c:pt idx="46">
                  <c:v>901.31878277099997</c:v>
                </c:pt>
                <c:pt idx="47">
                  <c:v>254.812579943</c:v>
                </c:pt>
                <c:pt idx="48">
                  <c:v>262.10746786800001</c:v>
                </c:pt>
                <c:pt idx="49">
                  <c:v>283.349060114</c:v>
                </c:pt>
                <c:pt idx="50">
                  <c:v>363.61319399600001</c:v>
                </c:pt>
                <c:pt idx="51">
                  <c:v>472.68406186700003</c:v>
                </c:pt>
                <c:pt idx="52">
                  <c:v>338.11076025300002</c:v>
                </c:pt>
                <c:pt idx="53">
                  <c:v>258.91102145600001</c:v>
                </c:pt>
                <c:pt idx="54">
                  <c:v>519.07757447200004</c:v>
                </c:pt>
                <c:pt idx="55">
                  <c:v>464.69782447699998</c:v>
                </c:pt>
                <c:pt idx="56">
                  <c:v>212.691106636</c:v>
                </c:pt>
                <c:pt idx="57">
                  <c:v>214.80258224900001</c:v>
                </c:pt>
                <c:pt idx="58">
                  <c:v>219.961516725</c:v>
                </c:pt>
                <c:pt idx="59">
                  <c:v>233.11989704000001</c:v>
                </c:pt>
                <c:pt idx="60">
                  <c:v>258.47990010400002</c:v>
                </c:pt>
                <c:pt idx="61">
                  <c:v>266.15969293299997</c:v>
                </c:pt>
                <c:pt idx="62">
                  <c:v>319.37863121599997</c:v>
                </c:pt>
                <c:pt idx="63">
                  <c:v>900.64234058600005</c:v>
                </c:pt>
                <c:pt idx="64">
                  <c:v>900.78778300299996</c:v>
                </c:pt>
                <c:pt idx="65">
                  <c:v>226.50635929200001</c:v>
                </c:pt>
                <c:pt idx="66">
                  <c:v>317.28058319399997</c:v>
                </c:pt>
                <c:pt idx="67">
                  <c:v>440.74281951799998</c:v>
                </c:pt>
                <c:pt idx="68">
                  <c:v>226.535614423</c:v>
                </c:pt>
                <c:pt idx="69">
                  <c:v>303.21740038199999</c:v>
                </c:pt>
                <c:pt idx="70">
                  <c:v>242.24597186</c:v>
                </c:pt>
                <c:pt idx="71">
                  <c:v>400.85466909500002</c:v>
                </c:pt>
                <c:pt idx="72">
                  <c:v>500.56123138200002</c:v>
                </c:pt>
                <c:pt idx="73">
                  <c:v>446.094517526</c:v>
                </c:pt>
                <c:pt idx="74">
                  <c:v>512.50895125299996</c:v>
                </c:pt>
                <c:pt idx="75">
                  <c:v>706.23228752299997</c:v>
                </c:pt>
                <c:pt idx="76">
                  <c:v>383.04146387499998</c:v>
                </c:pt>
                <c:pt idx="77">
                  <c:v>629.90372326099998</c:v>
                </c:pt>
                <c:pt idx="78">
                  <c:v>632.80806954599996</c:v>
                </c:pt>
                <c:pt idx="79">
                  <c:v>694.86688281199997</c:v>
                </c:pt>
                <c:pt idx="80">
                  <c:v>385.05678503399997</c:v>
                </c:pt>
                <c:pt idx="81">
                  <c:v>441.763427611</c:v>
                </c:pt>
                <c:pt idx="82">
                  <c:v>311.88032048899998</c:v>
                </c:pt>
                <c:pt idx="83">
                  <c:v>298.54472572100002</c:v>
                </c:pt>
                <c:pt idx="84">
                  <c:v>309.507880027</c:v>
                </c:pt>
                <c:pt idx="85">
                  <c:v>322.56121876399999</c:v>
                </c:pt>
                <c:pt idx="86">
                  <c:v>314.39342956799999</c:v>
                </c:pt>
                <c:pt idx="87">
                  <c:v>228.69528067600001</c:v>
                </c:pt>
                <c:pt idx="88">
                  <c:v>228.71198319999999</c:v>
                </c:pt>
                <c:pt idx="89">
                  <c:v>295.82699050100001</c:v>
                </c:pt>
              </c:numCache>
            </c:numRef>
          </c:yVal>
          <c:smooth val="0"/>
          <c:extLst>
            <c:ext xmlns:c16="http://schemas.microsoft.com/office/drawing/2014/chart" uri="{C3380CC4-5D6E-409C-BE32-E72D297353CC}">
              <c16:uniqueId val="{00000004-D9F4-40FA-909B-A11541A01F26}"/>
            </c:ext>
          </c:extLst>
        </c:ser>
        <c:dLbls>
          <c:showLegendKey val="0"/>
          <c:showVal val="0"/>
          <c:showCatName val="0"/>
          <c:showSerName val="0"/>
          <c:showPercent val="0"/>
          <c:showBubbleSize val="0"/>
        </c:dLbls>
        <c:axId val="1805098096"/>
        <c:axId val="1657887632"/>
      </c:scatterChart>
      <c:valAx>
        <c:axId val="180509809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87632"/>
        <c:crosses val="autoZero"/>
        <c:crossBetween val="midCat"/>
      </c:valAx>
      <c:valAx>
        <c:axId val="165788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0980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'results-all-time-memory-ccf'!$K$1</c:f>
              <c:strCache>
                <c:ptCount val="1"/>
                <c:pt idx="0">
                  <c:v>Memory-XFTA</c:v>
                </c:pt>
              </c:strCache>
            </c:strRef>
          </c:tx>
          <c:spPr>
            <a:ln w="19050" cap="rnd">
              <a:noFill/>
              <a:round/>
            </a:ln>
            <a:effectLst/>
          </c:spPr>
          <c:marker>
            <c:symbol val="circle"/>
            <c:size val="5"/>
            <c:spPr>
              <a:solidFill>
                <a:schemeClr val="accent1"/>
              </a:solidFill>
              <a:ln w="9525">
                <a:solidFill>
                  <a:schemeClr val="accent1"/>
                </a:solidFill>
              </a:ln>
              <a:effectLst/>
            </c:spPr>
          </c:marker>
          <c:xVal>
            <c:strRef>
              <c:f>'results-all-time-memory-ccf'!$J$2:$J$91</c:f>
              <c:strCache>
                <c:ptCount val="90"/>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ccf6-600-05</c:v>
                </c:pt>
                <c:pt idx="51">
                  <c:v>ccf7-600-05</c:v>
                </c:pt>
                <c:pt idx="52">
                  <c:v>ccf8-600-05</c:v>
                </c:pt>
                <c:pt idx="53">
                  <c:v>ccf9-600-05</c:v>
                </c:pt>
                <c:pt idx="54">
                  <c:v>ccf1-700-05</c:v>
                </c:pt>
                <c:pt idx="55">
                  <c:v>ccf2-700-05</c:v>
                </c:pt>
                <c:pt idx="56">
                  <c:v>ccf3-700-05</c:v>
                </c:pt>
                <c:pt idx="57">
                  <c:v>ccf4-700-05</c:v>
                </c:pt>
                <c:pt idx="58">
                  <c:v>ccf5-700-05</c:v>
                </c:pt>
                <c:pt idx="59">
                  <c:v>ccf6-700-05</c:v>
                </c:pt>
                <c:pt idx="60">
                  <c:v>ccf7-700-05</c:v>
                </c:pt>
                <c:pt idx="61">
                  <c:v>ccf8-700-05</c:v>
                </c:pt>
                <c:pt idx="62">
                  <c:v>ccf9-700-05</c:v>
                </c:pt>
                <c:pt idx="63">
                  <c:v>ccf1-800-05</c:v>
                </c:pt>
                <c:pt idx="64">
                  <c:v>ccf2-800-05</c:v>
                </c:pt>
                <c:pt idx="65">
                  <c:v>ccf3-800-05</c:v>
                </c:pt>
                <c:pt idx="66">
                  <c:v>ccf4-800-05</c:v>
                </c:pt>
                <c:pt idx="67">
                  <c:v>ccf5-800-05</c:v>
                </c:pt>
                <c:pt idx="68">
                  <c:v>ccf6-800-05</c:v>
                </c:pt>
                <c:pt idx="69">
                  <c:v>ccf7-800-05</c:v>
                </c:pt>
                <c:pt idx="70">
                  <c:v>ccf8-800-05</c:v>
                </c:pt>
                <c:pt idx="71">
                  <c:v>ccf9-800-05</c:v>
                </c:pt>
                <c:pt idx="72">
                  <c:v>ccf1-900-05</c:v>
                </c:pt>
                <c:pt idx="73">
                  <c:v>ccf2-900-05</c:v>
                </c:pt>
                <c:pt idx="74">
                  <c:v>ccf3-900-05</c:v>
                </c:pt>
                <c:pt idx="75">
                  <c:v>ccf4-900-05</c:v>
                </c:pt>
                <c:pt idx="76">
                  <c:v>ccf5-900-05</c:v>
                </c:pt>
                <c:pt idx="77">
                  <c:v>ccf6-900-05</c:v>
                </c:pt>
                <c:pt idx="78">
                  <c:v>ccf7-900-05</c:v>
                </c:pt>
                <c:pt idx="79">
                  <c:v>ccf8-900-05</c:v>
                </c:pt>
                <c:pt idx="80">
                  <c:v>ccf9-900-05</c:v>
                </c:pt>
                <c:pt idx="81">
                  <c:v>ccf1-1000-05</c:v>
                </c:pt>
                <c:pt idx="82">
                  <c:v>ccf2-1000-05</c:v>
                </c:pt>
                <c:pt idx="83">
                  <c:v>ccf3-1000-05</c:v>
                </c:pt>
                <c:pt idx="84">
                  <c:v>ccf4-1000-05</c:v>
                </c:pt>
                <c:pt idx="85">
                  <c:v>ccf5-1000-05</c:v>
                </c:pt>
                <c:pt idx="86">
                  <c:v>ccf6-1000-05</c:v>
                </c:pt>
                <c:pt idx="87">
                  <c:v>ccf7-1000-05</c:v>
                </c:pt>
                <c:pt idx="88">
                  <c:v>ccf8-1000-05</c:v>
                </c:pt>
                <c:pt idx="89">
                  <c:v>ccf9-1000-05</c:v>
                </c:pt>
              </c:strCache>
            </c:strRef>
          </c:xVal>
          <c:yVal>
            <c:numRef>
              <c:f>'results-all-time-memory-ccf'!$K$2:$K$91</c:f>
              <c:numCache>
                <c:formatCode>General</c:formatCode>
                <c:ptCount val="90"/>
                <c:pt idx="0">
                  <c:v>4.6284799999999997</c:v>
                </c:pt>
                <c:pt idx="1">
                  <c:v>45.707264000000002</c:v>
                </c:pt>
                <c:pt idx="2">
                  <c:v>415.62521600000002</c:v>
                </c:pt>
                <c:pt idx="3">
                  <c:v>5828.9233919999997</c:v>
                </c:pt>
                <c:pt idx="4">
                  <c:v>4755.5993600000002</c:v>
                </c:pt>
                <c:pt idx="5">
                  <c:v>4926.8244480000003</c:v>
                </c:pt>
                <c:pt idx="6">
                  <c:v>4829.175808</c:v>
                </c:pt>
                <c:pt idx="7">
                  <c:v>3386.6752000000001</c:v>
                </c:pt>
                <c:pt idx="8">
                  <c:v>29.409279999999999</c:v>
                </c:pt>
                <c:pt idx="9">
                  <c:v>13.348864000000001</c:v>
                </c:pt>
                <c:pt idx="10">
                  <c:v>168.78796800000001</c:v>
                </c:pt>
                <c:pt idx="11">
                  <c:v>1129.6890880000001</c:v>
                </c:pt>
                <c:pt idx="12">
                  <c:v>79.495168000000007</c:v>
                </c:pt>
                <c:pt idx="13">
                  <c:v>116.363264</c:v>
                </c:pt>
                <c:pt idx="14">
                  <c:v>1262.6862080000001</c:v>
                </c:pt>
                <c:pt idx="15">
                  <c:v>761.33990400000005</c:v>
                </c:pt>
                <c:pt idx="16">
                  <c:v>26.296320000000001</c:v>
                </c:pt>
                <c:pt idx="17">
                  <c:v>1808.8714239999999</c:v>
                </c:pt>
                <c:pt idx="18">
                  <c:v>105.435136</c:v>
                </c:pt>
                <c:pt idx="19">
                  <c:v>41.365504000000001</c:v>
                </c:pt>
                <c:pt idx="20">
                  <c:v>12.47232</c:v>
                </c:pt>
                <c:pt idx="21">
                  <c:v>15.736832</c:v>
                </c:pt>
                <c:pt idx="22">
                  <c:v>18.325503999999999</c:v>
                </c:pt>
                <c:pt idx="23">
                  <c:v>20.631551999999999</c:v>
                </c:pt>
                <c:pt idx="24">
                  <c:v>23.670784000000001</c:v>
                </c:pt>
                <c:pt idx="25">
                  <c:v>26.271744000000002</c:v>
                </c:pt>
                <c:pt idx="26">
                  <c:v>128.67583999999999</c:v>
                </c:pt>
                <c:pt idx="27">
                  <c:v>2492.7846399999999</c:v>
                </c:pt>
                <c:pt idx="28">
                  <c:v>478.36364800000001</c:v>
                </c:pt>
                <c:pt idx="29">
                  <c:v>1893.597184</c:v>
                </c:pt>
                <c:pt idx="30">
                  <c:v>1829.1507200000001</c:v>
                </c:pt>
                <c:pt idx="31">
                  <c:v>2269.2126720000001</c:v>
                </c:pt>
                <c:pt idx="32">
                  <c:v>1834.4427519999999</c:v>
                </c:pt>
                <c:pt idx="33">
                  <c:v>1702.3754240000001</c:v>
                </c:pt>
                <c:pt idx="34">
                  <c:v>1604.8660480000001</c:v>
                </c:pt>
                <c:pt idx="35">
                  <c:v>5507.7928959999999</c:v>
                </c:pt>
                <c:pt idx="36">
                  <c:v>441.64710400000001</c:v>
                </c:pt>
                <c:pt idx="37">
                  <c:v>2562.7484159999999</c:v>
                </c:pt>
                <c:pt idx="38">
                  <c:v>2767.2371199999998</c:v>
                </c:pt>
                <c:pt idx="39">
                  <c:v>6738.0674559999998</c:v>
                </c:pt>
                <c:pt idx="40">
                  <c:v>1058.4227840000001</c:v>
                </c:pt>
                <c:pt idx="41">
                  <c:v>4087.7588479999999</c:v>
                </c:pt>
                <c:pt idx="42">
                  <c:v>4594.921472</c:v>
                </c:pt>
                <c:pt idx="43">
                  <c:v>4396.2122239999999</c:v>
                </c:pt>
                <c:pt idx="44">
                  <c:v>801.652736</c:v>
                </c:pt>
                <c:pt idx="45">
                  <c:v>5082.2840319999996</c:v>
                </c:pt>
                <c:pt idx="46">
                  <c:v>4345.7699839999996</c:v>
                </c:pt>
                <c:pt idx="47">
                  <c:v>4045.963264</c:v>
                </c:pt>
                <c:pt idx="48">
                  <c:v>2535.5960319999999</c:v>
                </c:pt>
                <c:pt idx="49">
                  <c:v>3009.0649600000002</c:v>
                </c:pt>
                <c:pt idx="50">
                  <c:v>5466.2758400000002</c:v>
                </c:pt>
                <c:pt idx="51">
                  <c:v>5503.1070719999998</c:v>
                </c:pt>
                <c:pt idx="52">
                  <c:v>4496.9205760000004</c:v>
                </c:pt>
                <c:pt idx="53">
                  <c:v>94.613504000000006</c:v>
                </c:pt>
                <c:pt idx="54">
                  <c:v>2291.8635519999998</c:v>
                </c:pt>
                <c:pt idx="55">
                  <c:v>2261.2664319999999</c:v>
                </c:pt>
                <c:pt idx="56">
                  <c:v>1893.9166720000001</c:v>
                </c:pt>
                <c:pt idx="57">
                  <c:v>1930.391552</c:v>
                </c:pt>
                <c:pt idx="58">
                  <c:v>2403.5532800000001</c:v>
                </c:pt>
                <c:pt idx="59">
                  <c:v>2372.6243840000002</c:v>
                </c:pt>
                <c:pt idx="60">
                  <c:v>2778.7796480000002</c:v>
                </c:pt>
                <c:pt idx="61">
                  <c:v>2747.5599360000001</c:v>
                </c:pt>
                <c:pt idx="62">
                  <c:v>2951.5571199999999</c:v>
                </c:pt>
                <c:pt idx="63">
                  <c:v>2191.085568</c:v>
                </c:pt>
                <c:pt idx="64">
                  <c:v>2193.4981120000002</c:v>
                </c:pt>
                <c:pt idx="65">
                  <c:v>1860.3786239999999</c:v>
                </c:pt>
                <c:pt idx="66">
                  <c:v>1997.443072</c:v>
                </c:pt>
                <c:pt idx="67">
                  <c:v>1865.527296</c:v>
                </c:pt>
                <c:pt idx="68">
                  <c:v>2103.5376639999999</c:v>
                </c:pt>
                <c:pt idx="69">
                  <c:v>2106.4704000000002</c:v>
                </c:pt>
                <c:pt idx="70">
                  <c:v>2109.1246080000001</c:v>
                </c:pt>
                <c:pt idx="71">
                  <c:v>4532.7974400000003</c:v>
                </c:pt>
                <c:pt idx="72">
                  <c:v>3166.26944</c:v>
                </c:pt>
                <c:pt idx="73">
                  <c:v>2093.1993600000001</c:v>
                </c:pt>
                <c:pt idx="74">
                  <c:v>2096.1484799999998</c:v>
                </c:pt>
                <c:pt idx="75">
                  <c:v>989.06521599999996</c:v>
                </c:pt>
                <c:pt idx="76">
                  <c:v>1025.3967359999999</c:v>
                </c:pt>
                <c:pt idx="77">
                  <c:v>1431.6134400000001</c:v>
                </c:pt>
                <c:pt idx="78">
                  <c:v>1535.4265600000001</c:v>
                </c:pt>
                <c:pt idx="79">
                  <c:v>1538.1790719999999</c:v>
                </c:pt>
                <c:pt idx="80">
                  <c:v>1742.2909440000001</c:v>
                </c:pt>
                <c:pt idx="81">
                  <c:v>73.23648</c:v>
                </c:pt>
                <c:pt idx="82">
                  <c:v>7204.6878720000004</c:v>
                </c:pt>
                <c:pt idx="83">
                  <c:v>7342.178304</c:v>
                </c:pt>
                <c:pt idx="84">
                  <c:v>7849.6972800000003</c:v>
                </c:pt>
                <c:pt idx="85">
                  <c:v>8054.1900800000003</c:v>
                </c:pt>
                <c:pt idx="86">
                  <c:v>8830.1568000000007</c:v>
                </c:pt>
                <c:pt idx="87">
                  <c:v>10211.606528</c:v>
                </c:pt>
                <c:pt idx="88">
                  <c:v>9911.5171840000003</c:v>
                </c:pt>
                <c:pt idx="89">
                  <c:v>2718.4005120000002</c:v>
                </c:pt>
              </c:numCache>
            </c:numRef>
          </c:yVal>
          <c:smooth val="0"/>
          <c:extLst>
            <c:ext xmlns:c16="http://schemas.microsoft.com/office/drawing/2014/chart" uri="{C3380CC4-5D6E-409C-BE32-E72D297353CC}">
              <c16:uniqueId val="{00000000-CF6C-4249-A547-A6E6500B7F18}"/>
            </c:ext>
          </c:extLst>
        </c:ser>
        <c:ser>
          <c:idx val="2"/>
          <c:order val="1"/>
          <c:tx>
            <c:strRef>
              <c:f>'results-all-time-memory-ccf'!$M$1</c:f>
              <c:strCache>
                <c:ptCount val="1"/>
                <c:pt idx="0">
                  <c:v>Memory-BDD</c:v>
                </c:pt>
              </c:strCache>
            </c:strRef>
          </c:tx>
          <c:spPr>
            <a:ln w="19050" cap="rnd">
              <a:noFill/>
              <a:round/>
            </a:ln>
            <a:effectLst/>
          </c:spPr>
          <c:marker>
            <c:symbol val="circle"/>
            <c:size val="5"/>
            <c:spPr>
              <a:solidFill>
                <a:schemeClr val="accent3"/>
              </a:solidFill>
              <a:ln w="9525">
                <a:solidFill>
                  <a:schemeClr val="accent3"/>
                </a:solidFill>
              </a:ln>
              <a:effectLst/>
            </c:spPr>
          </c:marker>
          <c:xVal>
            <c:strRef>
              <c:f>'results-all-time-memory-ccf'!$J$2:$J$91</c:f>
              <c:strCache>
                <c:ptCount val="90"/>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ccf6-600-05</c:v>
                </c:pt>
                <c:pt idx="51">
                  <c:v>ccf7-600-05</c:v>
                </c:pt>
                <c:pt idx="52">
                  <c:v>ccf8-600-05</c:v>
                </c:pt>
                <c:pt idx="53">
                  <c:v>ccf9-600-05</c:v>
                </c:pt>
                <c:pt idx="54">
                  <c:v>ccf1-700-05</c:v>
                </c:pt>
                <c:pt idx="55">
                  <c:v>ccf2-700-05</c:v>
                </c:pt>
                <c:pt idx="56">
                  <c:v>ccf3-700-05</c:v>
                </c:pt>
                <c:pt idx="57">
                  <c:v>ccf4-700-05</c:v>
                </c:pt>
                <c:pt idx="58">
                  <c:v>ccf5-700-05</c:v>
                </c:pt>
                <c:pt idx="59">
                  <c:v>ccf6-700-05</c:v>
                </c:pt>
                <c:pt idx="60">
                  <c:v>ccf7-700-05</c:v>
                </c:pt>
                <c:pt idx="61">
                  <c:v>ccf8-700-05</c:v>
                </c:pt>
                <c:pt idx="62">
                  <c:v>ccf9-700-05</c:v>
                </c:pt>
                <c:pt idx="63">
                  <c:v>ccf1-800-05</c:v>
                </c:pt>
                <c:pt idx="64">
                  <c:v>ccf2-800-05</c:v>
                </c:pt>
                <c:pt idx="65">
                  <c:v>ccf3-800-05</c:v>
                </c:pt>
                <c:pt idx="66">
                  <c:v>ccf4-800-05</c:v>
                </c:pt>
                <c:pt idx="67">
                  <c:v>ccf5-800-05</c:v>
                </c:pt>
                <c:pt idx="68">
                  <c:v>ccf6-800-05</c:v>
                </c:pt>
                <c:pt idx="69">
                  <c:v>ccf7-800-05</c:v>
                </c:pt>
                <c:pt idx="70">
                  <c:v>ccf8-800-05</c:v>
                </c:pt>
                <c:pt idx="71">
                  <c:v>ccf9-800-05</c:v>
                </c:pt>
                <c:pt idx="72">
                  <c:v>ccf1-900-05</c:v>
                </c:pt>
                <c:pt idx="73">
                  <c:v>ccf2-900-05</c:v>
                </c:pt>
                <c:pt idx="74">
                  <c:v>ccf3-900-05</c:v>
                </c:pt>
                <c:pt idx="75">
                  <c:v>ccf4-900-05</c:v>
                </c:pt>
                <c:pt idx="76">
                  <c:v>ccf5-900-05</c:v>
                </c:pt>
                <c:pt idx="77">
                  <c:v>ccf6-900-05</c:v>
                </c:pt>
                <c:pt idx="78">
                  <c:v>ccf7-900-05</c:v>
                </c:pt>
                <c:pt idx="79">
                  <c:v>ccf8-900-05</c:v>
                </c:pt>
                <c:pt idx="80">
                  <c:v>ccf9-900-05</c:v>
                </c:pt>
                <c:pt idx="81">
                  <c:v>ccf1-1000-05</c:v>
                </c:pt>
                <c:pt idx="82">
                  <c:v>ccf2-1000-05</c:v>
                </c:pt>
                <c:pt idx="83">
                  <c:v>ccf3-1000-05</c:v>
                </c:pt>
                <c:pt idx="84">
                  <c:v>ccf4-1000-05</c:v>
                </c:pt>
                <c:pt idx="85">
                  <c:v>ccf5-1000-05</c:v>
                </c:pt>
                <c:pt idx="86">
                  <c:v>ccf6-1000-05</c:v>
                </c:pt>
                <c:pt idx="87">
                  <c:v>ccf7-1000-05</c:v>
                </c:pt>
                <c:pt idx="88">
                  <c:v>ccf8-1000-05</c:v>
                </c:pt>
                <c:pt idx="89">
                  <c:v>ccf9-1000-05</c:v>
                </c:pt>
              </c:strCache>
            </c:strRef>
          </c:xVal>
          <c:yVal>
            <c:numRef>
              <c:f>'results-all-time-memory-ccf'!$M$2:$M$91</c:f>
              <c:numCache>
                <c:formatCode>General</c:formatCode>
                <c:ptCount val="90"/>
                <c:pt idx="0">
                  <c:v>6.3283199999999997</c:v>
                </c:pt>
                <c:pt idx="1">
                  <c:v>6.6969599999999998</c:v>
                </c:pt>
                <c:pt idx="2">
                  <c:v>6.9918719999999999</c:v>
                </c:pt>
                <c:pt idx="3">
                  <c:v>7.3236480000000004</c:v>
                </c:pt>
                <c:pt idx="4">
                  <c:v>7.9134719999999996</c:v>
                </c:pt>
                <c:pt idx="5">
                  <c:v>8.3722239999999992</c:v>
                </c:pt>
                <c:pt idx="6">
                  <c:v>8.8268799999999992</c:v>
                </c:pt>
                <c:pt idx="7">
                  <c:v>10.018815999999999</c:v>
                </c:pt>
                <c:pt idx="8">
                  <c:v>9.6256000000000004</c:v>
                </c:pt>
                <c:pt idx="9">
                  <c:v>7.2581119999999997</c:v>
                </c:pt>
                <c:pt idx="10">
                  <c:v>13.021184</c:v>
                </c:pt>
                <c:pt idx="11">
                  <c:v>78.917631999999998</c:v>
                </c:pt>
                <c:pt idx="12">
                  <c:v>101.76512</c:v>
                </c:pt>
                <c:pt idx="13">
                  <c:v>31.772672</c:v>
                </c:pt>
                <c:pt idx="14">
                  <c:v>51.163136000000002</c:v>
                </c:pt>
                <c:pt idx="15">
                  <c:v>421.04831999999999</c:v>
                </c:pt>
                <c:pt idx="16">
                  <c:v>7845.7528320000001</c:v>
                </c:pt>
                <c:pt idx="17">
                  <c:v>725.40569600000003</c:v>
                </c:pt>
                <c:pt idx="18">
                  <c:v>274.08793600000001</c:v>
                </c:pt>
                <c:pt idx="19">
                  <c:v>275.95571200000001</c:v>
                </c:pt>
                <c:pt idx="20">
                  <c:v>1038.3482879999999</c:v>
                </c:pt>
                <c:pt idx="21">
                  <c:v>16000</c:v>
                </c:pt>
                <c:pt idx="22">
                  <c:v>16000</c:v>
                </c:pt>
                <c:pt idx="23">
                  <c:v>16000</c:v>
                </c:pt>
                <c:pt idx="24">
                  <c:v>16000</c:v>
                </c:pt>
                <c:pt idx="25">
                  <c:v>16000</c:v>
                </c:pt>
                <c:pt idx="26">
                  <c:v>16000</c:v>
                </c:pt>
                <c:pt idx="27">
                  <c:v>33.943551999999997</c:v>
                </c:pt>
                <c:pt idx="28">
                  <c:v>561.29535999999996</c:v>
                </c:pt>
                <c:pt idx="29">
                  <c:v>2480.3246079999999</c:v>
                </c:pt>
                <c:pt idx="30">
                  <c:v>8407.7936640000007</c:v>
                </c:pt>
                <c:pt idx="31">
                  <c:v>8426.7950079999991</c:v>
                </c:pt>
                <c:pt idx="32">
                  <c:v>16000</c:v>
                </c:pt>
                <c:pt idx="33">
                  <c:v>16000</c:v>
                </c:pt>
                <c:pt idx="34">
                  <c:v>16000</c:v>
                </c:pt>
                <c:pt idx="35">
                  <c:v>16000</c:v>
                </c:pt>
                <c:pt idx="36">
                  <c:v>16000</c:v>
                </c:pt>
                <c:pt idx="37">
                  <c:v>621.98169600000006</c:v>
                </c:pt>
                <c:pt idx="38">
                  <c:v>16000</c:v>
                </c:pt>
                <c:pt idx="39">
                  <c:v>16000</c:v>
                </c:pt>
                <c:pt idx="40">
                  <c:v>16000</c:v>
                </c:pt>
                <c:pt idx="41">
                  <c:v>16000</c:v>
                </c:pt>
                <c:pt idx="42">
                  <c:v>16000</c:v>
                </c:pt>
                <c:pt idx="43">
                  <c:v>16000</c:v>
                </c:pt>
                <c:pt idx="44">
                  <c:v>16000</c:v>
                </c:pt>
                <c:pt idx="45">
                  <c:v>16000</c:v>
                </c:pt>
                <c:pt idx="46">
                  <c:v>16000</c:v>
                </c:pt>
                <c:pt idx="47">
                  <c:v>16000</c:v>
                </c:pt>
                <c:pt idx="48">
                  <c:v>16000</c:v>
                </c:pt>
                <c:pt idx="49">
                  <c:v>16000</c:v>
                </c:pt>
                <c:pt idx="50">
                  <c:v>16000</c:v>
                </c:pt>
                <c:pt idx="51">
                  <c:v>16000</c:v>
                </c:pt>
                <c:pt idx="52">
                  <c:v>16000</c:v>
                </c:pt>
                <c:pt idx="53">
                  <c:v>16000</c:v>
                </c:pt>
                <c:pt idx="54">
                  <c:v>16000</c:v>
                </c:pt>
                <c:pt idx="55">
                  <c:v>16000</c:v>
                </c:pt>
                <c:pt idx="56">
                  <c:v>16000</c:v>
                </c:pt>
                <c:pt idx="57">
                  <c:v>16000</c:v>
                </c:pt>
                <c:pt idx="58">
                  <c:v>16000</c:v>
                </c:pt>
                <c:pt idx="59">
                  <c:v>16000</c:v>
                </c:pt>
                <c:pt idx="60">
                  <c:v>16000</c:v>
                </c:pt>
                <c:pt idx="61">
                  <c:v>16000</c:v>
                </c:pt>
                <c:pt idx="62">
                  <c:v>16000</c:v>
                </c:pt>
                <c:pt idx="63">
                  <c:v>731.87737600000003</c:v>
                </c:pt>
                <c:pt idx="64">
                  <c:v>8639.5453440000001</c:v>
                </c:pt>
                <c:pt idx="65">
                  <c:v>16000</c:v>
                </c:pt>
                <c:pt idx="66">
                  <c:v>16000</c:v>
                </c:pt>
                <c:pt idx="67">
                  <c:v>16000</c:v>
                </c:pt>
                <c:pt idx="68">
                  <c:v>16000</c:v>
                </c:pt>
                <c:pt idx="69">
                  <c:v>16000</c:v>
                </c:pt>
                <c:pt idx="70">
                  <c:v>16000</c:v>
                </c:pt>
                <c:pt idx="71">
                  <c:v>16000</c:v>
                </c:pt>
                <c:pt idx="72">
                  <c:v>16000</c:v>
                </c:pt>
                <c:pt idx="73">
                  <c:v>16000</c:v>
                </c:pt>
                <c:pt idx="74">
                  <c:v>16000</c:v>
                </c:pt>
                <c:pt idx="75">
                  <c:v>16000</c:v>
                </c:pt>
                <c:pt idx="76">
                  <c:v>16000</c:v>
                </c:pt>
                <c:pt idx="77">
                  <c:v>16000</c:v>
                </c:pt>
                <c:pt idx="78">
                  <c:v>16000</c:v>
                </c:pt>
                <c:pt idx="79">
                  <c:v>16000</c:v>
                </c:pt>
                <c:pt idx="80">
                  <c:v>16000</c:v>
                </c:pt>
                <c:pt idx="81">
                  <c:v>16000</c:v>
                </c:pt>
                <c:pt idx="82">
                  <c:v>16000</c:v>
                </c:pt>
                <c:pt idx="83">
                  <c:v>16000</c:v>
                </c:pt>
                <c:pt idx="84">
                  <c:v>16000</c:v>
                </c:pt>
                <c:pt idx="85">
                  <c:v>16000</c:v>
                </c:pt>
                <c:pt idx="86">
                  <c:v>16000</c:v>
                </c:pt>
                <c:pt idx="87">
                  <c:v>16000</c:v>
                </c:pt>
                <c:pt idx="88">
                  <c:v>16000</c:v>
                </c:pt>
                <c:pt idx="89">
                  <c:v>16000</c:v>
                </c:pt>
              </c:numCache>
            </c:numRef>
          </c:yVal>
          <c:smooth val="0"/>
          <c:extLst>
            <c:ext xmlns:c16="http://schemas.microsoft.com/office/drawing/2014/chart" uri="{C3380CC4-5D6E-409C-BE32-E72D297353CC}">
              <c16:uniqueId val="{00000002-CF6C-4249-A547-A6E6500B7F18}"/>
            </c:ext>
          </c:extLst>
        </c:ser>
        <c:ser>
          <c:idx val="3"/>
          <c:order val="2"/>
          <c:tx>
            <c:strRef>
              <c:f>'results-all-time-memory-ccf'!$N$1</c:f>
              <c:strCache>
                <c:ptCount val="1"/>
                <c:pt idx="0">
                  <c:v>Memory-Mocus</c:v>
                </c:pt>
              </c:strCache>
            </c:strRef>
          </c:tx>
          <c:spPr>
            <a:ln w="19050" cap="rnd">
              <a:noFill/>
              <a:round/>
            </a:ln>
            <a:effectLst/>
          </c:spPr>
          <c:marker>
            <c:symbol val="circle"/>
            <c:size val="5"/>
            <c:spPr>
              <a:solidFill>
                <a:schemeClr val="accent4"/>
              </a:solidFill>
              <a:ln w="9525">
                <a:solidFill>
                  <a:schemeClr val="accent4"/>
                </a:solidFill>
              </a:ln>
              <a:effectLst/>
            </c:spPr>
          </c:marker>
          <c:xVal>
            <c:strRef>
              <c:f>'results-all-time-memory-ccf'!$J$2:$J$91</c:f>
              <c:strCache>
                <c:ptCount val="90"/>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ccf6-600-05</c:v>
                </c:pt>
                <c:pt idx="51">
                  <c:v>ccf7-600-05</c:v>
                </c:pt>
                <c:pt idx="52">
                  <c:v>ccf8-600-05</c:v>
                </c:pt>
                <c:pt idx="53">
                  <c:v>ccf9-600-05</c:v>
                </c:pt>
                <c:pt idx="54">
                  <c:v>ccf1-700-05</c:v>
                </c:pt>
                <c:pt idx="55">
                  <c:v>ccf2-700-05</c:v>
                </c:pt>
                <c:pt idx="56">
                  <c:v>ccf3-700-05</c:v>
                </c:pt>
                <c:pt idx="57">
                  <c:v>ccf4-700-05</c:v>
                </c:pt>
                <c:pt idx="58">
                  <c:v>ccf5-700-05</c:v>
                </c:pt>
                <c:pt idx="59">
                  <c:v>ccf6-700-05</c:v>
                </c:pt>
                <c:pt idx="60">
                  <c:v>ccf7-700-05</c:v>
                </c:pt>
                <c:pt idx="61">
                  <c:v>ccf8-700-05</c:v>
                </c:pt>
                <c:pt idx="62">
                  <c:v>ccf9-700-05</c:v>
                </c:pt>
                <c:pt idx="63">
                  <c:v>ccf1-800-05</c:v>
                </c:pt>
                <c:pt idx="64">
                  <c:v>ccf2-800-05</c:v>
                </c:pt>
                <c:pt idx="65">
                  <c:v>ccf3-800-05</c:v>
                </c:pt>
                <c:pt idx="66">
                  <c:v>ccf4-800-05</c:v>
                </c:pt>
                <c:pt idx="67">
                  <c:v>ccf5-800-05</c:v>
                </c:pt>
                <c:pt idx="68">
                  <c:v>ccf6-800-05</c:v>
                </c:pt>
                <c:pt idx="69">
                  <c:v>ccf7-800-05</c:v>
                </c:pt>
                <c:pt idx="70">
                  <c:v>ccf8-800-05</c:v>
                </c:pt>
                <c:pt idx="71">
                  <c:v>ccf9-800-05</c:v>
                </c:pt>
                <c:pt idx="72">
                  <c:v>ccf1-900-05</c:v>
                </c:pt>
                <c:pt idx="73">
                  <c:v>ccf2-900-05</c:v>
                </c:pt>
                <c:pt idx="74">
                  <c:v>ccf3-900-05</c:v>
                </c:pt>
                <c:pt idx="75">
                  <c:v>ccf4-900-05</c:v>
                </c:pt>
                <c:pt idx="76">
                  <c:v>ccf5-900-05</c:v>
                </c:pt>
                <c:pt idx="77">
                  <c:v>ccf6-900-05</c:v>
                </c:pt>
                <c:pt idx="78">
                  <c:v>ccf7-900-05</c:v>
                </c:pt>
                <c:pt idx="79">
                  <c:v>ccf8-900-05</c:v>
                </c:pt>
                <c:pt idx="80">
                  <c:v>ccf9-900-05</c:v>
                </c:pt>
                <c:pt idx="81">
                  <c:v>ccf1-1000-05</c:v>
                </c:pt>
                <c:pt idx="82">
                  <c:v>ccf2-1000-05</c:v>
                </c:pt>
                <c:pt idx="83">
                  <c:v>ccf3-1000-05</c:v>
                </c:pt>
                <c:pt idx="84">
                  <c:v>ccf4-1000-05</c:v>
                </c:pt>
                <c:pt idx="85">
                  <c:v>ccf5-1000-05</c:v>
                </c:pt>
                <c:pt idx="86">
                  <c:v>ccf6-1000-05</c:v>
                </c:pt>
                <c:pt idx="87">
                  <c:v>ccf7-1000-05</c:v>
                </c:pt>
                <c:pt idx="88">
                  <c:v>ccf8-1000-05</c:v>
                </c:pt>
                <c:pt idx="89">
                  <c:v>ccf9-1000-05</c:v>
                </c:pt>
              </c:strCache>
            </c:strRef>
          </c:xVal>
          <c:yVal>
            <c:numRef>
              <c:f>'results-all-time-memory-ccf'!$N$2:$N$91</c:f>
              <c:numCache>
                <c:formatCode>General</c:formatCode>
                <c:ptCount val="90"/>
                <c:pt idx="0">
                  <c:v>6.1972480000000001</c:v>
                </c:pt>
                <c:pt idx="1">
                  <c:v>6.5986560000000001</c:v>
                </c:pt>
                <c:pt idx="2">
                  <c:v>6.8567039999999997</c:v>
                </c:pt>
                <c:pt idx="3">
                  <c:v>7.254016</c:v>
                </c:pt>
                <c:pt idx="4">
                  <c:v>7.5161600000000002</c:v>
                </c:pt>
                <c:pt idx="5">
                  <c:v>7.9175680000000002</c:v>
                </c:pt>
                <c:pt idx="6">
                  <c:v>8.4746240000000004</c:v>
                </c:pt>
                <c:pt idx="7">
                  <c:v>8.8268799999999992</c:v>
                </c:pt>
                <c:pt idx="8">
                  <c:v>9.2241920000000004</c:v>
                </c:pt>
                <c:pt idx="9">
                  <c:v>6.7215360000000004</c:v>
                </c:pt>
                <c:pt idx="10">
                  <c:v>7.5161600000000002</c:v>
                </c:pt>
                <c:pt idx="11">
                  <c:v>8.3025920000000006</c:v>
                </c:pt>
                <c:pt idx="12">
                  <c:v>9.3511679999999995</c:v>
                </c:pt>
                <c:pt idx="13">
                  <c:v>9.4453759999999996</c:v>
                </c:pt>
                <c:pt idx="14">
                  <c:v>12.402687999999999</c:v>
                </c:pt>
                <c:pt idx="15">
                  <c:v>17.334271999999999</c:v>
                </c:pt>
                <c:pt idx="16">
                  <c:v>76.333055999999999</c:v>
                </c:pt>
                <c:pt idx="17">
                  <c:v>33.501184000000002</c:v>
                </c:pt>
                <c:pt idx="18">
                  <c:v>10.911744000000001</c:v>
                </c:pt>
                <c:pt idx="19">
                  <c:v>11.321344</c:v>
                </c:pt>
                <c:pt idx="20">
                  <c:v>20.889600000000002</c:v>
                </c:pt>
                <c:pt idx="21">
                  <c:v>1352.183808</c:v>
                </c:pt>
                <c:pt idx="22">
                  <c:v>1870.3155200000001</c:v>
                </c:pt>
                <c:pt idx="23">
                  <c:v>7639.2488960000001</c:v>
                </c:pt>
                <c:pt idx="24">
                  <c:v>16000</c:v>
                </c:pt>
                <c:pt idx="25">
                  <c:v>16000</c:v>
                </c:pt>
                <c:pt idx="26">
                  <c:v>16000</c:v>
                </c:pt>
                <c:pt idx="27">
                  <c:v>23.90016</c:v>
                </c:pt>
                <c:pt idx="28">
                  <c:v>281.45663999999999</c:v>
                </c:pt>
                <c:pt idx="29">
                  <c:v>2054.5986560000001</c:v>
                </c:pt>
                <c:pt idx="30">
                  <c:v>2128.1341440000001</c:v>
                </c:pt>
                <c:pt idx="31">
                  <c:v>2066.9235199999998</c:v>
                </c:pt>
                <c:pt idx="32">
                  <c:v>16000</c:v>
                </c:pt>
                <c:pt idx="33">
                  <c:v>16000</c:v>
                </c:pt>
                <c:pt idx="34">
                  <c:v>16000</c:v>
                </c:pt>
                <c:pt idx="35">
                  <c:v>16000</c:v>
                </c:pt>
                <c:pt idx="36">
                  <c:v>1022.09536</c:v>
                </c:pt>
                <c:pt idx="37">
                  <c:v>76.353536000000005</c:v>
                </c:pt>
                <c:pt idx="38">
                  <c:v>3702.4358400000001</c:v>
                </c:pt>
                <c:pt idx="39">
                  <c:v>16000</c:v>
                </c:pt>
                <c:pt idx="40">
                  <c:v>9062.5597440000001</c:v>
                </c:pt>
                <c:pt idx="41">
                  <c:v>14989.443072</c:v>
                </c:pt>
                <c:pt idx="42">
                  <c:v>15025.561600000001</c:v>
                </c:pt>
                <c:pt idx="43">
                  <c:v>9435.7913599999993</c:v>
                </c:pt>
                <c:pt idx="44">
                  <c:v>16000</c:v>
                </c:pt>
                <c:pt idx="45">
                  <c:v>98.705408000000006</c:v>
                </c:pt>
                <c:pt idx="46">
                  <c:v>3908.5137920000002</c:v>
                </c:pt>
                <c:pt idx="47">
                  <c:v>8457.6993280000006</c:v>
                </c:pt>
                <c:pt idx="48">
                  <c:v>15177.928704</c:v>
                </c:pt>
                <c:pt idx="49">
                  <c:v>10642.460671999999</c:v>
                </c:pt>
                <c:pt idx="50">
                  <c:v>15242.67008</c:v>
                </c:pt>
                <c:pt idx="51">
                  <c:v>16000</c:v>
                </c:pt>
                <c:pt idx="52">
                  <c:v>15205.388288</c:v>
                </c:pt>
                <c:pt idx="53">
                  <c:v>16000</c:v>
                </c:pt>
                <c:pt idx="54">
                  <c:v>10475.364352000001</c:v>
                </c:pt>
                <c:pt idx="55">
                  <c:v>8886.2023680000002</c:v>
                </c:pt>
                <c:pt idx="56">
                  <c:v>15393.263616</c:v>
                </c:pt>
                <c:pt idx="57">
                  <c:v>14962.64704</c:v>
                </c:pt>
                <c:pt idx="58">
                  <c:v>15203.602432</c:v>
                </c:pt>
                <c:pt idx="59">
                  <c:v>15032.041472000001</c:v>
                </c:pt>
                <c:pt idx="60">
                  <c:v>16000</c:v>
                </c:pt>
                <c:pt idx="61">
                  <c:v>16000</c:v>
                </c:pt>
                <c:pt idx="62">
                  <c:v>10296.008704</c:v>
                </c:pt>
                <c:pt idx="63">
                  <c:v>48.021504</c:v>
                </c:pt>
                <c:pt idx="64">
                  <c:v>478.30630400000001</c:v>
                </c:pt>
                <c:pt idx="65">
                  <c:v>9994.0884480000004</c:v>
                </c:pt>
                <c:pt idx="66">
                  <c:v>15149.326336</c:v>
                </c:pt>
                <c:pt idx="67">
                  <c:v>10576.355328</c:v>
                </c:pt>
                <c:pt idx="68">
                  <c:v>15416.770560000001</c:v>
                </c:pt>
                <c:pt idx="69">
                  <c:v>16000</c:v>
                </c:pt>
                <c:pt idx="70">
                  <c:v>9870.7456000000002</c:v>
                </c:pt>
                <c:pt idx="71">
                  <c:v>10815.721471999999</c:v>
                </c:pt>
                <c:pt idx="72">
                  <c:v>15146.831872000001</c:v>
                </c:pt>
                <c:pt idx="73">
                  <c:v>16000</c:v>
                </c:pt>
                <c:pt idx="74">
                  <c:v>16000</c:v>
                </c:pt>
                <c:pt idx="75">
                  <c:v>16000</c:v>
                </c:pt>
                <c:pt idx="76">
                  <c:v>8891.5517440000003</c:v>
                </c:pt>
                <c:pt idx="77">
                  <c:v>10250.682368</c:v>
                </c:pt>
                <c:pt idx="78">
                  <c:v>9273.3071359999994</c:v>
                </c:pt>
                <c:pt idx="79">
                  <c:v>16000</c:v>
                </c:pt>
                <c:pt idx="80">
                  <c:v>8864.9113600000001</c:v>
                </c:pt>
                <c:pt idx="81">
                  <c:v>15148.630015999999</c:v>
                </c:pt>
                <c:pt idx="82">
                  <c:v>16000</c:v>
                </c:pt>
                <c:pt idx="83">
                  <c:v>16000</c:v>
                </c:pt>
                <c:pt idx="84">
                  <c:v>16000</c:v>
                </c:pt>
                <c:pt idx="85">
                  <c:v>15094.214656</c:v>
                </c:pt>
                <c:pt idx="86">
                  <c:v>15324.725248000001</c:v>
                </c:pt>
                <c:pt idx="87">
                  <c:v>15272.034304000001</c:v>
                </c:pt>
                <c:pt idx="88">
                  <c:v>15088.009216</c:v>
                </c:pt>
                <c:pt idx="89">
                  <c:v>15393.538048</c:v>
                </c:pt>
              </c:numCache>
            </c:numRef>
          </c:yVal>
          <c:smooth val="0"/>
          <c:extLst>
            <c:ext xmlns:c16="http://schemas.microsoft.com/office/drawing/2014/chart" uri="{C3380CC4-5D6E-409C-BE32-E72D297353CC}">
              <c16:uniqueId val="{00000003-CF6C-4249-A547-A6E6500B7F18}"/>
            </c:ext>
          </c:extLst>
        </c:ser>
        <c:ser>
          <c:idx val="4"/>
          <c:order val="3"/>
          <c:tx>
            <c:strRef>
              <c:f>'results-all-time-memory-ccf'!$O$1</c:f>
              <c:strCache>
                <c:ptCount val="1"/>
                <c:pt idx="0">
                  <c:v>Memory-zbdd</c:v>
                </c:pt>
              </c:strCache>
            </c:strRef>
          </c:tx>
          <c:spPr>
            <a:ln w="19050" cap="rnd">
              <a:noFill/>
              <a:round/>
            </a:ln>
            <a:effectLst/>
          </c:spPr>
          <c:marker>
            <c:symbol val="circle"/>
            <c:size val="5"/>
            <c:spPr>
              <a:solidFill>
                <a:schemeClr val="accent5"/>
              </a:solidFill>
              <a:ln w="9525">
                <a:solidFill>
                  <a:schemeClr val="accent5"/>
                </a:solidFill>
              </a:ln>
              <a:effectLst/>
            </c:spPr>
          </c:marker>
          <c:xVal>
            <c:strRef>
              <c:f>'results-all-time-memory-ccf'!$J$2:$J$91</c:f>
              <c:strCache>
                <c:ptCount val="90"/>
                <c:pt idx="0">
                  <c:v>ccf1-100-05</c:v>
                </c:pt>
                <c:pt idx="1">
                  <c:v>ccf2-100-05</c:v>
                </c:pt>
                <c:pt idx="2">
                  <c:v>ccf3-100-05</c:v>
                </c:pt>
                <c:pt idx="3">
                  <c:v>ccf4-100-05</c:v>
                </c:pt>
                <c:pt idx="4">
                  <c:v>ccf5-100-05</c:v>
                </c:pt>
                <c:pt idx="5">
                  <c:v>ccf6-100-05</c:v>
                </c:pt>
                <c:pt idx="6">
                  <c:v>ccf7-100-05</c:v>
                </c:pt>
                <c:pt idx="7">
                  <c:v>ccf8-100-05</c:v>
                </c:pt>
                <c:pt idx="8">
                  <c:v>ccf9-100-05</c:v>
                </c:pt>
                <c:pt idx="9">
                  <c:v>ccf1-200-05</c:v>
                </c:pt>
                <c:pt idx="10">
                  <c:v>ccf2-200-05</c:v>
                </c:pt>
                <c:pt idx="11">
                  <c:v>ccf3-200-05</c:v>
                </c:pt>
                <c:pt idx="12">
                  <c:v>ccf4-200-05</c:v>
                </c:pt>
                <c:pt idx="13">
                  <c:v>ccf5-200-05</c:v>
                </c:pt>
                <c:pt idx="14">
                  <c:v>ccf6-200-05</c:v>
                </c:pt>
                <c:pt idx="15">
                  <c:v>ccf7-200-05</c:v>
                </c:pt>
                <c:pt idx="16">
                  <c:v>ccf8-200-05</c:v>
                </c:pt>
                <c:pt idx="17">
                  <c:v>ccf9-200-05</c:v>
                </c:pt>
                <c:pt idx="18">
                  <c:v>ccf1-300-05</c:v>
                </c:pt>
                <c:pt idx="19">
                  <c:v>ccf2-300-05</c:v>
                </c:pt>
                <c:pt idx="20">
                  <c:v>ccf3-300-05</c:v>
                </c:pt>
                <c:pt idx="21">
                  <c:v>ccf4-300-05</c:v>
                </c:pt>
                <c:pt idx="22">
                  <c:v>ccf5-300-05</c:v>
                </c:pt>
                <c:pt idx="23">
                  <c:v>ccf6-300-05</c:v>
                </c:pt>
                <c:pt idx="24">
                  <c:v>ccf7-300-05</c:v>
                </c:pt>
                <c:pt idx="25">
                  <c:v>ccf8-300-05</c:v>
                </c:pt>
                <c:pt idx="26">
                  <c:v>ccf9-300-05</c:v>
                </c:pt>
                <c:pt idx="27">
                  <c:v>ccf1-400-05</c:v>
                </c:pt>
                <c:pt idx="28">
                  <c:v>ccf2-400-05</c:v>
                </c:pt>
                <c:pt idx="29">
                  <c:v>ccf3-400-05</c:v>
                </c:pt>
                <c:pt idx="30">
                  <c:v>ccf4-400-05</c:v>
                </c:pt>
                <c:pt idx="31">
                  <c:v>ccf5-400-05</c:v>
                </c:pt>
                <c:pt idx="32">
                  <c:v>ccf6-400-05</c:v>
                </c:pt>
                <c:pt idx="33">
                  <c:v>ccf7-400-05</c:v>
                </c:pt>
                <c:pt idx="34">
                  <c:v>ccf8-400-05</c:v>
                </c:pt>
                <c:pt idx="35">
                  <c:v>ccf9-400-05</c:v>
                </c:pt>
                <c:pt idx="36">
                  <c:v>ccf1-500-05</c:v>
                </c:pt>
                <c:pt idx="37">
                  <c:v>ccf2-500-05</c:v>
                </c:pt>
                <c:pt idx="38">
                  <c:v>ccf3-500-05</c:v>
                </c:pt>
                <c:pt idx="39">
                  <c:v>ccf4-500-05</c:v>
                </c:pt>
                <c:pt idx="40">
                  <c:v>ccf5-500-05</c:v>
                </c:pt>
                <c:pt idx="41">
                  <c:v>ccf6-500-05</c:v>
                </c:pt>
                <c:pt idx="42">
                  <c:v>ccf7-500-05</c:v>
                </c:pt>
                <c:pt idx="43">
                  <c:v>ccf8-500-05</c:v>
                </c:pt>
                <c:pt idx="44">
                  <c:v>ccf9-500-05</c:v>
                </c:pt>
                <c:pt idx="45">
                  <c:v>ccf1-600-05</c:v>
                </c:pt>
                <c:pt idx="46">
                  <c:v>ccf2-600-05</c:v>
                </c:pt>
                <c:pt idx="47">
                  <c:v>ccf3-600-05</c:v>
                </c:pt>
                <c:pt idx="48">
                  <c:v>ccf4-600-05</c:v>
                </c:pt>
                <c:pt idx="49">
                  <c:v>ccf5-600-05</c:v>
                </c:pt>
                <c:pt idx="50">
                  <c:v>ccf6-600-05</c:v>
                </c:pt>
                <c:pt idx="51">
                  <c:v>ccf7-600-05</c:v>
                </c:pt>
                <c:pt idx="52">
                  <c:v>ccf8-600-05</c:v>
                </c:pt>
                <c:pt idx="53">
                  <c:v>ccf9-600-05</c:v>
                </c:pt>
                <c:pt idx="54">
                  <c:v>ccf1-700-05</c:v>
                </c:pt>
                <c:pt idx="55">
                  <c:v>ccf2-700-05</c:v>
                </c:pt>
                <c:pt idx="56">
                  <c:v>ccf3-700-05</c:v>
                </c:pt>
                <c:pt idx="57">
                  <c:v>ccf4-700-05</c:v>
                </c:pt>
                <c:pt idx="58">
                  <c:v>ccf5-700-05</c:v>
                </c:pt>
                <c:pt idx="59">
                  <c:v>ccf6-700-05</c:v>
                </c:pt>
                <c:pt idx="60">
                  <c:v>ccf7-700-05</c:v>
                </c:pt>
                <c:pt idx="61">
                  <c:v>ccf8-700-05</c:v>
                </c:pt>
                <c:pt idx="62">
                  <c:v>ccf9-700-05</c:v>
                </c:pt>
                <c:pt idx="63">
                  <c:v>ccf1-800-05</c:v>
                </c:pt>
                <c:pt idx="64">
                  <c:v>ccf2-800-05</c:v>
                </c:pt>
                <c:pt idx="65">
                  <c:v>ccf3-800-05</c:v>
                </c:pt>
                <c:pt idx="66">
                  <c:v>ccf4-800-05</c:v>
                </c:pt>
                <c:pt idx="67">
                  <c:v>ccf5-800-05</c:v>
                </c:pt>
                <c:pt idx="68">
                  <c:v>ccf6-800-05</c:v>
                </c:pt>
                <c:pt idx="69">
                  <c:v>ccf7-800-05</c:v>
                </c:pt>
                <c:pt idx="70">
                  <c:v>ccf8-800-05</c:v>
                </c:pt>
                <c:pt idx="71">
                  <c:v>ccf9-800-05</c:v>
                </c:pt>
                <c:pt idx="72">
                  <c:v>ccf1-900-05</c:v>
                </c:pt>
                <c:pt idx="73">
                  <c:v>ccf2-900-05</c:v>
                </c:pt>
                <c:pt idx="74">
                  <c:v>ccf3-900-05</c:v>
                </c:pt>
                <c:pt idx="75">
                  <c:v>ccf4-900-05</c:v>
                </c:pt>
                <c:pt idx="76">
                  <c:v>ccf5-900-05</c:v>
                </c:pt>
                <c:pt idx="77">
                  <c:v>ccf6-900-05</c:v>
                </c:pt>
                <c:pt idx="78">
                  <c:v>ccf7-900-05</c:v>
                </c:pt>
                <c:pt idx="79">
                  <c:v>ccf8-900-05</c:v>
                </c:pt>
                <c:pt idx="80">
                  <c:v>ccf9-900-05</c:v>
                </c:pt>
                <c:pt idx="81">
                  <c:v>ccf1-1000-05</c:v>
                </c:pt>
                <c:pt idx="82">
                  <c:v>ccf2-1000-05</c:v>
                </c:pt>
                <c:pt idx="83">
                  <c:v>ccf3-1000-05</c:v>
                </c:pt>
                <c:pt idx="84">
                  <c:v>ccf4-1000-05</c:v>
                </c:pt>
                <c:pt idx="85">
                  <c:v>ccf5-1000-05</c:v>
                </c:pt>
                <c:pt idx="86">
                  <c:v>ccf6-1000-05</c:v>
                </c:pt>
                <c:pt idx="87">
                  <c:v>ccf7-1000-05</c:v>
                </c:pt>
                <c:pt idx="88">
                  <c:v>ccf8-1000-05</c:v>
                </c:pt>
                <c:pt idx="89">
                  <c:v>ccf9-1000-05</c:v>
                </c:pt>
              </c:strCache>
            </c:strRef>
          </c:xVal>
          <c:yVal>
            <c:numRef>
              <c:f>'results-all-time-memory-ccf'!$O$2:$O$91</c:f>
              <c:numCache>
                <c:formatCode>General</c:formatCode>
                <c:ptCount val="90"/>
                <c:pt idx="0">
                  <c:v>6.1931520000000004</c:v>
                </c:pt>
                <c:pt idx="1">
                  <c:v>6.5617919999999996</c:v>
                </c:pt>
                <c:pt idx="2">
                  <c:v>6.9017600000000003</c:v>
                </c:pt>
                <c:pt idx="3">
                  <c:v>7.254016</c:v>
                </c:pt>
                <c:pt idx="4">
                  <c:v>7.5980800000000004</c:v>
                </c:pt>
                <c:pt idx="5">
                  <c:v>7.9134719999999996</c:v>
                </c:pt>
                <c:pt idx="6">
                  <c:v>8.5278720000000003</c:v>
                </c:pt>
                <c:pt idx="7">
                  <c:v>8.9620479999999993</c:v>
                </c:pt>
                <c:pt idx="8">
                  <c:v>9.2405760000000008</c:v>
                </c:pt>
                <c:pt idx="9">
                  <c:v>6.7624959999999996</c:v>
                </c:pt>
                <c:pt idx="10">
                  <c:v>7.6513280000000004</c:v>
                </c:pt>
                <c:pt idx="11">
                  <c:v>8.6958079999999995</c:v>
                </c:pt>
                <c:pt idx="12">
                  <c:v>9.4822399999999991</c:v>
                </c:pt>
                <c:pt idx="13">
                  <c:v>12.763135999999999</c:v>
                </c:pt>
                <c:pt idx="14">
                  <c:v>38.412287999999997</c:v>
                </c:pt>
                <c:pt idx="15">
                  <c:v>59.817984000000003</c:v>
                </c:pt>
                <c:pt idx="16">
                  <c:v>707.04742399999998</c:v>
                </c:pt>
                <c:pt idx="17">
                  <c:v>397.54547200000002</c:v>
                </c:pt>
                <c:pt idx="18">
                  <c:v>12.767232</c:v>
                </c:pt>
                <c:pt idx="19">
                  <c:v>13.156352</c:v>
                </c:pt>
                <c:pt idx="20">
                  <c:v>27.967487999999999</c:v>
                </c:pt>
                <c:pt idx="21">
                  <c:v>2248.7162880000001</c:v>
                </c:pt>
                <c:pt idx="22">
                  <c:v>2290.2702079999999</c:v>
                </c:pt>
                <c:pt idx="23">
                  <c:v>15190.368256</c:v>
                </c:pt>
                <c:pt idx="24">
                  <c:v>16000</c:v>
                </c:pt>
                <c:pt idx="25">
                  <c:v>16000</c:v>
                </c:pt>
                <c:pt idx="26">
                  <c:v>16000</c:v>
                </c:pt>
                <c:pt idx="27">
                  <c:v>60.211199999999998</c:v>
                </c:pt>
                <c:pt idx="28">
                  <c:v>768.10239999999999</c:v>
                </c:pt>
                <c:pt idx="29">
                  <c:v>9165.8526720000009</c:v>
                </c:pt>
                <c:pt idx="30">
                  <c:v>10449.317888</c:v>
                </c:pt>
                <c:pt idx="31">
                  <c:v>10101.583871999999</c:v>
                </c:pt>
                <c:pt idx="32">
                  <c:v>16000</c:v>
                </c:pt>
                <c:pt idx="33">
                  <c:v>16000</c:v>
                </c:pt>
                <c:pt idx="34">
                  <c:v>16000</c:v>
                </c:pt>
                <c:pt idx="35">
                  <c:v>16000</c:v>
                </c:pt>
                <c:pt idx="36">
                  <c:v>1198.280704</c:v>
                </c:pt>
                <c:pt idx="37">
                  <c:v>145.01888</c:v>
                </c:pt>
                <c:pt idx="38">
                  <c:v>3783.180288</c:v>
                </c:pt>
                <c:pt idx="39">
                  <c:v>16000</c:v>
                </c:pt>
                <c:pt idx="40">
                  <c:v>15237.4272</c:v>
                </c:pt>
                <c:pt idx="41">
                  <c:v>16000</c:v>
                </c:pt>
                <c:pt idx="42">
                  <c:v>16000</c:v>
                </c:pt>
                <c:pt idx="43">
                  <c:v>16000</c:v>
                </c:pt>
                <c:pt idx="44">
                  <c:v>16000</c:v>
                </c:pt>
                <c:pt idx="45">
                  <c:v>325.75897600000002</c:v>
                </c:pt>
                <c:pt idx="46">
                  <c:v>14566.998016</c:v>
                </c:pt>
                <c:pt idx="47">
                  <c:v>16000</c:v>
                </c:pt>
                <c:pt idx="48">
                  <c:v>16000</c:v>
                </c:pt>
                <c:pt idx="49">
                  <c:v>16000</c:v>
                </c:pt>
                <c:pt idx="50">
                  <c:v>16000</c:v>
                </c:pt>
                <c:pt idx="51">
                  <c:v>16000</c:v>
                </c:pt>
                <c:pt idx="52">
                  <c:v>16000</c:v>
                </c:pt>
                <c:pt idx="53">
                  <c:v>16000</c:v>
                </c:pt>
                <c:pt idx="54">
                  <c:v>16000</c:v>
                </c:pt>
                <c:pt idx="55">
                  <c:v>16000</c:v>
                </c:pt>
                <c:pt idx="56">
                  <c:v>16000</c:v>
                </c:pt>
                <c:pt idx="57">
                  <c:v>16000</c:v>
                </c:pt>
                <c:pt idx="58">
                  <c:v>16000</c:v>
                </c:pt>
                <c:pt idx="59">
                  <c:v>16000</c:v>
                </c:pt>
                <c:pt idx="60">
                  <c:v>16000</c:v>
                </c:pt>
                <c:pt idx="61">
                  <c:v>16000</c:v>
                </c:pt>
                <c:pt idx="62">
                  <c:v>16000</c:v>
                </c:pt>
                <c:pt idx="63">
                  <c:v>154.33318399999999</c:v>
                </c:pt>
                <c:pt idx="64">
                  <c:v>1472.2498559999999</c:v>
                </c:pt>
                <c:pt idx="65">
                  <c:v>16000</c:v>
                </c:pt>
                <c:pt idx="66">
                  <c:v>16000</c:v>
                </c:pt>
                <c:pt idx="67">
                  <c:v>16000</c:v>
                </c:pt>
                <c:pt idx="68">
                  <c:v>16000</c:v>
                </c:pt>
                <c:pt idx="69">
                  <c:v>16000</c:v>
                </c:pt>
                <c:pt idx="70">
                  <c:v>16000</c:v>
                </c:pt>
                <c:pt idx="71">
                  <c:v>16000</c:v>
                </c:pt>
                <c:pt idx="72">
                  <c:v>16000</c:v>
                </c:pt>
                <c:pt idx="73">
                  <c:v>16000</c:v>
                </c:pt>
                <c:pt idx="74">
                  <c:v>16000</c:v>
                </c:pt>
                <c:pt idx="75">
                  <c:v>16000</c:v>
                </c:pt>
                <c:pt idx="76">
                  <c:v>16000</c:v>
                </c:pt>
                <c:pt idx="77">
                  <c:v>16000</c:v>
                </c:pt>
                <c:pt idx="78">
                  <c:v>16000</c:v>
                </c:pt>
                <c:pt idx="79">
                  <c:v>16000</c:v>
                </c:pt>
                <c:pt idx="80">
                  <c:v>16000</c:v>
                </c:pt>
                <c:pt idx="81">
                  <c:v>16000</c:v>
                </c:pt>
                <c:pt idx="82">
                  <c:v>16000</c:v>
                </c:pt>
                <c:pt idx="83">
                  <c:v>16000</c:v>
                </c:pt>
                <c:pt idx="84">
                  <c:v>16000</c:v>
                </c:pt>
                <c:pt idx="85">
                  <c:v>16000</c:v>
                </c:pt>
                <c:pt idx="86">
                  <c:v>16000</c:v>
                </c:pt>
                <c:pt idx="87">
                  <c:v>16000</c:v>
                </c:pt>
                <c:pt idx="88">
                  <c:v>16000</c:v>
                </c:pt>
                <c:pt idx="89">
                  <c:v>16000</c:v>
                </c:pt>
              </c:numCache>
            </c:numRef>
          </c:yVal>
          <c:smooth val="0"/>
          <c:extLst>
            <c:ext xmlns:c16="http://schemas.microsoft.com/office/drawing/2014/chart" uri="{C3380CC4-5D6E-409C-BE32-E72D297353CC}">
              <c16:uniqueId val="{00000004-CF6C-4249-A547-A6E6500B7F18}"/>
            </c:ext>
          </c:extLst>
        </c:ser>
        <c:dLbls>
          <c:showLegendKey val="0"/>
          <c:showVal val="0"/>
          <c:showCatName val="0"/>
          <c:showSerName val="0"/>
          <c:showPercent val="0"/>
          <c:showBubbleSize val="0"/>
        </c:dLbls>
        <c:axId val="1662667712"/>
        <c:axId val="1139161200"/>
      </c:scatterChart>
      <c:valAx>
        <c:axId val="166266771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161200"/>
        <c:crosses val="autoZero"/>
        <c:crossBetween val="midCat"/>
      </c:valAx>
      <c:valAx>
        <c:axId val="113916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66771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Sheet2!$B$1</c:f>
              <c:strCache>
                <c:ptCount val="1"/>
                <c:pt idx="0">
                  <c:v>XFTA</c:v>
                </c:pt>
              </c:strCache>
            </c:strRef>
          </c:tx>
          <c:spPr>
            <a:ln w="19050" cap="rnd">
              <a:noFill/>
              <a:round/>
            </a:ln>
            <a:effectLst/>
          </c:spPr>
          <c:marker>
            <c:symbol val="circle"/>
            <c:size val="5"/>
            <c:spPr>
              <a:solidFill>
                <a:schemeClr val="accent1"/>
              </a:solidFill>
              <a:ln w="50800">
                <a:solidFill>
                  <a:srgbClr val="00B050"/>
                </a:solidFill>
              </a:ln>
              <a:effectLst/>
            </c:spPr>
          </c:marker>
          <c:xVal>
            <c:strRef>
              <c:f>Sheet2!$A$2:$A$15</c:f>
              <c:strCache>
                <c:ptCount val="14"/>
                <c:pt idx="0">
                  <c:v>100-01</c:v>
                </c:pt>
                <c:pt idx="1">
                  <c:v>100-02</c:v>
                </c:pt>
                <c:pt idx="2">
                  <c:v>100-03</c:v>
                </c:pt>
                <c:pt idx="3">
                  <c:v>100-04</c:v>
                </c:pt>
                <c:pt idx="4">
                  <c:v>100-05</c:v>
                </c:pt>
                <c:pt idx="5">
                  <c:v>100-06</c:v>
                </c:pt>
                <c:pt idx="6">
                  <c:v>100-07</c:v>
                </c:pt>
                <c:pt idx="7">
                  <c:v>100-08</c:v>
                </c:pt>
                <c:pt idx="8">
                  <c:v>100-09</c:v>
                </c:pt>
                <c:pt idx="9">
                  <c:v>200-01</c:v>
                </c:pt>
                <c:pt idx="10">
                  <c:v>200-03</c:v>
                </c:pt>
                <c:pt idx="11">
                  <c:v>200-04</c:v>
                </c:pt>
                <c:pt idx="12">
                  <c:v>200-05</c:v>
                </c:pt>
                <c:pt idx="13">
                  <c:v>200-06</c:v>
                </c:pt>
              </c:strCache>
            </c:strRef>
          </c:xVal>
          <c:yVal>
            <c:numRef>
              <c:f>Sheet2!$B$2:$B$15</c:f>
              <c:numCache>
                <c:formatCode>General</c:formatCode>
                <c:ptCount val="14"/>
                <c:pt idx="0">
                  <c:v>1.6953402999999999E-2</c:v>
                </c:pt>
                <c:pt idx="1">
                  <c:v>4.5382770000000003E-2</c:v>
                </c:pt>
                <c:pt idx="2">
                  <c:v>1.2560768E-2</c:v>
                </c:pt>
                <c:pt idx="3">
                  <c:v>1.3638323000000001E-2</c:v>
                </c:pt>
                <c:pt idx="4">
                  <c:v>9.4328199999999997E-3</c:v>
                </c:pt>
                <c:pt idx="5">
                  <c:v>1.6098626000000001E-2</c:v>
                </c:pt>
                <c:pt idx="6">
                  <c:v>1.3807616E-2</c:v>
                </c:pt>
                <c:pt idx="7">
                  <c:v>6.6142083000000004E-2</c:v>
                </c:pt>
                <c:pt idx="8">
                  <c:v>8.8852788000000002E-2</c:v>
                </c:pt>
                <c:pt idx="9">
                  <c:v>2.2081136000000001E-2</c:v>
                </c:pt>
                <c:pt idx="10">
                  <c:v>0.74863363699999996</c:v>
                </c:pt>
                <c:pt idx="11">
                  <c:v>1.3838523E-2</c:v>
                </c:pt>
                <c:pt idx="12">
                  <c:v>5.4173114000000001E-2</c:v>
                </c:pt>
                <c:pt idx="13">
                  <c:v>0.23247991500000001</c:v>
                </c:pt>
              </c:numCache>
            </c:numRef>
          </c:yVal>
          <c:smooth val="0"/>
          <c:extLst>
            <c:ext xmlns:c16="http://schemas.microsoft.com/office/drawing/2014/chart" uri="{C3380CC4-5D6E-409C-BE32-E72D297353CC}">
              <c16:uniqueId val="{00000000-0F19-4387-AF36-518E9D1188FA}"/>
            </c:ext>
          </c:extLst>
        </c:ser>
        <c:ser>
          <c:idx val="1"/>
          <c:order val="1"/>
          <c:tx>
            <c:strRef>
              <c:f>Sheet2!$C$1</c:f>
              <c:strCache>
                <c:ptCount val="1"/>
                <c:pt idx="0">
                  <c:v>SAPHSOLVE</c:v>
                </c:pt>
              </c:strCache>
            </c:strRef>
          </c:tx>
          <c:spPr>
            <a:ln w="19050" cap="rnd">
              <a:noFill/>
              <a:round/>
            </a:ln>
            <a:effectLst/>
          </c:spPr>
          <c:marker>
            <c:symbol val="circle"/>
            <c:size val="5"/>
            <c:spPr>
              <a:solidFill>
                <a:schemeClr val="accent2"/>
              </a:solidFill>
              <a:ln w="50800">
                <a:solidFill>
                  <a:schemeClr val="accent2"/>
                </a:solidFill>
              </a:ln>
              <a:effectLst/>
            </c:spPr>
          </c:marker>
          <c:xVal>
            <c:strRef>
              <c:f>Sheet2!$A$2:$A$15</c:f>
              <c:strCache>
                <c:ptCount val="14"/>
                <c:pt idx="0">
                  <c:v>100-01</c:v>
                </c:pt>
                <c:pt idx="1">
                  <c:v>100-02</c:v>
                </c:pt>
                <c:pt idx="2">
                  <c:v>100-03</c:v>
                </c:pt>
                <c:pt idx="3">
                  <c:v>100-04</c:v>
                </c:pt>
                <c:pt idx="4">
                  <c:v>100-05</c:v>
                </c:pt>
                <c:pt idx="5">
                  <c:v>100-06</c:v>
                </c:pt>
                <c:pt idx="6">
                  <c:v>100-07</c:v>
                </c:pt>
                <c:pt idx="7">
                  <c:v>100-08</c:v>
                </c:pt>
                <c:pt idx="8">
                  <c:v>100-09</c:v>
                </c:pt>
                <c:pt idx="9">
                  <c:v>200-01</c:v>
                </c:pt>
                <c:pt idx="10">
                  <c:v>200-03</c:v>
                </c:pt>
                <c:pt idx="11">
                  <c:v>200-04</c:v>
                </c:pt>
                <c:pt idx="12">
                  <c:v>200-05</c:v>
                </c:pt>
                <c:pt idx="13">
                  <c:v>200-06</c:v>
                </c:pt>
              </c:strCache>
            </c:strRef>
          </c:xVal>
          <c:yVal>
            <c:numRef>
              <c:f>Sheet2!$C$2:$C$15</c:f>
              <c:numCache>
                <c:formatCode>General</c:formatCode>
                <c:ptCount val="14"/>
                <c:pt idx="0">
                  <c:v>0.71710586899999995</c:v>
                </c:pt>
                <c:pt idx="1">
                  <c:v>0.77282153899999995</c:v>
                </c:pt>
                <c:pt idx="2">
                  <c:v>0.69587020300000002</c:v>
                </c:pt>
                <c:pt idx="3">
                  <c:v>0.72679737099999997</c:v>
                </c:pt>
                <c:pt idx="4">
                  <c:v>0.69602752400000001</c:v>
                </c:pt>
                <c:pt idx="5">
                  <c:v>0.72603528500000003</c:v>
                </c:pt>
                <c:pt idx="6">
                  <c:v>0.79731789200000003</c:v>
                </c:pt>
                <c:pt idx="7">
                  <c:v>2.0490610810000001</c:v>
                </c:pt>
                <c:pt idx="8">
                  <c:v>1.100666763</c:v>
                </c:pt>
                <c:pt idx="9">
                  <c:v>43.019294616000003</c:v>
                </c:pt>
                <c:pt idx="10">
                  <c:v>1.090108571</c:v>
                </c:pt>
                <c:pt idx="11">
                  <c:v>5.9707260900000003</c:v>
                </c:pt>
                <c:pt idx="12">
                  <c:v>1.5522600259999999</c:v>
                </c:pt>
                <c:pt idx="13">
                  <c:v>3.8128432609999998</c:v>
                </c:pt>
              </c:numCache>
            </c:numRef>
          </c:yVal>
          <c:smooth val="0"/>
          <c:extLst>
            <c:ext xmlns:c16="http://schemas.microsoft.com/office/drawing/2014/chart" uri="{C3380CC4-5D6E-409C-BE32-E72D297353CC}">
              <c16:uniqueId val="{00000001-0F19-4387-AF36-518E9D1188FA}"/>
            </c:ext>
          </c:extLst>
        </c:ser>
        <c:ser>
          <c:idx val="2"/>
          <c:order val="2"/>
          <c:tx>
            <c:strRef>
              <c:f>Sheet2!$D$1</c:f>
              <c:strCache>
                <c:ptCount val="1"/>
                <c:pt idx="0">
                  <c:v>SCRAM-BDD</c:v>
                </c:pt>
              </c:strCache>
            </c:strRef>
          </c:tx>
          <c:spPr>
            <a:ln w="19050" cap="rnd">
              <a:noFill/>
              <a:round/>
            </a:ln>
            <a:effectLst/>
          </c:spPr>
          <c:marker>
            <c:symbol val="circle"/>
            <c:size val="5"/>
            <c:spPr>
              <a:solidFill>
                <a:schemeClr val="accent3"/>
              </a:solidFill>
              <a:ln w="50800">
                <a:solidFill>
                  <a:srgbClr val="7030A0"/>
                </a:solidFill>
              </a:ln>
              <a:effectLst/>
            </c:spPr>
          </c:marker>
          <c:xVal>
            <c:strRef>
              <c:f>Sheet2!$A$2:$A$15</c:f>
              <c:strCache>
                <c:ptCount val="14"/>
                <c:pt idx="0">
                  <c:v>100-01</c:v>
                </c:pt>
                <c:pt idx="1">
                  <c:v>100-02</c:v>
                </c:pt>
                <c:pt idx="2">
                  <c:v>100-03</c:v>
                </c:pt>
                <c:pt idx="3">
                  <c:v>100-04</c:v>
                </c:pt>
                <c:pt idx="4">
                  <c:v>100-05</c:v>
                </c:pt>
                <c:pt idx="5">
                  <c:v>100-06</c:v>
                </c:pt>
                <c:pt idx="6">
                  <c:v>100-07</c:v>
                </c:pt>
                <c:pt idx="7">
                  <c:v>100-08</c:v>
                </c:pt>
                <c:pt idx="8">
                  <c:v>100-09</c:v>
                </c:pt>
                <c:pt idx="9">
                  <c:v>200-01</c:v>
                </c:pt>
                <c:pt idx="10">
                  <c:v>200-03</c:v>
                </c:pt>
                <c:pt idx="11">
                  <c:v>200-04</c:v>
                </c:pt>
                <c:pt idx="12">
                  <c:v>200-05</c:v>
                </c:pt>
                <c:pt idx="13">
                  <c:v>200-06</c:v>
                </c:pt>
              </c:strCache>
            </c:strRef>
          </c:xVal>
          <c:yVal>
            <c:numRef>
              <c:f>Sheet2!$D$2:$D$15</c:f>
              <c:numCache>
                <c:formatCode>General</c:formatCode>
                <c:ptCount val="14"/>
                <c:pt idx="0">
                  <c:v>0.11244756</c:v>
                </c:pt>
                <c:pt idx="1">
                  <c:v>0.21960044500000001</c:v>
                </c:pt>
                <c:pt idx="2">
                  <c:v>9.7503664000000004E-2</c:v>
                </c:pt>
                <c:pt idx="3">
                  <c:v>0.10509741</c:v>
                </c:pt>
                <c:pt idx="4">
                  <c:v>9.4771300000000003E-2</c:v>
                </c:pt>
                <c:pt idx="5">
                  <c:v>0.110762124</c:v>
                </c:pt>
                <c:pt idx="6">
                  <c:v>0.103812877</c:v>
                </c:pt>
                <c:pt idx="7">
                  <c:v>0.221237831</c:v>
                </c:pt>
                <c:pt idx="8">
                  <c:v>0.23065189999999999</c:v>
                </c:pt>
                <c:pt idx="9">
                  <c:v>0.133368608</c:v>
                </c:pt>
                <c:pt idx="10">
                  <c:v>1.103876946</c:v>
                </c:pt>
                <c:pt idx="11">
                  <c:v>0.103748514</c:v>
                </c:pt>
                <c:pt idx="12">
                  <c:v>0.221674606</c:v>
                </c:pt>
                <c:pt idx="13">
                  <c:v>2.024685963</c:v>
                </c:pt>
              </c:numCache>
            </c:numRef>
          </c:yVal>
          <c:smooth val="0"/>
          <c:extLst>
            <c:ext xmlns:c16="http://schemas.microsoft.com/office/drawing/2014/chart" uri="{C3380CC4-5D6E-409C-BE32-E72D297353CC}">
              <c16:uniqueId val="{00000002-0F19-4387-AF36-518E9D1188FA}"/>
            </c:ext>
          </c:extLst>
        </c:ser>
        <c:ser>
          <c:idx val="3"/>
          <c:order val="3"/>
          <c:tx>
            <c:strRef>
              <c:f>Sheet2!$E$1</c:f>
              <c:strCache>
                <c:ptCount val="1"/>
                <c:pt idx="0">
                  <c:v>SCRAM-MOCUS</c:v>
                </c:pt>
              </c:strCache>
            </c:strRef>
          </c:tx>
          <c:spPr>
            <a:ln w="19050" cap="rnd">
              <a:noFill/>
              <a:round/>
            </a:ln>
            <a:effectLst/>
          </c:spPr>
          <c:marker>
            <c:symbol val="circle"/>
            <c:size val="5"/>
            <c:spPr>
              <a:solidFill>
                <a:schemeClr val="accent4"/>
              </a:solidFill>
              <a:ln w="50800">
                <a:solidFill>
                  <a:schemeClr val="accent4"/>
                </a:solidFill>
              </a:ln>
              <a:effectLst/>
            </c:spPr>
          </c:marker>
          <c:xVal>
            <c:strRef>
              <c:f>Sheet2!$A$2:$A$15</c:f>
              <c:strCache>
                <c:ptCount val="14"/>
                <c:pt idx="0">
                  <c:v>100-01</c:v>
                </c:pt>
                <c:pt idx="1">
                  <c:v>100-02</c:v>
                </c:pt>
                <c:pt idx="2">
                  <c:v>100-03</c:v>
                </c:pt>
                <c:pt idx="3">
                  <c:v>100-04</c:v>
                </c:pt>
                <c:pt idx="4">
                  <c:v>100-05</c:v>
                </c:pt>
                <c:pt idx="5">
                  <c:v>100-06</c:v>
                </c:pt>
                <c:pt idx="6">
                  <c:v>100-07</c:v>
                </c:pt>
                <c:pt idx="7">
                  <c:v>100-08</c:v>
                </c:pt>
                <c:pt idx="8">
                  <c:v>100-09</c:v>
                </c:pt>
                <c:pt idx="9">
                  <c:v>200-01</c:v>
                </c:pt>
                <c:pt idx="10">
                  <c:v>200-03</c:v>
                </c:pt>
                <c:pt idx="11">
                  <c:v>200-04</c:v>
                </c:pt>
                <c:pt idx="12">
                  <c:v>200-05</c:v>
                </c:pt>
                <c:pt idx="13">
                  <c:v>200-06</c:v>
                </c:pt>
              </c:strCache>
            </c:strRef>
          </c:xVal>
          <c:yVal>
            <c:numRef>
              <c:f>Sheet2!$E$2:$E$15</c:f>
              <c:numCache>
                <c:formatCode>General</c:formatCode>
                <c:ptCount val="14"/>
                <c:pt idx="0">
                  <c:v>0.118721988</c:v>
                </c:pt>
                <c:pt idx="1">
                  <c:v>0.226832702</c:v>
                </c:pt>
                <c:pt idx="2">
                  <c:v>0.102652994</c:v>
                </c:pt>
                <c:pt idx="3">
                  <c:v>0.110802336</c:v>
                </c:pt>
                <c:pt idx="4">
                  <c:v>0.100050083</c:v>
                </c:pt>
                <c:pt idx="5">
                  <c:v>0.118666935</c:v>
                </c:pt>
                <c:pt idx="6">
                  <c:v>0.10818058799999999</c:v>
                </c:pt>
                <c:pt idx="7">
                  <c:v>0.22956998200000001</c:v>
                </c:pt>
                <c:pt idx="8">
                  <c:v>0.238241487</c:v>
                </c:pt>
                <c:pt idx="9">
                  <c:v>0.13105389100000001</c:v>
                </c:pt>
                <c:pt idx="10">
                  <c:v>1.1165375120000001</c:v>
                </c:pt>
                <c:pt idx="11">
                  <c:v>0.107384961</c:v>
                </c:pt>
                <c:pt idx="12">
                  <c:v>0.22412981400000001</c:v>
                </c:pt>
                <c:pt idx="13">
                  <c:v>0.38593401300000002</c:v>
                </c:pt>
              </c:numCache>
            </c:numRef>
          </c:yVal>
          <c:smooth val="0"/>
          <c:extLst>
            <c:ext xmlns:c16="http://schemas.microsoft.com/office/drawing/2014/chart" uri="{C3380CC4-5D6E-409C-BE32-E72D297353CC}">
              <c16:uniqueId val="{00000003-0F19-4387-AF36-518E9D1188FA}"/>
            </c:ext>
          </c:extLst>
        </c:ser>
        <c:ser>
          <c:idx val="4"/>
          <c:order val="4"/>
          <c:tx>
            <c:strRef>
              <c:f>Sheet2!$F$1</c:f>
              <c:strCache>
                <c:ptCount val="1"/>
                <c:pt idx="0">
                  <c:v>SCRAM-ZBDD</c:v>
                </c:pt>
              </c:strCache>
            </c:strRef>
          </c:tx>
          <c:spPr>
            <a:ln w="19050" cap="rnd">
              <a:noFill/>
              <a:round/>
            </a:ln>
            <a:effectLst/>
          </c:spPr>
          <c:marker>
            <c:symbol val="circle"/>
            <c:size val="5"/>
            <c:spPr>
              <a:solidFill>
                <a:schemeClr val="accent5"/>
              </a:solidFill>
              <a:ln w="50800">
                <a:solidFill>
                  <a:schemeClr val="accent5"/>
                </a:solidFill>
              </a:ln>
              <a:effectLst/>
            </c:spPr>
          </c:marker>
          <c:xVal>
            <c:strRef>
              <c:f>Sheet2!$A$2:$A$15</c:f>
              <c:strCache>
                <c:ptCount val="14"/>
                <c:pt idx="0">
                  <c:v>100-01</c:v>
                </c:pt>
                <c:pt idx="1">
                  <c:v>100-02</c:v>
                </c:pt>
                <c:pt idx="2">
                  <c:v>100-03</c:v>
                </c:pt>
                <c:pt idx="3">
                  <c:v>100-04</c:v>
                </c:pt>
                <c:pt idx="4">
                  <c:v>100-05</c:v>
                </c:pt>
                <c:pt idx="5">
                  <c:v>100-06</c:v>
                </c:pt>
                <c:pt idx="6">
                  <c:v>100-07</c:v>
                </c:pt>
                <c:pt idx="7">
                  <c:v>100-08</c:v>
                </c:pt>
                <c:pt idx="8">
                  <c:v>100-09</c:v>
                </c:pt>
                <c:pt idx="9">
                  <c:v>200-01</c:v>
                </c:pt>
                <c:pt idx="10">
                  <c:v>200-03</c:v>
                </c:pt>
                <c:pt idx="11">
                  <c:v>200-04</c:v>
                </c:pt>
                <c:pt idx="12">
                  <c:v>200-05</c:v>
                </c:pt>
                <c:pt idx="13">
                  <c:v>200-06</c:v>
                </c:pt>
              </c:strCache>
            </c:strRef>
          </c:xVal>
          <c:yVal>
            <c:numRef>
              <c:f>Sheet2!$F$2:$F$15</c:f>
              <c:numCache>
                <c:formatCode>General</c:formatCode>
                <c:ptCount val="14"/>
                <c:pt idx="0">
                  <c:v>0.113772972</c:v>
                </c:pt>
                <c:pt idx="1">
                  <c:v>0.221840754</c:v>
                </c:pt>
                <c:pt idx="2">
                  <c:v>0.100072827</c:v>
                </c:pt>
                <c:pt idx="3">
                  <c:v>0.105313641</c:v>
                </c:pt>
                <c:pt idx="4">
                  <c:v>9.5055674000000007E-2</c:v>
                </c:pt>
                <c:pt idx="5">
                  <c:v>0.110468444</c:v>
                </c:pt>
                <c:pt idx="6">
                  <c:v>0.10284903500000001</c:v>
                </c:pt>
                <c:pt idx="7">
                  <c:v>0.223540244</c:v>
                </c:pt>
                <c:pt idx="8">
                  <c:v>0.233140597</c:v>
                </c:pt>
                <c:pt idx="9">
                  <c:v>0.13125976</c:v>
                </c:pt>
                <c:pt idx="10">
                  <c:v>1.110123379</c:v>
                </c:pt>
                <c:pt idx="11">
                  <c:v>0.10867394900000001</c:v>
                </c:pt>
                <c:pt idx="12">
                  <c:v>0.22820383899999999</c:v>
                </c:pt>
                <c:pt idx="13">
                  <c:v>0.39378183500000002</c:v>
                </c:pt>
              </c:numCache>
            </c:numRef>
          </c:yVal>
          <c:smooth val="0"/>
          <c:extLst>
            <c:ext xmlns:c16="http://schemas.microsoft.com/office/drawing/2014/chart" uri="{C3380CC4-5D6E-409C-BE32-E72D297353CC}">
              <c16:uniqueId val="{00000004-0F19-4387-AF36-518E9D1188FA}"/>
            </c:ext>
          </c:extLst>
        </c:ser>
        <c:dLbls>
          <c:showLegendKey val="0"/>
          <c:showVal val="0"/>
          <c:showCatName val="0"/>
          <c:showSerName val="0"/>
          <c:showPercent val="0"/>
          <c:showBubbleSize val="0"/>
        </c:dLbls>
        <c:axId val="631598016"/>
        <c:axId val="554184416"/>
      </c:scatterChart>
      <c:valAx>
        <c:axId val="631598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b="1">
                    <a:solidFill>
                      <a:sysClr val="windowText" lastClr="000000"/>
                    </a:solidFill>
                  </a:rPr>
                  <a:t>Input</a:t>
                </a:r>
                <a:r>
                  <a:rPr lang="en-US" sz="2000" b="1" baseline="0">
                    <a:solidFill>
                      <a:sysClr val="windowText" lastClr="000000"/>
                    </a:solidFill>
                  </a:rPr>
                  <a:t> models </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crossAx val="554184416"/>
        <c:crosses val="autoZero"/>
        <c:crossBetween val="midCat"/>
        <c:majorUnit val="1"/>
      </c:valAx>
      <c:valAx>
        <c:axId val="554184416"/>
        <c:scaling>
          <c:orientation val="minMax"/>
          <c:max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b="1">
                    <a:solidFill>
                      <a:sysClr val="windowText" lastClr="000000"/>
                    </a:solidFill>
                  </a:rPr>
                  <a:t>CPU</a:t>
                </a:r>
                <a:r>
                  <a:rPr lang="en-US" sz="2000" b="1" baseline="0">
                    <a:solidFill>
                      <a:sysClr val="windowText" lastClr="000000"/>
                    </a:solidFill>
                  </a:rPr>
                  <a:t> Time (sec)</a:t>
                </a:r>
                <a:endParaRPr lang="en-US" sz="2000"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crossAx val="631598016"/>
        <c:crosses val="autoZero"/>
        <c:crossBetween val="midCat"/>
        <c:majorUnit val="2"/>
      </c:valAx>
      <c:spPr>
        <a:noFill/>
        <a:ln>
          <a:noFill/>
        </a:ln>
        <a:effectLst/>
      </c:spPr>
    </c:plotArea>
    <c:legend>
      <c:legendPos val="b"/>
      <c:layout>
        <c:manualLayout>
          <c:xMode val="edge"/>
          <c:yMode val="edge"/>
          <c:x val="9.6062694192655992E-2"/>
          <c:y val="5.5702717211412234E-2"/>
          <c:w val="0.66223763704034011"/>
          <c:h val="7.378452213628095E-2"/>
        </c:manualLayout>
      </c:layout>
      <c:overlay val="0"/>
      <c:spPr>
        <a:noFill/>
        <a:ln>
          <a:noFill/>
        </a:ln>
        <a:effectLst/>
      </c:spPr>
      <c:txPr>
        <a:bodyPr rot="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Sheet2!$K$1</c:f>
              <c:strCache>
                <c:ptCount val="1"/>
                <c:pt idx="0">
                  <c:v>XFTA</c:v>
                </c:pt>
              </c:strCache>
            </c:strRef>
          </c:tx>
          <c:spPr>
            <a:ln w="19050" cap="rnd">
              <a:noFill/>
              <a:round/>
            </a:ln>
            <a:effectLst/>
          </c:spPr>
          <c:marker>
            <c:symbol val="circle"/>
            <c:size val="5"/>
            <c:spPr>
              <a:solidFill>
                <a:schemeClr val="accent1"/>
              </a:solidFill>
              <a:ln w="50800">
                <a:solidFill>
                  <a:srgbClr val="00B050"/>
                </a:solidFill>
              </a:ln>
              <a:effectLst/>
            </c:spPr>
          </c:marker>
          <c:xVal>
            <c:strRef>
              <c:f>Sheet2!$J$2:$J$15</c:f>
              <c:strCache>
                <c:ptCount val="14"/>
                <c:pt idx="0">
                  <c:v>100-01</c:v>
                </c:pt>
                <c:pt idx="1">
                  <c:v>100-02</c:v>
                </c:pt>
                <c:pt idx="2">
                  <c:v>100-03</c:v>
                </c:pt>
                <c:pt idx="3">
                  <c:v>100-04</c:v>
                </c:pt>
                <c:pt idx="4">
                  <c:v>100-05</c:v>
                </c:pt>
                <c:pt idx="5">
                  <c:v>100-06</c:v>
                </c:pt>
                <c:pt idx="6">
                  <c:v>100-07</c:v>
                </c:pt>
                <c:pt idx="7">
                  <c:v>100-08</c:v>
                </c:pt>
                <c:pt idx="8">
                  <c:v>100-09</c:v>
                </c:pt>
                <c:pt idx="9">
                  <c:v>200-01</c:v>
                </c:pt>
                <c:pt idx="10">
                  <c:v>200-03</c:v>
                </c:pt>
                <c:pt idx="11">
                  <c:v>200-04</c:v>
                </c:pt>
                <c:pt idx="12">
                  <c:v>200-05</c:v>
                </c:pt>
                <c:pt idx="13">
                  <c:v>200-06</c:v>
                </c:pt>
              </c:strCache>
            </c:strRef>
          </c:xVal>
          <c:yVal>
            <c:numRef>
              <c:f>Sheet2!$K$2:$K$15</c:f>
              <c:numCache>
                <c:formatCode>General</c:formatCode>
                <c:ptCount val="14"/>
                <c:pt idx="0">
                  <c:v>2.0152320000000001</c:v>
                </c:pt>
                <c:pt idx="1">
                  <c:v>2.1503999999999999</c:v>
                </c:pt>
                <c:pt idx="2">
                  <c:v>2.011136</c:v>
                </c:pt>
                <c:pt idx="3">
                  <c:v>2.0152320000000001</c:v>
                </c:pt>
                <c:pt idx="4">
                  <c:v>2.2773759999999998</c:v>
                </c:pt>
                <c:pt idx="5">
                  <c:v>2.0152320000000001</c:v>
                </c:pt>
                <c:pt idx="6">
                  <c:v>2.2773759999999998</c:v>
                </c:pt>
                <c:pt idx="7">
                  <c:v>2.1872639999999999</c:v>
                </c:pt>
                <c:pt idx="8">
                  <c:v>2.2405119999999998</c:v>
                </c:pt>
                <c:pt idx="9">
                  <c:v>2.4248319999999999</c:v>
                </c:pt>
                <c:pt idx="10">
                  <c:v>10.530816</c:v>
                </c:pt>
                <c:pt idx="11">
                  <c:v>2.4043519999999998</c:v>
                </c:pt>
                <c:pt idx="12">
                  <c:v>2.53952</c:v>
                </c:pt>
                <c:pt idx="13">
                  <c:v>4.9397760000000002</c:v>
                </c:pt>
              </c:numCache>
            </c:numRef>
          </c:yVal>
          <c:smooth val="0"/>
          <c:extLst>
            <c:ext xmlns:c16="http://schemas.microsoft.com/office/drawing/2014/chart" uri="{C3380CC4-5D6E-409C-BE32-E72D297353CC}">
              <c16:uniqueId val="{00000000-615B-4972-83D1-972310933E77}"/>
            </c:ext>
          </c:extLst>
        </c:ser>
        <c:ser>
          <c:idx val="1"/>
          <c:order val="1"/>
          <c:tx>
            <c:strRef>
              <c:f>Sheet2!$L$1</c:f>
              <c:strCache>
                <c:ptCount val="1"/>
                <c:pt idx="0">
                  <c:v>SAPHSOLVE</c:v>
                </c:pt>
              </c:strCache>
            </c:strRef>
          </c:tx>
          <c:spPr>
            <a:ln w="19050" cap="rnd">
              <a:noFill/>
              <a:round/>
            </a:ln>
            <a:effectLst/>
          </c:spPr>
          <c:marker>
            <c:symbol val="circle"/>
            <c:size val="5"/>
            <c:spPr>
              <a:solidFill>
                <a:schemeClr val="accent2"/>
              </a:solidFill>
              <a:ln w="50800">
                <a:solidFill>
                  <a:schemeClr val="accent2"/>
                </a:solidFill>
              </a:ln>
              <a:effectLst/>
            </c:spPr>
          </c:marker>
          <c:xVal>
            <c:strRef>
              <c:f>Sheet2!$J$2:$J$15</c:f>
              <c:strCache>
                <c:ptCount val="14"/>
                <c:pt idx="0">
                  <c:v>100-01</c:v>
                </c:pt>
                <c:pt idx="1">
                  <c:v>100-02</c:v>
                </c:pt>
                <c:pt idx="2">
                  <c:v>100-03</c:v>
                </c:pt>
                <c:pt idx="3">
                  <c:v>100-04</c:v>
                </c:pt>
                <c:pt idx="4">
                  <c:v>100-05</c:v>
                </c:pt>
                <c:pt idx="5">
                  <c:v>100-06</c:v>
                </c:pt>
                <c:pt idx="6">
                  <c:v>100-07</c:v>
                </c:pt>
                <c:pt idx="7">
                  <c:v>100-08</c:v>
                </c:pt>
                <c:pt idx="8">
                  <c:v>100-09</c:v>
                </c:pt>
                <c:pt idx="9">
                  <c:v>200-01</c:v>
                </c:pt>
                <c:pt idx="10">
                  <c:v>200-03</c:v>
                </c:pt>
                <c:pt idx="11">
                  <c:v>200-04</c:v>
                </c:pt>
                <c:pt idx="12">
                  <c:v>200-05</c:v>
                </c:pt>
                <c:pt idx="13">
                  <c:v>200-06</c:v>
                </c:pt>
              </c:strCache>
            </c:strRef>
          </c:xVal>
          <c:yVal>
            <c:numRef>
              <c:f>Sheet2!$L$2:$L$15</c:f>
              <c:numCache>
                <c:formatCode>General</c:formatCode>
                <c:ptCount val="14"/>
                <c:pt idx="0">
                  <c:v>4.0960000000000001</c:v>
                </c:pt>
                <c:pt idx="1">
                  <c:v>4.4851200000000002</c:v>
                </c:pt>
                <c:pt idx="2">
                  <c:v>4.0222720000000001</c:v>
                </c:pt>
                <c:pt idx="3">
                  <c:v>4.1451520000000004</c:v>
                </c:pt>
                <c:pt idx="4">
                  <c:v>4.0427520000000001</c:v>
                </c:pt>
                <c:pt idx="5">
                  <c:v>4.1041920000000003</c:v>
                </c:pt>
                <c:pt idx="6">
                  <c:v>6.1276159999999997</c:v>
                </c:pt>
                <c:pt idx="7">
                  <c:v>9.1422720000000002</c:v>
                </c:pt>
                <c:pt idx="8">
                  <c:v>5.2142080000000002</c:v>
                </c:pt>
                <c:pt idx="9">
                  <c:v>10.944512</c:v>
                </c:pt>
                <c:pt idx="10">
                  <c:v>7.528448</c:v>
                </c:pt>
                <c:pt idx="11">
                  <c:v>16.273408</c:v>
                </c:pt>
                <c:pt idx="12">
                  <c:v>9.1709440000000004</c:v>
                </c:pt>
                <c:pt idx="13">
                  <c:v>10.911744000000001</c:v>
                </c:pt>
              </c:numCache>
            </c:numRef>
          </c:yVal>
          <c:smooth val="0"/>
          <c:extLst>
            <c:ext xmlns:c16="http://schemas.microsoft.com/office/drawing/2014/chart" uri="{C3380CC4-5D6E-409C-BE32-E72D297353CC}">
              <c16:uniqueId val="{00000001-615B-4972-83D1-972310933E77}"/>
            </c:ext>
          </c:extLst>
        </c:ser>
        <c:ser>
          <c:idx val="2"/>
          <c:order val="2"/>
          <c:tx>
            <c:strRef>
              <c:f>Sheet2!$M$1</c:f>
              <c:strCache>
                <c:ptCount val="1"/>
                <c:pt idx="0">
                  <c:v>SCRAM-BDD</c:v>
                </c:pt>
              </c:strCache>
            </c:strRef>
          </c:tx>
          <c:spPr>
            <a:ln w="19050" cap="rnd">
              <a:noFill/>
              <a:round/>
            </a:ln>
            <a:effectLst/>
          </c:spPr>
          <c:marker>
            <c:symbol val="circle"/>
            <c:size val="5"/>
            <c:spPr>
              <a:solidFill>
                <a:schemeClr val="accent3"/>
              </a:solidFill>
              <a:ln w="50800">
                <a:solidFill>
                  <a:srgbClr val="7030A0"/>
                </a:solidFill>
              </a:ln>
              <a:effectLst/>
            </c:spPr>
          </c:marker>
          <c:xVal>
            <c:strRef>
              <c:f>Sheet2!$J$2:$J$15</c:f>
              <c:strCache>
                <c:ptCount val="14"/>
                <c:pt idx="0">
                  <c:v>100-01</c:v>
                </c:pt>
                <c:pt idx="1">
                  <c:v>100-02</c:v>
                </c:pt>
                <c:pt idx="2">
                  <c:v>100-03</c:v>
                </c:pt>
                <c:pt idx="3">
                  <c:v>100-04</c:v>
                </c:pt>
                <c:pt idx="4">
                  <c:v>100-05</c:v>
                </c:pt>
                <c:pt idx="5">
                  <c:v>100-06</c:v>
                </c:pt>
                <c:pt idx="6">
                  <c:v>100-07</c:v>
                </c:pt>
                <c:pt idx="7">
                  <c:v>100-08</c:v>
                </c:pt>
                <c:pt idx="8">
                  <c:v>100-09</c:v>
                </c:pt>
                <c:pt idx="9">
                  <c:v>200-01</c:v>
                </c:pt>
                <c:pt idx="10">
                  <c:v>200-03</c:v>
                </c:pt>
                <c:pt idx="11">
                  <c:v>200-04</c:v>
                </c:pt>
                <c:pt idx="12">
                  <c:v>200-05</c:v>
                </c:pt>
                <c:pt idx="13">
                  <c:v>200-06</c:v>
                </c:pt>
              </c:strCache>
            </c:strRef>
          </c:xVal>
          <c:yVal>
            <c:numRef>
              <c:f>Sheet2!$M$2:$M$15</c:f>
              <c:numCache>
                <c:formatCode>General</c:formatCode>
                <c:ptCount val="14"/>
                <c:pt idx="0">
                  <c:v>6.3324160000000003</c:v>
                </c:pt>
                <c:pt idx="1">
                  <c:v>6.303744</c:v>
                </c:pt>
                <c:pt idx="2">
                  <c:v>6.2054400000000003</c:v>
                </c:pt>
                <c:pt idx="3">
                  <c:v>6.283264</c:v>
                </c:pt>
                <c:pt idx="4">
                  <c:v>6.0784640000000003</c:v>
                </c:pt>
                <c:pt idx="5">
                  <c:v>6.1890559999999999</c:v>
                </c:pt>
                <c:pt idx="6">
                  <c:v>6.230016</c:v>
                </c:pt>
                <c:pt idx="7">
                  <c:v>6.1849600000000002</c:v>
                </c:pt>
                <c:pt idx="8">
                  <c:v>6.3406079999999996</c:v>
                </c:pt>
                <c:pt idx="9">
                  <c:v>6.557696</c:v>
                </c:pt>
                <c:pt idx="10">
                  <c:v>6.8198400000000001</c:v>
                </c:pt>
                <c:pt idx="11">
                  <c:v>6.2545919999999997</c:v>
                </c:pt>
                <c:pt idx="12">
                  <c:v>6.4675840000000004</c:v>
                </c:pt>
                <c:pt idx="13">
                  <c:v>108.04428799999999</c:v>
                </c:pt>
              </c:numCache>
            </c:numRef>
          </c:yVal>
          <c:smooth val="0"/>
          <c:extLst>
            <c:ext xmlns:c16="http://schemas.microsoft.com/office/drawing/2014/chart" uri="{C3380CC4-5D6E-409C-BE32-E72D297353CC}">
              <c16:uniqueId val="{00000002-615B-4972-83D1-972310933E77}"/>
            </c:ext>
          </c:extLst>
        </c:ser>
        <c:ser>
          <c:idx val="3"/>
          <c:order val="3"/>
          <c:tx>
            <c:strRef>
              <c:f>Sheet2!$N$1</c:f>
              <c:strCache>
                <c:ptCount val="1"/>
                <c:pt idx="0">
                  <c:v>SCRAM-MOCUS</c:v>
                </c:pt>
              </c:strCache>
            </c:strRef>
          </c:tx>
          <c:spPr>
            <a:ln w="19050" cap="rnd">
              <a:noFill/>
              <a:round/>
            </a:ln>
            <a:effectLst/>
          </c:spPr>
          <c:marker>
            <c:symbol val="circle"/>
            <c:size val="5"/>
            <c:spPr>
              <a:solidFill>
                <a:schemeClr val="accent4"/>
              </a:solidFill>
              <a:ln w="50800">
                <a:solidFill>
                  <a:schemeClr val="accent4"/>
                </a:solidFill>
              </a:ln>
              <a:effectLst/>
            </c:spPr>
          </c:marker>
          <c:xVal>
            <c:strRef>
              <c:f>Sheet2!$J$2:$J$15</c:f>
              <c:strCache>
                <c:ptCount val="14"/>
                <c:pt idx="0">
                  <c:v>100-01</c:v>
                </c:pt>
                <c:pt idx="1">
                  <c:v>100-02</c:v>
                </c:pt>
                <c:pt idx="2">
                  <c:v>100-03</c:v>
                </c:pt>
                <c:pt idx="3">
                  <c:v>100-04</c:v>
                </c:pt>
                <c:pt idx="4">
                  <c:v>100-05</c:v>
                </c:pt>
                <c:pt idx="5">
                  <c:v>100-06</c:v>
                </c:pt>
                <c:pt idx="6">
                  <c:v>100-07</c:v>
                </c:pt>
                <c:pt idx="7">
                  <c:v>100-08</c:v>
                </c:pt>
                <c:pt idx="8">
                  <c:v>100-09</c:v>
                </c:pt>
                <c:pt idx="9">
                  <c:v>200-01</c:v>
                </c:pt>
                <c:pt idx="10">
                  <c:v>200-03</c:v>
                </c:pt>
                <c:pt idx="11">
                  <c:v>200-04</c:v>
                </c:pt>
                <c:pt idx="12">
                  <c:v>200-05</c:v>
                </c:pt>
                <c:pt idx="13">
                  <c:v>200-06</c:v>
                </c:pt>
              </c:strCache>
            </c:strRef>
          </c:xVal>
          <c:yVal>
            <c:numRef>
              <c:f>Sheet2!$N$2:$N$15</c:f>
              <c:numCache>
                <c:formatCode>General</c:formatCode>
                <c:ptCount val="14"/>
                <c:pt idx="0">
                  <c:v>6.2177280000000001</c:v>
                </c:pt>
                <c:pt idx="1">
                  <c:v>6.2136319999999996</c:v>
                </c:pt>
                <c:pt idx="2">
                  <c:v>6.1235200000000001</c:v>
                </c:pt>
                <c:pt idx="3">
                  <c:v>6.2095359999999999</c:v>
                </c:pt>
                <c:pt idx="4">
                  <c:v>6.0170240000000002</c:v>
                </c:pt>
                <c:pt idx="5">
                  <c:v>6.2095359999999999</c:v>
                </c:pt>
                <c:pt idx="6">
                  <c:v>6.0743679999999998</c:v>
                </c:pt>
                <c:pt idx="7">
                  <c:v>6.1235200000000001</c:v>
                </c:pt>
                <c:pt idx="8">
                  <c:v>6.3406079999999996</c:v>
                </c:pt>
                <c:pt idx="9">
                  <c:v>6.5863680000000002</c:v>
                </c:pt>
                <c:pt idx="10">
                  <c:v>6.7706879999999998</c:v>
                </c:pt>
                <c:pt idx="11">
                  <c:v>6.2668799999999996</c:v>
                </c:pt>
                <c:pt idx="12">
                  <c:v>6.4716800000000001</c:v>
                </c:pt>
                <c:pt idx="13">
                  <c:v>8.3066879999999994</c:v>
                </c:pt>
              </c:numCache>
            </c:numRef>
          </c:yVal>
          <c:smooth val="0"/>
          <c:extLst>
            <c:ext xmlns:c16="http://schemas.microsoft.com/office/drawing/2014/chart" uri="{C3380CC4-5D6E-409C-BE32-E72D297353CC}">
              <c16:uniqueId val="{00000003-615B-4972-83D1-972310933E77}"/>
            </c:ext>
          </c:extLst>
        </c:ser>
        <c:ser>
          <c:idx val="4"/>
          <c:order val="4"/>
          <c:tx>
            <c:strRef>
              <c:f>Sheet2!$O$1</c:f>
              <c:strCache>
                <c:ptCount val="1"/>
                <c:pt idx="0">
                  <c:v>SCRAM-ZBDD</c:v>
                </c:pt>
              </c:strCache>
            </c:strRef>
          </c:tx>
          <c:spPr>
            <a:ln w="19050" cap="rnd">
              <a:noFill/>
              <a:round/>
            </a:ln>
            <a:effectLst/>
          </c:spPr>
          <c:marker>
            <c:symbol val="circle"/>
            <c:size val="5"/>
            <c:spPr>
              <a:solidFill>
                <a:schemeClr val="accent5"/>
              </a:solidFill>
              <a:ln w="50800">
                <a:solidFill>
                  <a:schemeClr val="accent5"/>
                </a:solidFill>
              </a:ln>
              <a:effectLst/>
            </c:spPr>
          </c:marker>
          <c:xVal>
            <c:strRef>
              <c:f>Sheet2!$J$2:$J$15</c:f>
              <c:strCache>
                <c:ptCount val="14"/>
                <c:pt idx="0">
                  <c:v>100-01</c:v>
                </c:pt>
                <c:pt idx="1">
                  <c:v>100-02</c:v>
                </c:pt>
                <c:pt idx="2">
                  <c:v>100-03</c:v>
                </c:pt>
                <c:pt idx="3">
                  <c:v>100-04</c:v>
                </c:pt>
                <c:pt idx="4">
                  <c:v>100-05</c:v>
                </c:pt>
                <c:pt idx="5">
                  <c:v>100-06</c:v>
                </c:pt>
                <c:pt idx="6">
                  <c:v>100-07</c:v>
                </c:pt>
                <c:pt idx="7">
                  <c:v>100-08</c:v>
                </c:pt>
                <c:pt idx="8">
                  <c:v>100-09</c:v>
                </c:pt>
                <c:pt idx="9">
                  <c:v>200-01</c:v>
                </c:pt>
                <c:pt idx="10">
                  <c:v>200-03</c:v>
                </c:pt>
                <c:pt idx="11">
                  <c:v>200-04</c:v>
                </c:pt>
                <c:pt idx="12">
                  <c:v>200-05</c:v>
                </c:pt>
                <c:pt idx="13">
                  <c:v>200-06</c:v>
                </c:pt>
              </c:strCache>
            </c:strRef>
          </c:xVal>
          <c:yVal>
            <c:numRef>
              <c:f>Sheet2!$O$2:$O$15</c:f>
              <c:numCache>
                <c:formatCode>General</c:formatCode>
                <c:ptCount val="14"/>
                <c:pt idx="0">
                  <c:v>6.2709760000000001</c:v>
                </c:pt>
                <c:pt idx="1">
                  <c:v>6.1521920000000003</c:v>
                </c:pt>
                <c:pt idx="2">
                  <c:v>6.0784640000000003</c:v>
                </c:pt>
                <c:pt idx="3">
                  <c:v>6.1685759999999998</c:v>
                </c:pt>
                <c:pt idx="4">
                  <c:v>5.9637760000000002</c:v>
                </c:pt>
                <c:pt idx="5">
                  <c:v>6.2136319999999996</c:v>
                </c:pt>
                <c:pt idx="6">
                  <c:v>6.1685759999999998</c:v>
                </c:pt>
                <c:pt idx="7">
                  <c:v>6.1890559999999999</c:v>
                </c:pt>
                <c:pt idx="8">
                  <c:v>6.2423039999999999</c:v>
                </c:pt>
                <c:pt idx="9">
                  <c:v>6.4757759999999998</c:v>
                </c:pt>
                <c:pt idx="10">
                  <c:v>6.7338240000000003</c:v>
                </c:pt>
                <c:pt idx="11">
                  <c:v>6.2054400000000003</c:v>
                </c:pt>
                <c:pt idx="12">
                  <c:v>6.4716800000000001</c:v>
                </c:pt>
                <c:pt idx="13">
                  <c:v>9.8672640000000005</c:v>
                </c:pt>
              </c:numCache>
            </c:numRef>
          </c:yVal>
          <c:smooth val="0"/>
          <c:extLst>
            <c:ext xmlns:c16="http://schemas.microsoft.com/office/drawing/2014/chart" uri="{C3380CC4-5D6E-409C-BE32-E72D297353CC}">
              <c16:uniqueId val="{00000004-615B-4972-83D1-972310933E77}"/>
            </c:ext>
          </c:extLst>
        </c:ser>
        <c:dLbls>
          <c:showLegendKey val="0"/>
          <c:showVal val="0"/>
          <c:showCatName val="0"/>
          <c:showSerName val="0"/>
          <c:showPercent val="0"/>
          <c:showBubbleSize val="0"/>
        </c:dLbls>
        <c:axId val="808387376"/>
        <c:axId val="554182016"/>
      </c:scatterChart>
      <c:valAx>
        <c:axId val="808387376"/>
        <c:scaling>
          <c:orientation val="minMax"/>
          <c:max val="1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Inputs</a:t>
                </a:r>
                <a:r>
                  <a:rPr lang="en-US" b="1" baseline="0">
                    <a:solidFill>
                      <a:sysClr val="windowText" lastClr="000000"/>
                    </a:solidFill>
                  </a:rPr>
                  <a:t> models </a:t>
                </a:r>
                <a:endParaRPr lang="en-US" b="1">
                  <a:solidFill>
                    <a:sysClr val="windowText" lastClr="000000"/>
                  </a:solidFill>
                </a:endParaRPr>
              </a:p>
            </c:rich>
          </c:tx>
          <c:layout>
            <c:manualLayout>
              <c:xMode val="edge"/>
              <c:yMode val="edge"/>
              <c:x val="0.45294833631824299"/>
              <c:y val="0.8201261085320608"/>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crossAx val="554182016"/>
        <c:crosses val="autoZero"/>
        <c:crossBetween val="midCat"/>
        <c:majorUnit val="1"/>
      </c:valAx>
      <c:valAx>
        <c:axId val="554182016"/>
        <c:scaling>
          <c:orientation val="minMax"/>
          <c:max val="2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Memory</a:t>
                </a:r>
                <a:r>
                  <a:rPr lang="en-US" b="1" baseline="0">
                    <a:solidFill>
                      <a:sysClr val="windowText" lastClr="000000"/>
                    </a:solidFill>
                  </a:rPr>
                  <a:t> (MB)</a:t>
                </a:r>
                <a:endParaRPr lang="en-US"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crossAx val="808387376"/>
        <c:crosses val="autoZero"/>
        <c:crossBetween val="midCat"/>
        <c:majorUnit val="2"/>
      </c:valAx>
      <c:spPr>
        <a:noFill/>
        <a:ln>
          <a:noFill/>
        </a:ln>
        <a:effectLst/>
      </c:spPr>
    </c:plotArea>
    <c:legend>
      <c:legendPos val="b"/>
      <c:layout>
        <c:manualLayout>
          <c:xMode val="edge"/>
          <c:yMode val="edge"/>
          <c:x val="9.0552667355465702E-2"/>
          <c:y val="5.7003860825721439E-2"/>
          <c:w val="0.32892594113396528"/>
          <c:h val="0.20964903648770472"/>
        </c:manualLayout>
      </c:layout>
      <c:overlay val="0"/>
      <c:spPr>
        <a:noFill/>
        <a:ln>
          <a:noFill/>
        </a:ln>
        <a:effectLst/>
      </c:spPr>
      <c:txPr>
        <a:bodyPr rot="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Memory</a:t>
            </a:r>
            <a:r>
              <a:rPr lang="en-US" baseline="0"/>
              <a:t> consumption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Sheet2!$K$1</c:f>
              <c:strCache>
                <c:ptCount val="1"/>
                <c:pt idx="0">
                  <c:v>XFTA</c:v>
                </c:pt>
              </c:strCache>
            </c:strRef>
          </c:tx>
          <c:spPr>
            <a:ln w="19050" cap="rnd">
              <a:noFill/>
              <a:round/>
            </a:ln>
            <a:effectLst/>
          </c:spPr>
          <c:marker>
            <c:symbol val="circle"/>
            <c:size val="5"/>
            <c:spPr>
              <a:solidFill>
                <a:schemeClr val="accent1"/>
              </a:solidFill>
              <a:ln w="9525">
                <a:solidFill>
                  <a:schemeClr val="accent1"/>
                </a:solidFill>
              </a:ln>
              <a:effectLst/>
            </c:spPr>
          </c:marker>
          <c:xVal>
            <c:strRef>
              <c:f>Sheet2!$J$3:$J$16</c:f>
              <c:strCache>
                <c:ptCount val="13"/>
                <c:pt idx="0">
                  <c:v>100-02</c:v>
                </c:pt>
                <c:pt idx="1">
                  <c:v>100-03</c:v>
                </c:pt>
                <c:pt idx="2">
                  <c:v>100-04</c:v>
                </c:pt>
                <c:pt idx="3">
                  <c:v>100-05</c:v>
                </c:pt>
                <c:pt idx="4">
                  <c:v>100-06</c:v>
                </c:pt>
                <c:pt idx="5">
                  <c:v>100-07</c:v>
                </c:pt>
                <c:pt idx="6">
                  <c:v>100-08</c:v>
                </c:pt>
                <c:pt idx="7">
                  <c:v>100-09</c:v>
                </c:pt>
                <c:pt idx="8">
                  <c:v>200-01</c:v>
                </c:pt>
                <c:pt idx="9">
                  <c:v>200-03</c:v>
                </c:pt>
                <c:pt idx="10">
                  <c:v>200-04</c:v>
                </c:pt>
                <c:pt idx="11">
                  <c:v>200-05</c:v>
                </c:pt>
                <c:pt idx="12">
                  <c:v>200-06</c:v>
                </c:pt>
              </c:strCache>
            </c:strRef>
          </c:xVal>
          <c:yVal>
            <c:numRef>
              <c:f>Sheet2!$K$3:$K$16</c:f>
              <c:numCache>
                <c:formatCode>General</c:formatCode>
                <c:ptCount val="14"/>
                <c:pt idx="0">
                  <c:v>2.1503999999999999</c:v>
                </c:pt>
                <c:pt idx="1">
                  <c:v>2.011136</c:v>
                </c:pt>
                <c:pt idx="2">
                  <c:v>2.0152320000000001</c:v>
                </c:pt>
                <c:pt idx="3">
                  <c:v>2.2773759999999998</c:v>
                </c:pt>
                <c:pt idx="4">
                  <c:v>2.0152320000000001</c:v>
                </c:pt>
                <c:pt idx="5">
                  <c:v>2.2773759999999998</c:v>
                </c:pt>
                <c:pt idx="6">
                  <c:v>2.1872639999999999</c:v>
                </c:pt>
                <c:pt idx="7">
                  <c:v>2.2405119999999998</c:v>
                </c:pt>
                <c:pt idx="8">
                  <c:v>2.4248319999999999</c:v>
                </c:pt>
                <c:pt idx="9">
                  <c:v>10.530816</c:v>
                </c:pt>
                <c:pt idx="10">
                  <c:v>2.4043519999999998</c:v>
                </c:pt>
                <c:pt idx="11">
                  <c:v>2.53952</c:v>
                </c:pt>
                <c:pt idx="12">
                  <c:v>4.9397760000000002</c:v>
                </c:pt>
              </c:numCache>
            </c:numRef>
          </c:yVal>
          <c:smooth val="0"/>
          <c:extLst>
            <c:ext xmlns:c16="http://schemas.microsoft.com/office/drawing/2014/chart" uri="{C3380CC4-5D6E-409C-BE32-E72D297353CC}">
              <c16:uniqueId val="{00000000-20CE-4F65-BF8E-4A6F554C9B03}"/>
            </c:ext>
          </c:extLst>
        </c:ser>
        <c:ser>
          <c:idx val="1"/>
          <c:order val="1"/>
          <c:tx>
            <c:strRef>
              <c:f>Sheet2!$L$1</c:f>
              <c:strCache>
                <c:ptCount val="1"/>
                <c:pt idx="0">
                  <c:v>SAPHSOLVE</c:v>
                </c:pt>
              </c:strCache>
            </c:strRef>
          </c:tx>
          <c:spPr>
            <a:ln w="19050" cap="rnd">
              <a:noFill/>
              <a:round/>
            </a:ln>
            <a:effectLst/>
          </c:spPr>
          <c:marker>
            <c:symbol val="circle"/>
            <c:size val="5"/>
            <c:spPr>
              <a:solidFill>
                <a:schemeClr val="accent2"/>
              </a:solidFill>
              <a:ln w="9525">
                <a:solidFill>
                  <a:schemeClr val="accent2"/>
                </a:solidFill>
              </a:ln>
              <a:effectLst/>
            </c:spPr>
          </c:marker>
          <c:xVal>
            <c:strRef>
              <c:f>Sheet2!$J$3:$J$16</c:f>
              <c:strCache>
                <c:ptCount val="13"/>
                <c:pt idx="0">
                  <c:v>100-02</c:v>
                </c:pt>
                <c:pt idx="1">
                  <c:v>100-03</c:v>
                </c:pt>
                <c:pt idx="2">
                  <c:v>100-04</c:v>
                </c:pt>
                <c:pt idx="3">
                  <c:v>100-05</c:v>
                </c:pt>
                <c:pt idx="4">
                  <c:v>100-06</c:v>
                </c:pt>
                <c:pt idx="5">
                  <c:v>100-07</c:v>
                </c:pt>
                <c:pt idx="6">
                  <c:v>100-08</c:v>
                </c:pt>
                <c:pt idx="7">
                  <c:v>100-09</c:v>
                </c:pt>
                <c:pt idx="8">
                  <c:v>200-01</c:v>
                </c:pt>
                <c:pt idx="9">
                  <c:v>200-03</c:v>
                </c:pt>
                <c:pt idx="10">
                  <c:v>200-04</c:v>
                </c:pt>
                <c:pt idx="11">
                  <c:v>200-05</c:v>
                </c:pt>
                <c:pt idx="12">
                  <c:v>200-06</c:v>
                </c:pt>
              </c:strCache>
            </c:strRef>
          </c:xVal>
          <c:yVal>
            <c:numRef>
              <c:f>Sheet2!$L$3:$L$16</c:f>
              <c:numCache>
                <c:formatCode>General</c:formatCode>
                <c:ptCount val="14"/>
                <c:pt idx="0">
                  <c:v>4.4851200000000002</c:v>
                </c:pt>
                <c:pt idx="1">
                  <c:v>4.0222720000000001</c:v>
                </c:pt>
                <c:pt idx="2">
                  <c:v>4.1451520000000004</c:v>
                </c:pt>
                <c:pt idx="3">
                  <c:v>4.0427520000000001</c:v>
                </c:pt>
                <c:pt idx="4">
                  <c:v>4.1041920000000003</c:v>
                </c:pt>
                <c:pt idx="5">
                  <c:v>6.1276159999999997</c:v>
                </c:pt>
                <c:pt idx="6">
                  <c:v>9.1422720000000002</c:v>
                </c:pt>
                <c:pt idx="7">
                  <c:v>5.2142080000000002</c:v>
                </c:pt>
                <c:pt idx="8">
                  <c:v>10.944512</c:v>
                </c:pt>
                <c:pt idx="9">
                  <c:v>7.528448</c:v>
                </c:pt>
                <c:pt idx="10">
                  <c:v>16.273408</c:v>
                </c:pt>
                <c:pt idx="11">
                  <c:v>9.1709440000000004</c:v>
                </c:pt>
                <c:pt idx="12">
                  <c:v>10.911744000000001</c:v>
                </c:pt>
              </c:numCache>
            </c:numRef>
          </c:yVal>
          <c:smooth val="0"/>
          <c:extLst>
            <c:ext xmlns:c16="http://schemas.microsoft.com/office/drawing/2014/chart" uri="{C3380CC4-5D6E-409C-BE32-E72D297353CC}">
              <c16:uniqueId val="{00000001-20CE-4F65-BF8E-4A6F554C9B03}"/>
            </c:ext>
          </c:extLst>
        </c:ser>
        <c:ser>
          <c:idx val="2"/>
          <c:order val="2"/>
          <c:tx>
            <c:strRef>
              <c:f>Sheet2!$M$1</c:f>
              <c:strCache>
                <c:ptCount val="1"/>
                <c:pt idx="0">
                  <c:v>SCRAM-BDD</c:v>
                </c:pt>
              </c:strCache>
            </c:strRef>
          </c:tx>
          <c:spPr>
            <a:ln w="19050" cap="rnd">
              <a:noFill/>
              <a:round/>
            </a:ln>
            <a:effectLst/>
          </c:spPr>
          <c:marker>
            <c:symbol val="circle"/>
            <c:size val="5"/>
            <c:spPr>
              <a:solidFill>
                <a:schemeClr val="accent3"/>
              </a:solidFill>
              <a:ln w="9525">
                <a:solidFill>
                  <a:schemeClr val="accent3"/>
                </a:solidFill>
              </a:ln>
              <a:effectLst/>
            </c:spPr>
          </c:marker>
          <c:xVal>
            <c:strRef>
              <c:f>Sheet2!$J$3:$J$16</c:f>
              <c:strCache>
                <c:ptCount val="13"/>
                <c:pt idx="0">
                  <c:v>100-02</c:v>
                </c:pt>
                <c:pt idx="1">
                  <c:v>100-03</c:v>
                </c:pt>
                <c:pt idx="2">
                  <c:v>100-04</c:v>
                </c:pt>
                <c:pt idx="3">
                  <c:v>100-05</c:v>
                </c:pt>
                <c:pt idx="4">
                  <c:v>100-06</c:v>
                </c:pt>
                <c:pt idx="5">
                  <c:v>100-07</c:v>
                </c:pt>
                <c:pt idx="6">
                  <c:v>100-08</c:v>
                </c:pt>
                <c:pt idx="7">
                  <c:v>100-09</c:v>
                </c:pt>
                <c:pt idx="8">
                  <c:v>200-01</c:v>
                </c:pt>
                <c:pt idx="9">
                  <c:v>200-03</c:v>
                </c:pt>
                <c:pt idx="10">
                  <c:v>200-04</c:v>
                </c:pt>
                <c:pt idx="11">
                  <c:v>200-05</c:v>
                </c:pt>
                <c:pt idx="12">
                  <c:v>200-06</c:v>
                </c:pt>
              </c:strCache>
            </c:strRef>
          </c:xVal>
          <c:yVal>
            <c:numRef>
              <c:f>Sheet2!$M$3:$M$16</c:f>
              <c:numCache>
                <c:formatCode>General</c:formatCode>
                <c:ptCount val="14"/>
                <c:pt idx="0">
                  <c:v>6.303744</c:v>
                </c:pt>
                <c:pt idx="1">
                  <c:v>6.2054400000000003</c:v>
                </c:pt>
                <c:pt idx="2">
                  <c:v>6.283264</c:v>
                </c:pt>
                <c:pt idx="3">
                  <c:v>6.0784640000000003</c:v>
                </c:pt>
                <c:pt idx="4">
                  <c:v>6.1890559999999999</c:v>
                </c:pt>
                <c:pt idx="5">
                  <c:v>6.230016</c:v>
                </c:pt>
                <c:pt idx="6">
                  <c:v>6.1849600000000002</c:v>
                </c:pt>
                <c:pt idx="7">
                  <c:v>6.3406079999999996</c:v>
                </c:pt>
                <c:pt idx="8">
                  <c:v>6.557696</c:v>
                </c:pt>
                <c:pt idx="9">
                  <c:v>6.8198400000000001</c:v>
                </c:pt>
                <c:pt idx="10">
                  <c:v>6.2545919999999997</c:v>
                </c:pt>
                <c:pt idx="11">
                  <c:v>6.4675840000000004</c:v>
                </c:pt>
                <c:pt idx="12">
                  <c:v>108.04428799999999</c:v>
                </c:pt>
              </c:numCache>
            </c:numRef>
          </c:yVal>
          <c:smooth val="0"/>
          <c:extLst>
            <c:ext xmlns:c16="http://schemas.microsoft.com/office/drawing/2014/chart" uri="{C3380CC4-5D6E-409C-BE32-E72D297353CC}">
              <c16:uniqueId val="{00000002-20CE-4F65-BF8E-4A6F554C9B03}"/>
            </c:ext>
          </c:extLst>
        </c:ser>
        <c:ser>
          <c:idx val="3"/>
          <c:order val="3"/>
          <c:tx>
            <c:strRef>
              <c:f>Sheet2!$N$1</c:f>
              <c:strCache>
                <c:ptCount val="1"/>
                <c:pt idx="0">
                  <c:v>SCRAM-MOCUS</c:v>
                </c:pt>
              </c:strCache>
            </c:strRef>
          </c:tx>
          <c:spPr>
            <a:ln w="19050" cap="rnd">
              <a:noFill/>
              <a:round/>
            </a:ln>
            <a:effectLst/>
          </c:spPr>
          <c:marker>
            <c:symbol val="circle"/>
            <c:size val="5"/>
            <c:spPr>
              <a:solidFill>
                <a:schemeClr val="accent4"/>
              </a:solidFill>
              <a:ln w="9525">
                <a:solidFill>
                  <a:schemeClr val="accent4"/>
                </a:solidFill>
              </a:ln>
              <a:effectLst/>
            </c:spPr>
          </c:marker>
          <c:xVal>
            <c:strRef>
              <c:f>Sheet2!$J$3:$J$16</c:f>
              <c:strCache>
                <c:ptCount val="13"/>
                <c:pt idx="0">
                  <c:v>100-02</c:v>
                </c:pt>
                <c:pt idx="1">
                  <c:v>100-03</c:v>
                </c:pt>
                <c:pt idx="2">
                  <c:v>100-04</c:v>
                </c:pt>
                <c:pt idx="3">
                  <c:v>100-05</c:v>
                </c:pt>
                <c:pt idx="4">
                  <c:v>100-06</c:v>
                </c:pt>
                <c:pt idx="5">
                  <c:v>100-07</c:v>
                </c:pt>
                <c:pt idx="6">
                  <c:v>100-08</c:v>
                </c:pt>
                <c:pt idx="7">
                  <c:v>100-09</c:v>
                </c:pt>
                <c:pt idx="8">
                  <c:v>200-01</c:v>
                </c:pt>
                <c:pt idx="9">
                  <c:v>200-03</c:v>
                </c:pt>
                <c:pt idx="10">
                  <c:v>200-04</c:v>
                </c:pt>
                <c:pt idx="11">
                  <c:v>200-05</c:v>
                </c:pt>
                <c:pt idx="12">
                  <c:v>200-06</c:v>
                </c:pt>
              </c:strCache>
            </c:strRef>
          </c:xVal>
          <c:yVal>
            <c:numRef>
              <c:f>Sheet2!$N$3:$N$16</c:f>
              <c:numCache>
                <c:formatCode>General</c:formatCode>
                <c:ptCount val="14"/>
                <c:pt idx="0">
                  <c:v>6.2136319999999996</c:v>
                </c:pt>
                <c:pt idx="1">
                  <c:v>6.1235200000000001</c:v>
                </c:pt>
                <c:pt idx="2">
                  <c:v>6.2095359999999999</c:v>
                </c:pt>
                <c:pt idx="3">
                  <c:v>6.0170240000000002</c:v>
                </c:pt>
                <c:pt idx="4">
                  <c:v>6.2095359999999999</c:v>
                </c:pt>
                <c:pt idx="5">
                  <c:v>6.0743679999999998</c:v>
                </c:pt>
                <c:pt idx="6">
                  <c:v>6.1235200000000001</c:v>
                </c:pt>
                <c:pt idx="7">
                  <c:v>6.3406079999999996</c:v>
                </c:pt>
                <c:pt idx="8">
                  <c:v>6.5863680000000002</c:v>
                </c:pt>
                <c:pt idx="9">
                  <c:v>6.7706879999999998</c:v>
                </c:pt>
                <c:pt idx="10">
                  <c:v>6.2668799999999996</c:v>
                </c:pt>
                <c:pt idx="11">
                  <c:v>6.4716800000000001</c:v>
                </c:pt>
                <c:pt idx="12">
                  <c:v>8.3066879999999994</c:v>
                </c:pt>
              </c:numCache>
            </c:numRef>
          </c:yVal>
          <c:smooth val="0"/>
          <c:extLst>
            <c:ext xmlns:c16="http://schemas.microsoft.com/office/drawing/2014/chart" uri="{C3380CC4-5D6E-409C-BE32-E72D297353CC}">
              <c16:uniqueId val="{00000003-20CE-4F65-BF8E-4A6F554C9B03}"/>
            </c:ext>
          </c:extLst>
        </c:ser>
        <c:ser>
          <c:idx val="4"/>
          <c:order val="4"/>
          <c:tx>
            <c:strRef>
              <c:f>Sheet2!$O$1</c:f>
              <c:strCache>
                <c:ptCount val="1"/>
                <c:pt idx="0">
                  <c:v>SCRAM-ZBDD</c:v>
                </c:pt>
              </c:strCache>
            </c:strRef>
          </c:tx>
          <c:spPr>
            <a:ln w="19050" cap="rnd">
              <a:noFill/>
              <a:round/>
            </a:ln>
            <a:effectLst/>
          </c:spPr>
          <c:marker>
            <c:symbol val="circle"/>
            <c:size val="5"/>
            <c:spPr>
              <a:solidFill>
                <a:schemeClr val="accent5"/>
              </a:solidFill>
              <a:ln w="9525">
                <a:solidFill>
                  <a:schemeClr val="accent5"/>
                </a:solidFill>
              </a:ln>
              <a:effectLst/>
            </c:spPr>
          </c:marker>
          <c:xVal>
            <c:strRef>
              <c:f>Sheet2!$J$3:$J$16</c:f>
              <c:strCache>
                <c:ptCount val="13"/>
                <c:pt idx="0">
                  <c:v>100-02</c:v>
                </c:pt>
                <c:pt idx="1">
                  <c:v>100-03</c:v>
                </c:pt>
                <c:pt idx="2">
                  <c:v>100-04</c:v>
                </c:pt>
                <c:pt idx="3">
                  <c:v>100-05</c:v>
                </c:pt>
                <c:pt idx="4">
                  <c:v>100-06</c:v>
                </c:pt>
                <c:pt idx="5">
                  <c:v>100-07</c:v>
                </c:pt>
                <c:pt idx="6">
                  <c:v>100-08</c:v>
                </c:pt>
                <c:pt idx="7">
                  <c:v>100-09</c:v>
                </c:pt>
                <c:pt idx="8">
                  <c:v>200-01</c:v>
                </c:pt>
                <c:pt idx="9">
                  <c:v>200-03</c:v>
                </c:pt>
                <c:pt idx="10">
                  <c:v>200-04</c:v>
                </c:pt>
                <c:pt idx="11">
                  <c:v>200-05</c:v>
                </c:pt>
                <c:pt idx="12">
                  <c:v>200-06</c:v>
                </c:pt>
              </c:strCache>
            </c:strRef>
          </c:xVal>
          <c:yVal>
            <c:numRef>
              <c:f>Sheet2!$O$3:$O$16</c:f>
              <c:numCache>
                <c:formatCode>General</c:formatCode>
                <c:ptCount val="14"/>
                <c:pt idx="0">
                  <c:v>6.1521920000000003</c:v>
                </c:pt>
                <c:pt idx="1">
                  <c:v>6.0784640000000003</c:v>
                </c:pt>
                <c:pt idx="2">
                  <c:v>6.1685759999999998</c:v>
                </c:pt>
                <c:pt idx="3">
                  <c:v>5.9637760000000002</c:v>
                </c:pt>
                <c:pt idx="4">
                  <c:v>6.2136319999999996</c:v>
                </c:pt>
                <c:pt idx="5">
                  <c:v>6.1685759999999998</c:v>
                </c:pt>
                <c:pt idx="6">
                  <c:v>6.1890559999999999</c:v>
                </c:pt>
                <c:pt idx="7">
                  <c:v>6.2423039999999999</c:v>
                </c:pt>
                <c:pt idx="8">
                  <c:v>6.4757759999999998</c:v>
                </c:pt>
                <c:pt idx="9">
                  <c:v>6.7338240000000003</c:v>
                </c:pt>
                <c:pt idx="10">
                  <c:v>6.2054400000000003</c:v>
                </c:pt>
                <c:pt idx="11">
                  <c:v>6.4716800000000001</c:v>
                </c:pt>
                <c:pt idx="12">
                  <c:v>9.8672640000000005</c:v>
                </c:pt>
              </c:numCache>
            </c:numRef>
          </c:yVal>
          <c:smooth val="0"/>
          <c:extLst>
            <c:ext xmlns:c16="http://schemas.microsoft.com/office/drawing/2014/chart" uri="{C3380CC4-5D6E-409C-BE32-E72D297353CC}">
              <c16:uniqueId val="{00000004-20CE-4F65-BF8E-4A6F554C9B03}"/>
            </c:ext>
          </c:extLst>
        </c:ser>
        <c:ser>
          <c:idx val="5"/>
          <c:order val="5"/>
          <c:tx>
            <c:strRef>
              <c:f>Sheet2!$P$1</c:f>
              <c:strCache>
                <c:ptCount val="1"/>
                <c:pt idx="0">
                  <c:v>FTREX-BDD</c:v>
                </c:pt>
              </c:strCache>
            </c:strRef>
          </c:tx>
          <c:spPr>
            <a:ln w="19050" cap="rnd">
              <a:noFill/>
              <a:round/>
            </a:ln>
            <a:effectLst/>
          </c:spPr>
          <c:marker>
            <c:symbol val="circle"/>
            <c:size val="5"/>
            <c:spPr>
              <a:solidFill>
                <a:schemeClr val="accent6"/>
              </a:solidFill>
              <a:ln w="9525">
                <a:solidFill>
                  <a:schemeClr val="accent6"/>
                </a:solidFill>
              </a:ln>
              <a:effectLst/>
            </c:spPr>
          </c:marker>
          <c:xVal>
            <c:strRef>
              <c:f>Sheet2!$J$3:$J$16</c:f>
              <c:strCache>
                <c:ptCount val="13"/>
                <c:pt idx="0">
                  <c:v>100-02</c:v>
                </c:pt>
                <c:pt idx="1">
                  <c:v>100-03</c:v>
                </c:pt>
                <c:pt idx="2">
                  <c:v>100-04</c:v>
                </c:pt>
                <c:pt idx="3">
                  <c:v>100-05</c:v>
                </c:pt>
                <c:pt idx="4">
                  <c:v>100-06</c:v>
                </c:pt>
                <c:pt idx="5">
                  <c:v>100-07</c:v>
                </c:pt>
                <c:pt idx="6">
                  <c:v>100-08</c:v>
                </c:pt>
                <c:pt idx="7">
                  <c:v>100-09</c:v>
                </c:pt>
                <c:pt idx="8">
                  <c:v>200-01</c:v>
                </c:pt>
                <c:pt idx="9">
                  <c:v>200-03</c:v>
                </c:pt>
                <c:pt idx="10">
                  <c:v>200-04</c:v>
                </c:pt>
                <c:pt idx="11">
                  <c:v>200-05</c:v>
                </c:pt>
                <c:pt idx="12">
                  <c:v>200-06</c:v>
                </c:pt>
              </c:strCache>
            </c:strRef>
          </c:xVal>
          <c:yVal>
            <c:numRef>
              <c:f>Sheet2!$P$3:$P$16</c:f>
              <c:numCache>
                <c:formatCode>General</c:formatCode>
                <c:ptCount val="14"/>
                <c:pt idx="0">
                  <c:v>31.436800000000002</c:v>
                </c:pt>
                <c:pt idx="1">
                  <c:v>31.100928</c:v>
                </c:pt>
                <c:pt idx="2">
                  <c:v>31.571967999999998</c:v>
                </c:pt>
                <c:pt idx="3">
                  <c:v>30.928896000000002</c:v>
                </c:pt>
                <c:pt idx="4">
                  <c:v>31.285247999999999</c:v>
                </c:pt>
                <c:pt idx="5">
                  <c:v>32.448512000000001</c:v>
                </c:pt>
                <c:pt idx="6">
                  <c:v>34.553856000000003</c:v>
                </c:pt>
                <c:pt idx="7">
                  <c:v>32.043008</c:v>
                </c:pt>
                <c:pt idx="8">
                  <c:v>32.575488</c:v>
                </c:pt>
                <c:pt idx="9">
                  <c:v>41.422848000000002</c:v>
                </c:pt>
                <c:pt idx="10">
                  <c:v>41.910271999999999</c:v>
                </c:pt>
                <c:pt idx="11">
                  <c:v>71.548928000000004</c:v>
                </c:pt>
                <c:pt idx="12">
                  <c:v>106.078208</c:v>
                </c:pt>
              </c:numCache>
            </c:numRef>
          </c:yVal>
          <c:smooth val="0"/>
          <c:extLst>
            <c:ext xmlns:c16="http://schemas.microsoft.com/office/drawing/2014/chart" uri="{C3380CC4-5D6E-409C-BE32-E72D297353CC}">
              <c16:uniqueId val="{00000005-20CE-4F65-BF8E-4A6F554C9B03}"/>
            </c:ext>
          </c:extLst>
        </c:ser>
        <c:ser>
          <c:idx val="6"/>
          <c:order val="6"/>
          <c:tx>
            <c:strRef>
              <c:f>Sheet2!$Q$1</c:f>
              <c:strCache>
                <c:ptCount val="1"/>
                <c:pt idx="0">
                  <c:v>FTREX-ZDD</c:v>
                </c:pt>
              </c:strCache>
            </c:strRef>
          </c:tx>
          <c:spPr>
            <a:ln w="19050" cap="rnd">
              <a:noFill/>
              <a:round/>
            </a:ln>
            <a:effectLst/>
          </c:spPr>
          <c:marker>
            <c:symbol val="circle"/>
            <c:size val="5"/>
            <c:spPr>
              <a:solidFill>
                <a:schemeClr val="accent1">
                  <a:lumMod val="60000"/>
                </a:schemeClr>
              </a:solidFill>
              <a:ln w="9525">
                <a:solidFill>
                  <a:schemeClr val="accent1">
                    <a:lumMod val="60000"/>
                  </a:schemeClr>
                </a:solidFill>
              </a:ln>
              <a:effectLst/>
            </c:spPr>
          </c:marker>
          <c:xVal>
            <c:strRef>
              <c:f>Sheet2!$J$3:$J$16</c:f>
              <c:strCache>
                <c:ptCount val="13"/>
                <c:pt idx="0">
                  <c:v>100-02</c:v>
                </c:pt>
                <c:pt idx="1">
                  <c:v>100-03</c:v>
                </c:pt>
                <c:pt idx="2">
                  <c:v>100-04</c:v>
                </c:pt>
                <c:pt idx="3">
                  <c:v>100-05</c:v>
                </c:pt>
                <c:pt idx="4">
                  <c:v>100-06</c:v>
                </c:pt>
                <c:pt idx="5">
                  <c:v>100-07</c:v>
                </c:pt>
                <c:pt idx="6">
                  <c:v>100-08</c:v>
                </c:pt>
                <c:pt idx="7">
                  <c:v>100-09</c:v>
                </c:pt>
                <c:pt idx="8">
                  <c:v>200-01</c:v>
                </c:pt>
                <c:pt idx="9">
                  <c:v>200-03</c:v>
                </c:pt>
                <c:pt idx="10">
                  <c:v>200-04</c:v>
                </c:pt>
                <c:pt idx="11">
                  <c:v>200-05</c:v>
                </c:pt>
                <c:pt idx="12">
                  <c:v>200-06</c:v>
                </c:pt>
              </c:strCache>
            </c:strRef>
          </c:xVal>
          <c:yVal>
            <c:numRef>
              <c:f>Sheet2!$Q$3:$Q$16</c:f>
              <c:numCache>
                <c:formatCode>General</c:formatCode>
                <c:ptCount val="14"/>
                <c:pt idx="0">
                  <c:v>32.083967999999999</c:v>
                </c:pt>
                <c:pt idx="1">
                  <c:v>30.474240000000002</c:v>
                </c:pt>
                <c:pt idx="2">
                  <c:v>30.769151999999998</c:v>
                </c:pt>
                <c:pt idx="3">
                  <c:v>30.949376000000001</c:v>
                </c:pt>
                <c:pt idx="4">
                  <c:v>31.027200000000001</c:v>
                </c:pt>
                <c:pt idx="5">
                  <c:v>30.887936</c:v>
                </c:pt>
                <c:pt idx="6">
                  <c:v>32.632832000000001</c:v>
                </c:pt>
                <c:pt idx="7">
                  <c:v>32.808959999999999</c:v>
                </c:pt>
                <c:pt idx="8">
                  <c:v>30.519296000000001</c:v>
                </c:pt>
                <c:pt idx="9">
                  <c:v>82.153471999999994</c:v>
                </c:pt>
                <c:pt idx="10">
                  <c:v>30.900224000000001</c:v>
                </c:pt>
                <c:pt idx="11">
                  <c:v>31.674368000000001</c:v>
                </c:pt>
                <c:pt idx="12">
                  <c:v>39.194623999999997</c:v>
                </c:pt>
              </c:numCache>
            </c:numRef>
          </c:yVal>
          <c:smooth val="0"/>
          <c:extLst>
            <c:ext xmlns:c16="http://schemas.microsoft.com/office/drawing/2014/chart" uri="{C3380CC4-5D6E-409C-BE32-E72D297353CC}">
              <c16:uniqueId val="{00000006-20CE-4F65-BF8E-4A6F554C9B03}"/>
            </c:ext>
          </c:extLst>
        </c:ser>
        <c:dLbls>
          <c:showLegendKey val="0"/>
          <c:showVal val="0"/>
          <c:showCatName val="0"/>
          <c:showSerName val="0"/>
          <c:showPercent val="0"/>
          <c:showBubbleSize val="0"/>
        </c:dLbls>
        <c:axId val="2139814159"/>
        <c:axId val="500361983"/>
      </c:scatterChart>
      <c:valAx>
        <c:axId val="213981415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361983"/>
        <c:crosses val="autoZero"/>
        <c:crossBetween val="midCat"/>
      </c:valAx>
      <c:valAx>
        <c:axId val="500361983"/>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81415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Sheet2!$B$1</c:f>
              <c:strCache>
                <c:ptCount val="1"/>
                <c:pt idx="0">
                  <c:v>XFTA</c:v>
                </c:pt>
              </c:strCache>
            </c:strRef>
          </c:tx>
          <c:spPr>
            <a:ln w="19050" cap="rnd">
              <a:noFill/>
              <a:round/>
            </a:ln>
            <a:effectLst/>
          </c:spPr>
          <c:marker>
            <c:symbol val="circle"/>
            <c:size val="5"/>
            <c:spPr>
              <a:solidFill>
                <a:schemeClr val="accent1"/>
              </a:solidFill>
              <a:ln w="9525">
                <a:solidFill>
                  <a:schemeClr val="accent1"/>
                </a:solidFill>
              </a:ln>
              <a:effectLst/>
            </c:spPr>
          </c:marker>
          <c:xVal>
            <c:strRef>
              <c:f>Sheet2!$A$2:$A$15</c:f>
              <c:strCache>
                <c:ptCount val="14"/>
                <c:pt idx="0">
                  <c:v>100-01</c:v>
                </c:pt>
                <c:pt idx="1">
                  <c:v>100-02</c:v>
                </c:pt>
                <c:pt idx="2">
                  <c:v>100-03</c:v>
                </c:pt>
                <c:pt idx="3">
                  <c:v>100-04</c:v>
                </c:pt>
                <c:pt idx="4">
                  <c:v>100-05</c:v>
                </c:pt>
                <c:pt idx="5">
                  <c:v>100-06</c:v>
                </c:pt>
                <c:pt idx="6">
                  <c:v>100-07</c:v>
                </c:pt>
                <c:pt idx="7">
                  <c:v>100-08</c:v>
                </c:pt>
                <c:pt idx="8">
                  <c:v>100-09</c:v>
                </c:pt>
                <c:pt idx="9">
                  <c:v>200-01</c:v>
                </c:pt>
                <c:pt idx="10">
                  <c:v>200-03</c:v>
                </c:pt>
                <c:pt idx="11">
                  <c:v>200-04</c:v>
                </c:pt>
                <c:pt idx="12">
                  <c:v>200-05</c:v>
                </c:pt>
                <c:pt idx="13">
                  <c:v>200-06</c:v>
                </c:pt>
              </c:strCache>
            </c:strRef>
          </c:xVal>
          <c:yVal>
            <c:numRef>
              <c:f>Sheet2!$B$2:$B$15</c:f>
              <c:numCache>
                <c:formatCode>General</c:formatCode>
                <c:ptCount val="14"/>
                <c:pt idx="0">
                  <c:v>1.6953402999999999E-2</c:v>
                </c:pt>
                <c:pt idx="1">
                  <c:v>4.5382770000000003E-2</c:v>
                </c:pt>
                <c:pt idx="2">
                  <c:v>1.2560768E-2</c:v>
                </c:pt>
                <c:pt idx="3">
                  <c:v>1.3638323000000001E-2</c:v>
                </c:pt>
                <c:pt idx="4">
                  <c:v>9.4328199999999997E-3</c:v>
                </c:pt>
                <c:pt idx="5">
                  <c:v>1.6098626000000001E-2</c:v>
                </c:pt>
                <c:pt idx="6">
                  <c:v>1.3807616E-2</c:v>
                </c:pt>
                <c:pt idx="7">
                  <c:v>6.6142083000000004E-2</c:v>
                </c:pt>
                <c:pt idx="8">
                  <c:v>8.8852788000000002E-2</c:v>
                </c:pt>
                <c:pt idx="9">
                  <c:v>2.2081136000000001E-2</c:v>
                </c:pt>
                <c:pt idx="10">
                  <c:v>0.74863363699999996</c:v>
                </c:pt>
                <c:pt idx="11">
                  <c:v>1.3838523E-2</c:v>
                </c:pt>
                <c:pt idx="12">
                  <c:v>5.4173114000000001E-2</c:v>
                </c:pt>
                <c:pt idx="13">
                  <c:v>0.23247991500000001</c:v>
                </c:pt>
              </c:numCache>
            </c:numRef>
          </c:yVal>
          <c:smooth val="0"/>
          <c:extLst>
            <c:ext xmlns:c16="http://schemas.microsoft.com/office/drawing/2014/chart" uri="{C3380CC4-5D6E-409C-BE32-E72D297353CC}">
              <c16:uniqueId val="{00000000-4EA8-46B5-835E-0DD10B7C1A47}"/>
            </c:ext>
          </c:extLst>
        </c:ser>
        <c:ser>
          <c:idx val="1"/>
          <c:order val="1"/>
          <c:tx>
            <c:strRef>
              <c:f>Sheet2!$C$1</c:f>
              <c:strCache>
                <c:ptCount val="1"/>
                <c:pt idx="0">
                  <c:v>SAPHSOLVE</c:v>
                </c:pt>
              </c:strCache>
            </c:strRef>
          </c:tx>
          <c:spPr>
            <a:ln w="19050" cap="rnd">
              <a:noFill/>
              <a:round/>
            </a:ln>
            <a:effectLst/>
          </c:spPr>
          <c:marker>
            <c:symbol val="circle"/>
            <c:size val="5"/>
            <c:spPr>
              <a:solidFill>
                <a:schemeClr val="accent2"/>
              </a:solidFill>
              <a:ln w="9525">
                <a:solidFill>
                  <a:schemeClr val="accent2"/>
                </a:solidFill>
              </a:ln>
              <a:effectLst/>
            </c:spPr>
          </c:marker>
          <c:xVal>
            <c:strRef>
              <c:f>Sheet2!$A$2:$A$15</c:f>
              <c:strCache>
                <c:ptCount val="14"/>
                <c:pt idx="0">
                  <c:v>100-01</c:v>
                </c:pt>
                <c:pt idx="1">
                  <c:v>100-02</c:v>
                </c:pt>
                <c:pt idx="2">
                  <c:v>100-03</c:v>
                </c:pt>
                <c:pt idx="3">
                  <c:v>100-04</c:v>
                </c:pt>
                <c:pt idx="4">
                  <c:v>100-05</c:v>
                </c:pt>
                <c:pt idx="5">
                  <c:v>100-06</c:v>
                </c:pt>
                <c:pt idx="6">
                  <c:v>100-07</c:v>
                </c:pt>
                <c:pt idx="7">
                  <c:v>100-08</c:v>
                </c:pt>
                <c:pt idx="8">
                  <c:v>100-09</c:v>
                </c:pt>
                <c:pt idx="9">
                  <c:v>200-01</c:v>
                </c:pt>
                <c:pt idx="10">
                  <c:v>200-03</c:v>
                </c:pt>
                <c:pt idx="11">
                  <c:v>200-04</c:v>
                </c:pt>
                <c:pt idx="12">
                  <c:v>200-05</c:v>
                </c:pt>
                <c:pt idx="13">
                  <c:v>200-06</c:v>
                </c:pt>
              </c:strCache>
            </c:strRef>
          </c:xVal>
          <c:yVal>
            <c:numRef>
              <c:f>Sheet2!$C$2:$C$15</c:f>
              <c:numCache>
                <c:formatCode>General</c:formatCode>
                <c:ptCount val="14"/>
                <c:pt idx="0">
                  <c:v>0.71710586899999995</c:v>
                </c:pt>
                <c:pt idx="1">
                  <c:v>0.77282153899999995</c:v>
                </c:pt>
                <c:pt idx="2">
                  <c:v>0.69587020300000002</c:v>
                </c:pt>
                <c:pt idx="3">
                  <c:v>0.72679737099999997</c:v>
                </c:pt>
                <c:pt idx="4">
                  <c:v>0.69602752400000001</c:v>
                </c:pt>
                <c:pt idx="5">
                  <c:v>0.72603528500000003</c:v>
                </c:pt>
                <c:pt idx="6">
                  <c:v>0.79731789200000003</c:v>
                </c:pt>
                <c:pt idx="7">
                  <c:v>2.0490610810000001</c:v>
                </c:pt>
                <c:pt idx="8">
                  <c:v>1.100666763</c:v>
                </c:pt>
                <c:pt idx="9">
                  <c:v>43.019294616000003</c:v>
                </c:pt>
                <c:pt idx="10">
                  <c:v>1.090108571</c:v>
                </c:pt>
                <c:pt idx="11">
                  <c:v>5.9707260900000003</c:v>
                </c:pt>
                <c:pt idx="12">
                  <c:v>1.5522600259999999</c:v>
                </c:pt>
                <c:pt idx="13">
                  <c:v>3.8128432609999998</c:v>
                </c:pt>
              </c:numCache>
            </c:numRef>
          </c:yVal>
          <c:smooth val="0"/>
          <c:extLst>
            <c:ext xmlns:c16="http://schemas.microsoft.com/office/drawing/2014/chart" uri="{C3380CC4-5D6E-409C-BE32-E72D297353CC}">
              <c16:uniqueId val="{00000001-4EA8-46B5-835E-0DD10B7C1A47}"/>
            </c:ext>
          </c:extLst>
        </c:ser>
        <c:ser>
          <c:idx val="2"/>
          <c:order val="2"/>
          <c:tx>
            <c:strRef>
              <c:f>Sheet2!$D$1</c:f>
              <c:strCache>
                <c:ptCount val="1"/>
                <c:pt idx="0">
                  <c:v>SCRAM-BDD</c:v>
                </c:pt>
              </c:strCache>
            </c:strRef>
          </c:tx>
          <c:spPr>
            <a:ln w="19050" cap="rnd">
              <a:noFill/>
              <a:round/>
            </a:ln>
            <a:effectLst/>
          </c:spPr>
          <c:marker>
            <c:symbol val="circle"/>
            <c:size val="5"/>
            <c:spPr>
              <a:solidFill>
                <a:schemeClr val="accent3"/>
              </a:solidFill>
              <a:ln w="9525">
                <a:solidFill>
                  <a:schemeClr val="accent3"/>
                </a:solidFill>
              </a:ln>
              <a:effectLst/>
            </c:spPr>
          </c:marker>
          <c:xVal>
            <c:strRef>
              <c:f>Sheet2!$A$2:$A$15</c:f>
              <c:strCache>
                <c:ptCount val="14"/>
                <c:pt idx="0">
                  <c:v>100-01</c:v>
                </c:pt>
                <c:pt idx="1">
                  <c:v>100-02</c:v>
                </c:pt>
                <c:pt idx="2">
                  <c:v>100-03</c:v>
                </c:pt>
                <c:pt idx="3">
                  <c:v>100-04</c:v>
                </c:pt>
                <c:pt idx="4">
                  <c:v>100-05</c:v>
                </c:pt>
                <c:pt idx="5">
                  <c:v>100-06</c:v>
                </c:pt>
                <c:pt idx="6">
                  <c:v>100-07</c:v>
                </c:pt>
                <c:pt idx="7">
                  <c:v>100-08</c:v>
                </c:pt>
                <c:pt idx="8">
                  <c:v>100-09</c:v>
                </c:pt>
                <c:pt idx="9">
                  <c:v>200-01</c:v>
                </c:pt>
                <c:pt idx="10">
                  <c:v>200-03</c:v>
                </c:pt>
                <c:pt idx="11">
                  <c:v>200-04</c:v>
                </c:pt>
                <c:pt idx="12">
                  <c:v>200-05</c:v>
                </c:pt>
                <c:pt idx="13">
                  <c:v>200-06</c:v>
                </c:pt>
              </c:strCache>
            </c:strRef>
          </c:xVal>
          <c:yVal>
            <c:numRef>
              <c:f>Sheet2!$D$2:$D$15</c:f>
              <c:numCache>
                <c:formatCode>General</c:formatCode>
                <c:ptCount val="14"/>
                <c:pt idx="0">
                  <c:v>0.11244756</c:v>
                </c:pt>
                <c:pt idx="1">
                  <c:v>0.21960044500000001</c:v>
                </c:pt>
                <c:pt idx="2">
                  <c:v>9.7503664000000004E-2</c:v>
                </c:pt>
                <c:pt idx="3">
                  <c:v>0.10509741</c:v>
                </c:pt>
                <c:pt idx="4">
                  <c:v>9.4771300000000003E-2</c:v>
                </c:pt>
                <c:pt idx="5">
                  <c:v>0.110762124</c:v>
                </c:pt>
                <c:pt idx="6">
                  <c:v>0.103812877</c:v>
                </c:pt>
                <c:pt idx="7">
                  <c:v>0.221237831</c:v>
                </c:pt>
                <c:pt idx="8">
                  <c:v>0.23065189999999999</c:v>
                </c:pt>
                <c:pt idx="9">
                  <c:v>0.133368608</c:v>
                </c:pt>
                <c:pt idx="10">
                  <c:v>1.103876946</c:v>
                </c:pt>
                <c:pt idx="11">
                  <c:v>0.103748514</c:v>
                </c:pt>
                <c:pt idx="12">
                  <c:v>0.221674606</c:v>
                </c:pt>
                <c:pt idx="13">
                  <c:v>2.024685963</c:v>
                </c:pt>
              </c:numCache>
            </c:numRef>
          </c:yVal>
          <c:smooth val="0"/>
          <c:extLst>
            <c:ext xmlns:c16="http://schemas.microsoft.com/office/drawing/2014/chart" uri="{C3380CC4-5D6E-409C-BE32-E72D297353CC}">
              <c16:uniqueId val="{00000002-4EA8-46B5-835E-0DD10B7C1A47}"/>
            </c:ext>
          </c:extLst>
        </c:ser>
        <c:ser>
          <c:idx val="3"/>
          <c:order val="3"/>
          <c:tx>
            <c:strRef>
              <c:f>Sheet2!$E$1</c:f>
              <c:strCache>
                <c:ptCount val="1"/>
                <c:pt idx="0">
                  <c:v>SCRAM-MOCUS</c:v>
                </c:pt>
              </c:strCache>
            </c:strRef>
          </c:tx>
          <c:spPr>
            <a:ln w="19050" cap="rnd">
              <a:noFill/>
              <a:round/>
            </a:ln>
            <a:effectLst/>
          </c:spPr>
          <c:marker>
            <c:symbol val="circle"/>
            <c:size val="5"/>
            <c:spPr>
              <a:solidFill>
                <a:schemeClr val="accent4"/>
              </a:solidFill>
              <a:ln w="9525">
                <a:solidFill>
                  <a:schemeClr val="accent4"/>
                </a:solidFill>
              </a:ln>
              <a:effectLst/>
            </c:spPr>
          </c:marker>
          <c:xVal>
            <c:strRef>
              <c:f>Sheet2!$A$2:$A$15</c:f>
              <c:strCache>
                <c:ptCount val="14"/>
                <c:pt idx="0">
                  <c:v>100-01</c:v>
                </c:pt>
                <c:pt idx="1">
                  <c:v>100-02</c:v>
                </c:pt>
                <c:pt idx="2">
                  <c:v>100-03</c:v>
                </c:pt>
                <c:pt idx="3">
                  <c:v>100-04</c:v>
                </c:pt>
                <c:pt idx="4">
                  <c:v>100-05</c:v>
                </c:pt>
                <c:pt idx="5">
                  <c:v>100-06</c:v>
                </c:pt>
                <c:pt idx="6">
                  <c:v>100-07</c:v>
                </c:pt>
                <c:pt idx="7">
                  <c:v>100-08</c:v>
                </c:pt>
                <c:pt idx="8">
                  <c:v>100-09</c:v>
                </c:pt>
                <c:pt idx="9">
                  <c:v>200-01</c:v>
                </c:pt>
                <c:pt idx="10">
                  <c:v>200-03</c:v>
                </c:pt>
                <c:pt idx="11">
                  <c:v>200-04</c:v>
                </c:pt>
                <c:pt idx="12">
                  <c:v>200-05</c:v>
                </c:pt>
                <c:pt idx="13">
                  <c:v>200-06</c:v>
                </c:pt>
              </c:strCache>
            </c:strRef>
          </c:xVal>
          <c:yVal>
            <c:numRef>
              <c:f>Sheet2!$E$2:$E$15</c:f>
              <c:numCache>
                <c:formatCode>General</c:formatCode>
                <c:ptCount val="14"/>
                <c:pt idx="0">
                  <c:v>0.118721988</c:v>
                </c:pt>
                <c:pt idx="1">
                  <c:v>0.226832702</c:v>
                </c:pt>
                <c:pt idx="2">
                  <c:v>0.102652994</c:v>
                </c:pt>
                <c:pt idx="3">
                  <c:v>0.110802336</c:v>
                </c:pt>
                <c:pt idx="4">
                  <c:v>0.100050083</c:v>
                </c:pt>
                <c:pt idx="5">
                  <c:v>0.118666935</c:v>
                </c:pt>
                <c:pt idx="6">
                  <c:v>0.10818058799999999</c:v>
                </c:pt>
                <c:pt idx="7">
                  <c:v>0.22956998200000001</c:v>
                </c:pt>
                <c:pt idx="8">
                  <c:v>0.238241487</c:v>
                </c:pt>
                <c:pt idx="9">
                  <c:v>0.13105389100000001</c:v>
                </c:pt>
                <c:pt idx="10">
                  <c:v>1.1165375120000001</c:v>
                </c:pt>
                <c:pt idx="11">
                  <c:v>0.107384961</c:v>
                </c:pt>
                <c:pt idx="12">
                  <c:v>0.22412981400000001</c:v>
                </c:pt>
                <c:pt idx="13">
                  <c:v>0.38593401300000002</c:v>
                </c:pt>
              </c:numCache>
            </c:numRef>
          </c:yVal>
          <c:smooth val="0"/>
          <c:extLst>
            <c:ext xmlns:c16="http://schemas.microsoft.com/office/drawing/2014/chart" uri="{C3380CC4-5D6E-409C-BE32-E72D297353CC}">
              <c16:uniqueId val="{00000003-4EA8-46B5-835E-0DD10B7C1A47}"/>
            </c:ext>
          </c:extLst>
        </c:ser>
        <c:ser>
          <c:idx val="4"/>
          <c:order val="4"/>
          <c:tx>
            <c:strRef>
              <c:f>Sheet2!$F$1</c:f>
              <c:strCache>
                <c:ptCount val="1"/>
                <c:pt idx="0">
                  <c:v>SCRAM-ZBDD</c:v>
                </c:pt>
              </c:strCache>
            </c:strRef>
          </c:tx>
          <c:spPr>
            <a:ln w="19050" cap="rnd">
              <a:noFill/>
              <a:round/>
            </a:ln>
            <a:effectLst/>
          </c:spPr>
          <c:marker>
            <c:symbol val="circle"/>
            <c:size val="5"/>
            <c:spPr>
              <a:solidFill>
                <a:schemeClr val="accent5"/>
              </a:solidFill>
              <a:ln w="9525">
                <a:solidFill>
                  <a:schemeClr val="accent5"/>
                </a:solidFill>
              </a:ln>
              <a:effectLst/>
            </c:spPr>
          </c:marker>
          <c:xVal>
            <c:strRef>
              <c:f>Sheet2!$A$2:$A$15</c:f>
              <c:strCache>
                <c:ptCount val="14"/>
                <c:pt idx="0">
                  <c:v>100-01</c:v>
                </c:pt>
                <c:pt idx="1">
                  <c:v>100-02</c:v>
                </c:pt>
                <c:pt idx="2">
                  <c:v>100-03</c:v>
                </c:pt>
                <c:pt idx="3">
                  <c:v>100-04</c:v>
                </c:pt>
                <c:pt idx="4">
                  <c:v>100-05</c:v>
                </c:pt>
                <c:pt idx="5">
                  <c:v>100-06</c:v>
                </c:pt>
                <c:pt idx="6">
                  <c:v>100-07</c:v>
                </c:pt>
                <c:pt idx="7">
                  <c:v>100-08</c:v>
                </c:pt>
                <c:pt idx="8">
                  <c:v>100-09</c:v>
                </c:pt>
                <c:pt idx="9">
                  <c:v>200-01</c:v>
                </c:pt>
                <c:pt idx="10">
                  <c:v>200-03</c:v>
                </c:pt>
                <c:pt idx="11">
                  <c:v>200-04</c:v>
                </c:pt>
                <c:pt idx="12">
                  <c:v>200-05</c:v>
                </c:pt>
                <c:pt idx="13">
                  <c:v>200-06</c:v>
                </c:pt>
              </c:strCache>
            </c:strRef>
          </c:xVal>
          <c:yVal>
            <c:numRef>
              <c:f>Sheet2!$F$2:$F$15</c:f>
              <c:numCache>
                <c:formatCode>General</c:formatCode>
                <c:ptCount val="14"/>
                <c:pt idx="0">
                  <c:v>0.113772972</c:v>
                </c:pt>
                <c:pt idx="1">
                  <c:v>0.221840754</c:v>
                </c:pt>
                <c:pt idx="2">
                  <c:v>0.100072827</c:v>
                </c:pt>
                <c:pt idx="3">
                  <c:v>0.105313641</c:v>
                </c:pt>
                <c:pt idx="4">
                  <c:v>9.5055674000000007E-2</c:v>
                </c:pt>
                <c:pt idx="5">
                  <c:v>0.110468444</c:v>
                </c:pt>
                <c:pt idx="6">
                  <c:v>0.10284903500000001</c:v>
                </c:pt>
                <c:pt idx="7">
                  <c:v>0.223540244</c:v>
                </c:pt>
                <c:pt idx="8">
                  <c:v>0.233140597</c:v>
                </c:pt>
                <c:pt idx="9">
                  <c:v>0.13125976</c:v>
                </c:pt>
                <c:pt idx="10">
                  <c:v>1.110123379</c:v>
                </c:pt>
                <c:pt idx="11">
                  <c:v>0.10867394900000001</c:v>
                </c:pt>
                <c:pt idx="12">
                  <c:v>0.22820383899999999</c:v>
                </c:pt>
                <c:pt idx="13">
                  <c:v>0.39378183500000002</c:v>
                </c:pt>
              </c:numCache>
            </c:numRef>
          </c:yVal>
          <c:smooth val="0"/>
          <c:extLst>
            <c:ext xmlns:c16="http://schemas.microsoft.com/office/drawing/2014/chart" uri="{C3380CC4-5D6E-409C-BE32-E72D297353CC}">
              <c16:uniqueId val="{00000004-4EA8-46B5-835E-0DD10B7C1A47}"/>
            </c:ext>
          </c:extLst>
        </c:ser>
        <c:ser>
          <c:idx val="5"/>
          <c:order val="5"/>
          <c:tx>
            <c:strRef>
              <c:f>Sheet2!$G$1</c:f>
              <c:strCache>
                <c:ptCount val="1"/>
                <c:pt idx="0">
                  <c:v>FTREX-BDD</c:v>
                </c:pt>
              </c:strCache>
            </c:strRef>
          </c:tx>
          <c:spPr>
            <a:ln w="19050" cap="rnd">
              <a:noFill/>
              <a:round/>
            </a:ln>
            <a:effectLst/>
          </c:spPr>
          <c:marker>
            <c:symbol val="circle"/>
            <c:size val="5"/>
            <c:spPr>
              <a:solidFill>
                <a:schemeClr val="accent6"/>
              </a:solidFill>
              <a:ln w="9525">
                <a:solidFill>
                  <a:schemeClr val="accent6"/>
                </a:solidFill>
              </a:ln>
              <a:effectLst/>
            </c:spPr>
          </c:marker>
          <c:xVal>
            <c:strRef>
              <c:f>Sheet2!$A$2:$A$15</c:f>
              <c:strCache>
                <c:ptCount val="14"/>
                <c:pt idx="0">
                  <c:v>100-01</c:v>
                </c:pt>
                <c:pt idx="1">
                  <c:v>100-02</c:v>
                </c:pt>
                <c:pt idx="2">
                  <c:v>100-03</c:v>
                </c:pt>
                <c:pt idx="3">
                  <c:v>100-04</c:v>
                </c:pt>
                <c:pt idx="4">
                  <c:v>100-05</c:v>
                </c:pt>
                <c:pt idx="5">
                  <c:v>100-06</c:v>
                </c:pt>
                <c:pt idx="6">
                  <c:v>100-07</c:v>
                </c:pt>
                <c:pt idx="7">
                  <c:v>100-08</c:v>
                </c:pt>
                <c:pt idx="8">
                  <c:v>100-09</c:v>
                </c:pt>
                <c:pt idx="9">
                  <c:v>200-01</c:v>
                </c:pt>
                <c:pt idx="10">
                  <c:v>200-03</c:v>
                </c:pt>
                <c:pt idx="11">
                  <c:v>200-04</c:v>
                </c:pt>
                <c:pt idx="12">
                  <c:v>200-05</c:v>
                </c:pt>
                <c:pt idx="13">
                  <c:v>200-06</c:v>
                </c:pt>
              </c:strCache>
            </c:strRef>
          </c:xVal>
          <c:yVal>
            <c:numRef>
              <c:f>Sheet2!$G$2:$G$15</c:f>
              <c:numCache>
                <c:formatCode>General</c:formatCode>
                <c:ptCount val="14"/>
                <c:pt idx="0">
                  <c:v>0.35600429214537099</c:v>
                </c:pt>
                <c:pt idx="1">
                  <c:v>0.36084339395165399</c:v>
                </c:pt>
                <c:pt idx="2">
                  <c:v>0.340483750216662</c:v>
                </c:pt>
                <c:pt idx="3">
                  <c:v>0.350411488674581</c:v>
                </c:pt>
                <c:pt idx="4">
                  <c:v>0.35218038875609597</c:v>
                </c:pt>
                <c:pt idx="5">
                  <c:v>0.3466861480847</c:v>
                </c:pt>
                <c:pt idx="6">
                  <c:v>0.34957290627062299</c:v>
                </c:pt>
                <c:pt idx="7">
                  <c:v>0.367333277128636</c:v>
                </c:pt>
                <c:pt idx="8">
                  <c:v>0.35535245481878502</c:v>
                </c:pt>
                <c:pt idx="9">
                  <c:v>0.35219176765531301</c:v>
                </c:pt>
                <c:pt idx="10">
                  <c:v>0.42094170581549401</c:v>
                </c:pt>
                <c:pt idx="11">
                  <c:v>0.4473332837224</c:v>
                </c:pt>
                <c:pt idx="12">
                  <c:v>1.1525586657225999</c:v>
                </c:pt>
                <c:pt idx="13">
                  <c:v>2.0445491718128301</c:v>
                </c:pt>
              </c:numCache>
            </c:numRef>
          </c:yVal>
          <c:smooth val="0"/>
          <c:extLst>
            <c:ext xmlns:c16="http://schemas.microsoft.com/office/drawing/2014/chart" uri="{C3380CC4-5D6E-409C-BE32-E72D297353CC}">
              <c16:uniqueId val="{00000005-4EA8-46B5-835E-0DD10B7C1A47}"/>
            </c:ext>
          </c:extLst>
        </c:ser>
        <c:ser>
          <c:idx val="6"/>
          <c:order val="6"/>
          <c:tx>
            <c:strRef>
              <c:f>Sheet2!$H$1</c:f>
              <c:strCache>
                <c:ptCount val="1"/>
                <c:pt idx="0">
                  <c:v>FTREX-ZDD</c:v>
                </c:pt>
              </c:strCache>
            </c:strRef>
          </c:tx>
          <c:spPr>
            <a:ln w="19050" cap="rnd">
              <a:noFill/>
              <a:round/>
            </a:ln>
            <a:effectLst/>
          </c:spPr>
          <c:marker>
            <c:symbol val="circle"/>
            <c:size val="5"/>
            <c:spPr>
              <a:solidFill>
                <a:schemeClr val="accent1">
                  <a:lumMod val="60000"/>
                </a:schemeClr>
              </a:solidFill>
              <a:ln w="9525">
                <a:solidFill>
                  <a:schemeClr val="accent1">
                    <a:lumMod val="60000"/>
                  </a:schemeClr>
                </a:solidFill>
              </a:ln>
              <a:effectLst/>
            </c:spPr>
          </c:marker>
          <c:xVal>
            <c:strRef>
              <c:f>Sheet2!$A$2:$A$15</c:f>
              <c:strCache>
                <c:ptCount val="14"/>
                <c:pt idx="0">
                  <c:v>100-01</c:v>
                </c:pt>
                <c:pt idx="1">
                  <c:v>100-02</c:v>
                </c:pt>
                <c:pt idx="2">
                  <c:v>100-03</c:v>
                </c:pt>
                <c:pt idx="3">
                  <c:v>100-04</c:v>
                </c:pt>
                <c:pt idx="4">
                  <c:v>100-05</c:v>
                </c:pt>
                <c:pt idx="5">
                  <c:v>100-06</c:v>
                </c:pt>
                <c:pt idx="6">
                  <c:v>100-07</c:v>
                </c:pt>
                <c:pt idx="7">
                  <c:v>100-08</c:v>
                </c:pt>
                <c:pt idx="8">
                  <c:v>100-09</c:v>
                </c:pt>
                <c:pt idx="9">
                  <c:v>200-01</c:v>
                </c:pt>
                <c:pt idx="10">
                  <c:v>200-03</c:v>
                </c:pt>
                <c:pt idx="11">
                  <c:v>200-04</c:v>
                </c:pt>
                <c:pt idx="12">
                  <c:v>200-05</c:v>
                </c:pt>
                <c:pt idx="13">
                  <c:v>200-06</c:v>
                </c:pt>
              </c:strCache>
            </c:strRef>
          </c:xVal>
          <c:yVal>
            <c:numRef>
              <c:f>Sheet2!$H$2:$H$15</c:f>
              <c:numCache>
                <c:formatCode>General</c:formatCode>
                <c:ptCount val="14"/>
                <c:pt idx="0">
                  <c:v>0.35538480523973698</c:v>
                </c:pt>
                <c:pt idx="1">
                  <c:v>0.36112267989665198</c:v>
                </c:pt>
                <c:pt idx="2">
                  <c:v>0.38132703490555198</c:v>
                </c:pt>
                <c:pt idx="3">
                  <c:v>0.35771398339420502</c:v>
                </c:pt>
                <c:pt idx="4">
                  <c:v>0.34629368409514399</c:v>
                </c:pt>
                <c:pt idx="5">
                  <c:v>0.35680489800870402</c:v>
                </c:pt>
                <c:pt idx="6">
                  <c:v>0.35848832037299799</c:v>
                </c:pt>
                <c:pt idx="7">
                  <c:v>0.40125190466642302</c:v>
                </c:pt>
                <c:pt idx="8">
                  <c:v>0.40653518214821799</c:v>
                </c:pt>
                <c:pt idx="9">
                  <c:v>0.35600841231644098</c:v>
                </c:pt>
                <c:pt idx="10">
                  <c:v>1.4852784844115301</c:v>
                </c:pt>
                <c:pt idx="11">
                  <c:v>0.35742154810577598</c:v>
                </c:pt>
                <c:pt idx="12">
                  <c:v>0.399933689273893</c:v>
                </c:pt>
                <c:pt idx="13">
                  <c:v>0.60312035121023599</c:v>
                </c:pt>
              </c:numCache>
            </c:numRef>
          </c:yVal>
          <c:smooth val="0"/>
          <c:extLst>
            <c:ext xmlns:c16="http://schemas.microsoft.com/office/drawing/2014/chart" uri="{C3380CC4-5D6E-409C-BE32-E72D297353CC}">
              <c16:uniqueId val="{00000006-4EA8-46B5-835E-0DD10B7C1A47}"/>
            </c:ext>
          </c:extLst>
        </c:ser>
        <c:dLbls>
          <c:showLegendKey val="0"/>
          <c:showVal val="0"/>
          <c:showCatName val="0"/>
          <c:showSerName val="0"/>
          <c:showPercent val="0"/>
          <c:showBubbleSize val="0"/>
        </c:dLbls>
        <c:axId val="561432223"/>
        <c:axId val="500330239"/>
      </c:scatterChart>
      <c:valAx>
        <c:axId val="56143222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330239"/>
        <c:crosses val="autoZero"/>
        <c:crossBetween val="midCat"/>
      </c:valAx>
      <c:valAx>
        <c:axId val="500330239"/>
        <c:scaling>
          <c:logBase val="10"/>
          <c:orientation val="minMax"/>
          <c:max val="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4322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Sheet3!$B$1</c:f>
              <c:strCache>
                <c:ptCount val="1"/>
                <c:pt idx="0">
                  <c:v>XFTA</c:v>
                </c:pt>
              </c:strCache>
            </c:strRef>
          </c:tx>
          <c:spPr>
            <a:ln w="19050" cap="rnd">
              <a:noFill/>
              <a:round/>
            </a:ln>
            <a:effectLst/>
          </c:spPr>
          <c:marker>
            <c:symbol val="circle"/>
            <c:size val="5"/>
            <c:spPr>
              <a:solidFill>
                <a:schemeClr val="accent1"/>
              </a:solidFill>
              <a:ln w="50800">
                <a:solidFill>
                  <a:srgbClr val="00B050"/>
                </a:solidFill>
              </a:ln>
              <a:effectLst/>
            </c:spPr>
          </c:marker>
          <c:xVal>
            <c:strRef>
              <c:f>Sheet3!$A$2:$A$7</c:f>
              <c:strCache>
                <c:ptCount val="6"/>
                <c:pt idx="0">
                  <c:v>ccf1-100-05</c:v>
                </c:pt>
                <c:pt idx="1">
                  <c:v>ccf2-100-05</c:v>
                </c:pt>
                <c:pt idx="2">
                  <c:v>ccf3-100-05</c:v>
                </c:pt>
                <c:pt idx="3">
                  <c:v>ccf1-200-05</c:v>
                </c:pt>
                <c:pt idx="4">
                  <c:v>ccf2-200-05</c:v>
                </c:pt>
                <c:pt idx="5">
                  <c:v>ccf3-200-05</c:v>
                </c:pt>
              </c:strCache>
            </c:strRef>
          </c:xVal>
          <c:yVal>
            <c:numRef>
              <c:f>Sheet3!$B$2:$B$7</c:f>
              <c:numCache>
                <c:formatCode>General</c:formatCode>
                <c:ptCount val="6"/>
                <c:pt idx="0">
                  <c:v>3.6760888999999998E-2</c:v>
                </c:pt>
                <c:pt idx="1">
                  <c:v>2.8130930780000001</c:v>
                </c:pt>
                <c:pt idx="2">
                  <c:v>47.590023115999998</c:v>
                </c:pt>
                <c:pt idx="3">
                  <c:v>1.4992862360000001</c:v>
                </c:pt>
                <c:pt idx="4">
                  <c:v>23.549590503000001</c:v>
                </c:pt>
                <c:pt idx="5">
                  <c:v>213.71024798400001</c:v>
                </c:pt>
              </c:numCache>
            </c:numRef>
          </c:yVal>
          <c:smooth val="0"/>
          <c:extLst>
            <c:ext xmlns:c16="http://schemas.microsoft.com/office/drawing/2014/chart" uri="{C3380CC4-5D6E-409C-BE32-E72D297353CC}">
              <c16:uniqueId val="{00000000-A81F-4137-BD9E-BC3FD55FAFAF}"/>
            </c:ext>
          </c:extLst>
        </c:ser>
        <c:ser>
          <c:idx val="1"/>
          <c:order val="1"/>
          <c:tx>
            <c:strRef>
              <c:f>Sheet3!$C$1</c:f>
              <c:strCache>
                <c:ptCount val="1"/>
                <c:pt idx="0">
                  <c:v>SCRAM-BDD</c:v>
                </c:pt>
              </c:strCache>
            </c:strRef>
          </c:tx>
          <c:spPr>
            <a:ln w="19050" cap="rnd">
              <a:noFill/>
              <a:round/>
            </a:ln>
            <a:effectLst/>
          </c:spPr>
          <c:marker>
            <c:symbol val="circle"/>
            <c:size val="5"/>
            <c:spPr>
              <a:solidFill>
                <a:schemeClr val="accent2"/>
              </a:solidFill>
              <a:ln w="50800">
                <a:solidFill>
                  <a:srgbClr val="7030A0"/>
                </a:solidFill>
              </a:ln>
              <a:effectLst/>
            </c:spPr>
          </c:marker>
          <c:xVal>
            <c:strRef>
              <c:f>Sheet3!$A$2:$A$7</c:f>
              <c:strCache>
                <c:ptCount val="6"/>
                <c:pt idx="0">
                  <c:v>ccf1-100-05</c:v>
                </c:pt>
                <c:pt idx="1">
                  <c:v>ccf2-100-05</c:v>
                </c:pt>
                <c:pt idx="2">
                  <c:v>ccf3-100-05</c:v>
                </c:pt>
                <c:pt idx="3">
                  <c:v>ccf1-200-05</c:v>
                </c:pt>
                <c:pt idx="4">
                  <c:v>ccf2-200-05</c:v>
                </c:pt>
                <c:pt idx="5">
                  <c:v>ccf3-200-05</c:v>
                </c:pt>
              </c:strCache>
            </c:strRef>
          </c:xVal>
          <c:yVal>
            <c:numRef>
              <c:f>Sheet3!$C$2:$C$7</c:f>
              <c:numCache>
                <c:formatCode>General</c:formatCode>
                <c:ptCount val="6"/>
                <c:pt idx="0">
                  <c:v>0.112576778</c:v>
                </c:pt>
                <c:pt idx="1">
                  <c:v>2.84156977</c:v>
                </c:pt>
                <c:pt idx="2">
                  <c:v>48.333348209999997</c:v>
                </c:pt>
                <c:pt idx="3">
                  <c:v>1.176530842</c:v>
                </c:pt>
                <c:pt idx="4">
                  <c:v>16.807068467000001</c:v>
                </c:pt>
                <c:pt idx="5">
                  <c:v>152.107668872</c:v>
                </c:pt>
              </c:numCache>
            </c:numRef>
          </c:yVal>
          <c:smooth val="0"/>
          <c:extLst>
            <c:ext xmlns:c16="http://schemas.microsoft.com/office/drawing/2014/chart" uri="{C3380CC4-5D6E-409C-BE32-E72D297353CC}">
              <c16:uniqueId val="{00000001-A81F-4137-BD9E-BC3FD55FAFAF}"/>
            </c:ext>
          </c:extLst>
        </c:ser>
        <c:ser>
          <c:idx val="2"/>
          <c:order val="2"/>
          <c:tx>
            <c:strRef>
              <c:f>Sheet3!$D$1</c:f>
              <c:strCache>
                <c:ptCount val="1"/>
                <c:pt idx="0">
                  <c:v>SCRAM-MOCUS</c:v>
                </c:pt>
              </c:strCache>
            </c:strRef>
          </c:tx>
          <c:spPr>
            <a:ln w="19050" cap="rnd">
              <a:noFill/>
              <a:round/>
            </a:ln>
            <a:effectLst/>
          </c:spPr>
          <c:marker>
            <c:symbol val="circle"/>
            <c:size val="5"/>
            <c:spPr>
              <a:solidFill>
                <a:schemeClr val="accent3"/>
              </a:solidFill>
              <a:ln w="50800">
                <a:solidFill>
                  <a:schemeClr val="accent4"/>
                </a:solidFill>
              </a:ln>
              <a:effectLst/>
            </c:spPr>
          </c:marker>
          <c:xVal>
            <c:strRef>
              <c:f>Sheet3!$A$2:$A$7</c:f>
              <c:strCache>
                <c:ptCount val="6"/>
                <c:pt idx="0">
                  <c:v>ccf1-100-05</c:v>
                </c:pt>
                <c:pt idx="1">
                  <c:v>ccf2-100-05</c:v>
                </c:pt>
                <c:pt idx="2">
                  <c:v>ccf3-100-05</c:v>
                </c:pt>
                <c:pt idx="3">
                  <c:v>ccf1-200-05</c:v>
                </c:pt>
                <c:pt idx="4">
                  <c:v>ccf2-200-05</c:v>
                </c:pt>
                <c:pt idx="5">
                  <c:v>ccf3-200-05</c:v>
                </c:pt>
              </c:strCache>
            </c:strRef>
          </c:xVal>
          <c:yVal>
            <c:numRef>
              <c:f>Sheet3!$D$2:$D$7</c:f>
              <c:numCache>
                <c:formatCode>General</c:formatCode>
                <c:ptCount val="6"/>
                <c:pt idx="0">
                  <c:v>0.11676247300000001</c:v>
                </c:pt>
                <c:pt idx="1">
                  <c:v>3.1006338119999999</c:v>
                </c:pt>
                <c:pt idx="2">
                  <c:v>49.136650009</c:v>
                </c:pt>
                <c:pt idx="3">
                  <c:v>1.1896825529999999</c:v>
                </c:pt>
                <c:pt idx="4">
                  <c:v>16.816384222</c:v>
                </c:pt>
                <c:pt idx="5">
                  <c:v>149.539492276</c:v>
                </c:pt>
              </c:numCache>
            </c:numRef>
          </c:yVal>
          <c:smooth val="0"/>
          <c:extLst>
            <c:ext xmlns:c16="http://schemas.microsoft.com/office/drawing/2014/chart" uri="{C3380CC4-5D6E-409C-BE32-E72D297353CC}">
              <c16:uniqueId val="{00000002-A81F-4137-BD9E-BC3FD55FAFAF}"/>
            </c:ext>
          </c:extLst>
        </c:ser>
        <c:ser>
          <c:idx val="3"/>
          <c:order val="3"/>
          <c:tx>
            <c:strRef>
              <c:f>Sheet3!$E$1</c:f>
              <c:strCache>
                <c:ptCount val="1"/>
                <c:pt idx="0">
                  <c:v>SCRAM-ZBDD</c:v>
                </c:pt>
              </c:strCache>
            </c:strRef>
          </c:tx>
          <c:spPr>
            <a:ln w="19050" cap="rnd">
              <a:noFill/>
              <a:round/>
            </a:ln>
            <a:effectLst/>
          </c:spPr>
          <c:marker>
            <c:symbol val="circle"/>
            <c:size val="5"/>
            <c:spPr>
              <a:solidFill>
                <a:schemeClr val="accent4"/>
              </a:solidFill>
              <a:ln w="50800">
                <a:solidFill>
                  <a:schemeClr val="accent5"/>
                </a:solidFill>
              </a:ln>
              <a:effectLst/>
            </c:spPr>
          </c:marker>
          <c:xVal>
            <c:strRef>
              <c:f>Sheet3!$A$2:$A$7</c:f>
              <c:strCache>
                <c:ptCount val="6"/>
                <c:pt idx="0">
                  <c:v>ccf1-100-05</c:v>
                </c:pt>
                <c:pt idx="1">
                  <c:v>ccf2-100-05</c:v>
                </c:pt>
                <c:pt idx="2">
                  <c:v>ccf3-100-05</c:v>
                </c:pt>
                <c:pt idx="3">
                  <c:v>ccf1-200-05</c:v>
                </c:pt>
                <c:pt idx="4">
                  <c:v>ccf2-200-05</c:v>
                </c:pt>
                <c:pt idx="5">
                  <c:v>ccf3-200-05</c:v>
                </c:pt>
              </c:strCache>
            </c:strRef>
          </c:xVal>
          <c:yVal>
            <c:numRef>
              <c:f>Sheet3!$E$2:$E$7</c:f>
              <c:numCache>
                <c:formatCode>General</c:formatCode>
                <c:ptCount val="6"/>
                <c:pt idx="0">
                  <c:v>0.102610805</c:v>
                </c:pt>
                <c:pt idx="1">
                  <c:v>2.8968663480000001</c:v>
                </c:pt>
                <c:pt idx="2">
                  <c:v>48.459245586999998</c:v>
                </c:pt>
                <c:pt idx="3">
                  <c:v>1.153946672</c:v>
                </c:pt>
                <c:pt idx="4">
                  <c:v>17.221681088</c:v>
                </c:pt>
                <c:pt idx="5">
                  <c:v>149.64532529300001</c:v>
                </c:pt>
              </c:numCache>
            </c:numRef>
          </c:yVal>
          <c:smooth val="0"/>
          <c:extLst>
            <c:ext xmlns:c16="http://schemas.microsoft.com/office/drawing/2014/chart" uri="{C3380CC4-5D6E-409C-BE32-E72D297353CC}">
              <c16:uniqueId val="{00000003-A81F-4137-BD9E-BC3FD55FAFAF}"/>
            </c:ext>
          </c:extLst>
        </c:ser>
        <c:dLbls>
          <c:showLegendKey val="0"/>
          <c:showVal val="0"/>
          <c:showCatName val="0"/>
          <c:showSerName val="0"/>
          <c:showPercent val="0"/>
          <c:showBubbleSize val="0"/>
        </c:dLbls>
        <c:axId val="653565472"/>
        <c:axId val="612282864"/>
      </c:scatterChart>
      <c:valAx>
        <c:axId val="6535654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b="1">
                    <a:solidFill>
                      <a:sysClr val="windowText" lastClr="000000"/>
                    </a:solidFill>
                  </a:rPr>
                  <a:t>Input</a:t>
                </a:r>
                <a:r>
                  <a:rPr lang="en-US" sz="2000" b="1" baseline="0">
                    <a:solidFill>
                      <a:sysClr val="windowText" lastClr="000000"/>
                    </a:solidFill>
                  </a:rPr>
                  <a:t> models</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crossAx val="612282864"/>
        <c:crosses val="autoZero"/>
        <c:crossBetween val="midCat"/>
      </c:valAx>
      <c:valAx>
        <c:axId val="612282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b="1">
                    <a:solidFill>
                      <a:sysClr val="windowText" lastClr="000000"/>
                    </a:solidFill>
                  </a:rPr>
                  <a:t>CPU</a:t>
                </a:r>
                <a:r>
                  <a:rPr lang="en-US" sz="2000" b="1" baseline="0">
                    <a:solidFill>
                      <a:sysClr val="windowText" lastClr="000000"/>
                    </a:solidFill>
                  </a:rPr>
                  <a:t> Time (sec)</a:t>
                </a:r>
                <a:endParaRPr lang="en-US" sz="2000"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crossAx val="653565472"/>
        <c:crosses val="autoZero"/>
        <c:crossBetween val="midCat"/>
      </c:valAx>
      <c:spPr>
        <a:noFill/>
        <a:ln>
          <a:noFill/>
        </a:ln>
        <a:effectLst/>
      </c:spPr>
    </c:plotArea>
    <c:legend>
      <c:legendPos val="b"/>
      <c:layout>
        <c:manualLayout>
          <c:xMode val="edge"/>
          <c:yMode val="edge"/>
          <c:x val="0.12153154274835147"/>
          <c:y val="4.965987420568576E-2"/>
          <c:w val="0.24946385286775183"/>
          <c:h val="0.26525752753973414"/>
        </c:manualLayout>
      </c:layout>
      <c:overlay val="0"/>
      <c:spPr>
        <a:noFill/>
        <a:ln>
          <a:noFill/>
        </a:ln>
        <a:effectLst/>
      </c:spPr>
      <c:txPr>
        <a:bodyPr rot="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Sheet3!$K$1</c:f>
              <c:strCache>
                <c:ptCount val="1"/>
                <c:pt idx="0">
                  <c:v>XFTA</c:v>
                </c:pt>
              </c:strCache>
            </c:strRef>
          </c:tx>
          <c:spPr>
            <a:ln w="19050" cap="rnd">
              <a:noFill/>
              <a:round/>
            </a:ln>
            <a:effectLst/>
          </c:spPr>
          <c:marker>
            <c:symbol val="circle"/>
            <c:size val="5"/>
            <c:spPr>
              <a:solidFill>
                <a:srgbClr val="00B050"/>
              </a:solidFill>
              <a:ln w="50800">
                <a:solidFill>
                  <a:srgbClr val="00B050"/>
                </a:solidFill>
              </a:ln>
              <a:effectLst/>
            </c:spPr>
          </c:marker>
          <c:xVal>
            <c:strRef>
              <c:f>Sheet3!$J$2:$J$7</c:f>
              <c:strCache>
                <c:ptCount val="6"/>
                <c:pt idx="0">
                  <c:v>ccf1-100-05</c:v>
                </c:pt>
                <c:pt idx="1">
                  <c:v>ccf2-100-05</c:v>
                </c:pt>
                <c:pt idx="2">
                  <c:v>ccf3-100-05</c:v>
                </c:pt>
                <c:pt idx="3">
                  <c:v>ccf1-200-05</c:v>
                </c:pt>
                <c:pt idx="4">
                  <c:v>ccf2-200-05</c:v>
                </c:pt>
                <c:pt idx="5">
                  <c:v>ccf3-200-05</c:v>
                </c:pt>
              </c:strCache>
            </c:strRef>
          </c:xVal>
          <c:yVal>
            <c:numRef>
              <c:f>Sheet3!$K$2:$K$7</c:f>
              <c:numCache>
                <c:formatCode>General</c:formatCode>
                <c:ptCount val="6"/>
                <c:pt idx="0">
                  <c:v>4.6284799999999997</c:v>
                </c:pt>
                <c:pt idx="1">
                  <c:v>45.707264000000002</c:v>
                </c:pt>
                <c:pt idx="2">
                  <c:v>415.62521600000002</c:v>
                </c:pt>
                <c:pt idx="3">
                  <c:v>13.348864000000001</c:v>
                </c:pt>
                <c:pt idx="4">
                  <c:v>168.78796800000001</c:v>
                </c:pt>
                <c:pt idx="5">
                  <c:v>1129.6890880000001</c:v>
                </c:pt>
              </c:numCache>
            </c:numRef>
          </c:yVal>
          <c:smooth val="0"/>
          <c:extLst>
            <c:ext xmlns:c16="http://schemas.microsoft.com/office/drawing/2014/chart" uri="{C3380CC4-5D6E-409C-BE32-E72D297353CC}">
              <c16:uniqueId val="{00000000-5639-42DA-B6F9-7DC81F3476C4}"/>
            </c:ext>
          </c:extLst>
        </c:ser>
        <c:ser>
          <c:idx val="1"/>
          <c:order val="1"/>
          <c:tx>
            <c:strRef>
              <c:f>Sheet3!$L$1</c:f>
              <c:strCache>
                <c:ptCount val="1"/>
                <c:pt idx="0">
                  <c:v>SCRAM-BDD</c:v>
                </c:pt>
              </c:strCache>
            </c:strRef>
          </c:tx>
          <c:spPr>
            <a:ln w="19050" cap="rnd">
              <a:noFill/>
              <a:round/>
            </a:ln>
            <a:effectLst/>
          </c:spPr>
          <c:marker>
            <c:symbol val="circle"/>
            <c:size val="5"/>
            <c:spPr>
              <a:solidFill>
                <a:schemeClr val="accent2"/>
              </a:solidFill>
              <a:ln w="50800">
                <a:solidFill>
                  <a:srgbClr val="7030A0"/>
                </a:solidFill>
              </a:ln>
              <a:effectLst/>
            </c:spPr>
          </c:marker>
          <c:xVal>
            <c:strRef>
              <c:f>Sheet3!$J$2:$J$7</c:f>
              <c:strCache>
                <c:ptCount val="6"/>
                <c:pt idx="0">
                  <c:v>ccf1-100-05</c:v>
                </c:pt>
                <c:pt idx="1">
                  <c:v>ccf2-100-05</c:v>
                </c:pt>
                <c:pt idx="2">
                  <c:v>ccf3-100-05</c:v>
                </c:pt>
                <c:pt idx="3">
                  <c:v>ccf1-200-05</c:v>
                </c:pt>
                <c:pt idx="4">
                  <c:v>ccf2-200-05</c:v>
                </c:pt>
                <c:pt idx="5">
                  <c:v>ccf3-200-05</c:v>
                </c:pt>
              </c:strCache>
            </c:strRef>
          </c:xVal>
          <c:yVal>
            <c:numRef>
              <c:f>Sheet3!$L$2:$L$7</c:f>
              <c:numCache>
                <c:formatCode>General</c:formatCode>
                <c:ptCount val="6"/>
                <c:pt idx="0">
                  <c:v>6.3283199999999997</c:v>
                </c:pt>
                <c:pt idx="1">
                  <c:v>6.6969599999999998</c:v>
                </c:pt>
                <c:pt idx="2">
                  <c:v>6.9918719999999999</c:v>
                </c:pt>
                <c:pt idx="3">
                  <c:v>7.2581119999999997</c:v>
                </c:pt>
                <c:pt idx="4">
                  <c:v>13.021184</c:v>
                </c:pt>
                <c:pt idx="5">
                  <c:v>78.917631999999998</c:v>
                </c:pt>
              </c:numCache>
            </c:numRef>
          </c:yVal>
          <c:smooth val="0"/>
          <c:extLst>
            <c:ext xmlns:c16="http://schemas.microsoft.com/office/drawing/2014/chart" uri="{C3380CC4-5D6E-409C-BE32-E72D297353CC}">
              <c16:uniqueId val="{00000001-5639-42DA-B6F9-7DC81F3476C4}"/>
            </c:ext>
          </c:extLst>
        </c:ser>
        <c:ser>
          <c:idx val="2"/>
          <c:order val="2"/>
          <c:tx>
            <c:strRef>
              <c:f>Sheet3!$M$1</c:f>
              <c:strCache>
                <c:ptCount val="1"/>
                <c:pt idx="0">
                  <c:v>SCRAM-MOCUS</c:v>
                </c:pt>
              </c:strCache>
            </c:strRef>
          </c:tx>
          <c:spPr>
            <a:ln w="19050" cap="rnd">
              <a:noFill/>
              <a:round/>
            </a:ln>
            <a:effectLst/>
          </c:spPr>
          <c:marker>
            <c:symbol val="circle"/>
            <c:size val="5"/>
            <c:spPr>
              <a:solidFill>
                <a:schemeClr val="accent3"/>
              </a:solidFill>
              <a:ln w="50800">
                <a:solidFill>
                  <a:schemeClr val="accent4"/>
                </a:solidFill>
              </a:ln>
              <a:effectLst/>
            </c:spPr>
          </c:marker>
          <c:xVal>
            <c:strRef>
              <c:f>Sheet3!$J$2:$J$7</c:f>
              <c:strCache>
                <c:ptCount val="6"/>
                <c:pt idx="0">
                  <c:v>ccf1-100-05</c:v>
                </c:pt>
                <c:pt idx="1">
                  <c:v>ccf2-100-05</c:v>
                </c:pt>
                <c:pt idx="2">
                  <c:v>ccf3-100-05</c:v>
                </c:pt>
                <c:pt idx="3">
                  <c:v>ccf1-200-05</c:v>
                </c:pt>
                <c:pt idx="4">
                  <c:v>ccf2-200-05</c:v>
                </c:pt>
                <c:pt idx="5">
                  <c:v>ccf3-200-05</c:v>
                </c:pt>
              </c:strCache>
            </c:strRef>
          </c:xVal>
          <c:yVal>
            <c:numRef>
              <c:f>Sheet3!$M$2:$M$7</c:f>
              <c:numCache>
                <c:formatCode>General</c:formatCode>
                <c:ptCount val="6"/>
                <c:pt idx="0">
                  <c:v>6.1972480000000001</c:v>
                </c:pt>
                <c:pt idx="1">
                  <c:v>6.5986560000000001</c:v>
                </c:pt>
                <c:pt idx="2">
                  <c:v>6.8567039999999997</c:v>
                </c:pt>
                <c:pt idx="3">
                  <c:v>6.7215360000000004</c:v>
                </c:pt>
                <c:pt idx="4">
                  <c:v>7.5161600000000002</c:v>
                </c:pt>
                <c:pt idx="5">
                  <c:v>8.3025920000000006</c:v>
                </c:pt>
              </c:numCache>
            </c:numRef>
          </c:yVal>
          <c:smooth val="0"/>
          <c:extLst>
            <c:ext xmlns:c16="http://schemas.microsoft.com/office/drawing/2014/chart" uri="{C3380CC4-5D6E-409C-BE32-E72D297353CC}">
              <c16:uniqueId val="{00000002-5639-42DA-B6F9-7DC81F3476C4}"/>
            </c:ext>
          </c:extLst>
        </c:ser>
        <c:ser>
          <c:idx val="3"/>
          <c:order val="3"/>
          <c:tx>
            <c:strRef>
              <c:f>Sheet3!$N$1</c:f>
              <c:strCache>
                <c:ptCount val="1"/>
                <c:pt idx="0">
                  <c:v>SCRAM-ZBDD</c:v>
                </c:pt>
              </c:strCache>
            </c:strRef>
          </c:tx>
          <c:spPr>
            <a:ln w="19050" cap="rnd">
              <a:noFill/>
              <a:round/>
            </a:ln>
            <a:effectLst/>
          </c:spPr>
          <c:marker>
            <c:symbol val="circle"/>
            <c:size val="5"/>
            <c:spPr>
              <a:solidFill>
                <a:schemeClr val="accent4"/>
              </a:solidFill>
              <a:ln w="50800">
                <a:solidFill>
                  <a:schemeClr val="accent5"/>
                </a:solidFill>
              </a:ln>
              <a:effectLst/>
            </c:spPr>
          </c:marker>
          <c:xVal>
            <c:strRef>
              <c:f>Sheet3!$J$2:$J$7</c:f>
              <c:strCache>
                <c:ptCount val="6"/>
                <c:pt idx="0">
                  <c:v>ccf1-100-05</c:v>
                </c:pt>
                <c:pt idx="1">
                  <c:v>ccf2-100-05</c:v>
                </c:pt>
                <c:pt idx="2">
                  <c:v>ccf3-100-05</c:v>
                </c:pt>
                <c:pt idx="3">
                  <c:v>ccf1-200-05</c:v>
                </c:pt>
                <c:pt idx="4">
                  <c:v>ccf2-200-05</c:v>
                </c:pt>
                <c:pt idx="5">
                  <c:v>ccf3-200-05</c:v>
                </c:pt>
              </c:strCache>
            </c:strRef>
          </c:xVal>
          <c:yVal>
            <c:numRef>
              <c:f>Sheet3!$N$2:$N$7</c:f>
              <c:numCache>
                <c:formatCode>General</c:formatCode>
                <c:ptCount val="6"/>
                <c:pt idx="0">
                  <c:v>6.1931520000000004</c:v>
                </c:pt>
                <c:pt idx="1">
                  <c:v>6.5617919999999996</c:v>
                </c:pt>
                <c:pt idx="2">
                  <c:v>6.9017600000000003</c:v>
                </c:pt>
                <c:pt idx="3">
                  <c:v>6.7624959999999996</c:v>
                </c:pt>
                <c:pt idx="4">
                  <c:v>7.6513280000000004</c:v>
                </c:pt>
                <c:pt idx="5">
                  <c:v>8.6958079999999995</c:v>
                </c:pt>
              </c:numCache>
            </c:numRef>
          </c:yVal>
          <c:smooth val="0"/>
          <c:extLst>
            <c:ext xmlns:c16="http://schemas.microsoft.com/office/drawing/2014/chart" uri="{C3380CC4-5D6E-409C-BE32-E72D297353CC}">
              <c16:uniqueId val="{00000003-5639-42DA-B6F9-7DC81F3476C4}"/>
            </c:ext>
          </c:extLst>
        </c:ser>
        <c:dLbls>
          <c:showLegendKey val="0"/>
          <c:showVal val="0"/>
          <c:showCatName val="0"/>
          <c:showSerName val="0"/>
          <c:showPercent val="0"/>
          <c:showBubbleSize val="0"/>
        </c:dLbls>
        <c:axId val="670944576"/>
        <c:axId val="604260112"/>
      </c:scatterChart>
      <c:valAx>
        <c:axId val="6709445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b="1">
                    <a:solidFill>
                      <a:sysClr val="windowText" lastClr="000000"/>
                    </a:solidFill>
                  </a:rPr>
                  <a:t>Input</a:t>
                </a:r>
                <a:r>
                  <a:rPr lang="en-US" sz="2000" b="1" baseline="0">
                    <a:solidFill>
                      <a:sysClr val="windowText" lastClr="000000"/>
                    </a:solidFill>
                  </a:rPr>
                  <a:t> models</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604260112"/>
        <c:crosses val="autoZero"/>
        <c:crossBetween val="midCat"/>
      </c:valAx>
      <c:valAx>
        <c:axId val="604260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sz="2000" b="1">
                    <a:solidFill>
                      <a:sysClr val="windowText" lastClr="000000"/>
                    </a:solidFill>
                  </a:rPr>
                  <a:t>Memory</a:t>
                </a:r>
                <a:r>
                  <a:rPr lang="en-US" sz="2000" b="1" baseline="0">
                    <a:solidFill>
                      <a:sysClr val="windowText" lastClr="000000"/>
                    </a:solidFill>
                  </a:rPr>
                  <a:t> (MB)</a:t>
                </a:r>
                <a:endParaRPr lang="en-US" sz="2000"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crossAx val="670944576"/>
        <c:crosses val="autoZero"/>
        <c:crossBetween val="midCat"/>
      </c:valAx>
      <c:spPr>
        <a:noFill/>
        <a:ln>
          <a:noFill/>
        </a:ln>
        <a:effectLst/>
      </c:spPr>
    </c:plotArea>
    <c:legend>
      <c:legendPos val="b"/>
      <c:layout>
        <c:manualLayout>
          <c:xMode val="edge"/>
          <c:yMode val="edge"/>
          <c:x val="0.14611340249135524"/>
          <c:y val="6.0799792297343766E-2"/>
          <c:w val="0.20425290588676415"/>
          <c:h val="0.3025171852581105"/>
        </c:manualLayout>
      </c:layout>
      <c:overlay val="0"/>
      <c:spPr>
        <a:noFill/>
        <a:ln>
          <a:noFill/>
        </a:ln>
        <a:effectLst/>
      </c:spPr>
      <c:txPr>
        <a:bodyPr rot="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4" Type="http://schemas.openxmlformats.org/officeDocument/2006/relationships/chart" Target="../charts/chart31.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11</xdr:col>
      <xdr:colOff>449262</xdr:colOff>
      <xdr:row>35</xdr:row>
      <xdr:rowOff>85725</xdr:rowOff>
    </xdr:from>
    <xdr:to>
      <xdr:col>22</xdr:col>
      <xdr:colOff>266700</xdr:colOff>
      <xdr:row>52</xdr:row>
      <xdr:rowOff>171450</xdr:rowOff>
    </xdr:to>
    <xdr:graphicFrame macro="">
      <xdr:nvGraphicFramePr>
        <xdr:cNvPr id="2" name="Chart 1">
          <a:extLst>
            <a:ext uri="{FF2B5EF4-FFF2-40B4-BE49-F238E27FC236}">
              <a16:creationId xmlns:a16="http://schemas.microsoft.com/office/drawing/2014/main" id="{B99B2CCD-2F1B-7A74-721E-B2FA2696B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477837</xdr:colOff>
      <xdr:row>18</xdr:row>
      <xdr:rowOff>133350</xdr:rowOff>
    </xdr:from>
    <xdr:to>
      <xdr:col>22</xdr:col>
      <xdr:colOff>276225</xdr:colOff>
      <xdr:row>34</xdr:row>
      <xdr:rowOff>68262</xdr:rowOff>
    </xdr:to>
    <xdr:graphicFrame macro="">
      <xdr:nvGraphicFramePr>
        <xdr:cNvPr id="3" name="Chart 2">
          <a:extLst>
            <a:ext uri="{FF2B5EF4-FFF2-40B4-BE49-F238E27FC236}">
              <a16:creationId xmlns:a16="http://schemas.microsoft.com/office/drawing/2014/main" id="{34DB82F8-1140-F936-5ECB-9A542DB790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230186</xdr:colOff>
      <xdr:row>29</xdr:row>
      <xdr:rowOff>152400</xdr:rowOff>
    </xdr:from>
    <xdr:to>
      <xdr:col>26</xdr:col>
      <xdr:colOff>19049</xdr:colOff>
      <xdr:row>46</xdr:row>
      <xdr:rowOff>49212</xdr:rowOff>
    </xdr:to>
    <xdr:graphicFrame macro="">
      <xdr:nvGraphicFramePr>
        <xdr:cNvPr id="2" name="Chart 1">
          <a:extLst>
            <a:ext uri="{FF2B5EF4-FFF2-40B4-BE49-F238E27FC236}">
              <a16:creationId xmlns:a16="http://schemas.microsoft.com/office/drawing/2014/main" id="{19646F20-0F0F-4585-6AFD-B2BBCA77A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239711</xdr:colOff>
      <xdr:row>10</xdr:row>
      <xdr:rowOff>161925</xdr:rowOff>
    </xdr:from>
    <xdr:to>
      <xdr:col>26</xdr:col>
      <xdr:colOff>76200</xdr:colOff>
      <xdr:row>29</xdr:row>
      <xdr:rowOff>77787</xdr:rowOff>
    </xdr:to>
    <xdr:graphicFrame macro="">
      <xdr:nvGraphicFramePr>
        <xdr:cNvPr id="3" name="Chart 2">
          <a:extLst>
            <a:ext uri="{FF2B5EF4-FFF2-40B4-BE49-F238E27FC236}">
              <a16:creationId xmlns:a16="http://schemas.microsoft.com/office/drawing/2014/main" id="{77E52F62-AC52-FF43-3559-76E314E1B6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361951</xdr:colOff>
      <xdr:row>27</xdr:row>
      <xdr:rowOff>76199</xdr:rowOff>
    </xdr:from>
    <xdr:to>
      <xdr:col>26</xdr:col>
      <xdr:colOff>561975</xdr:colOff>
      <xdr:row>47</xdr:row>
      <xdr:rowOff>66674</xdr:rowOff>
    </xdr:to>
    <xdr:graphicFrame macro="">
      <xdr:nvGraphicFramePr>
        <xdr:cNvPr id="2" name="Chart 1">
          <a:extLst>
            <a:ext uri="{FF2B5EF4-FFF2-40B4-BE49-F238E27FC236}">
              <a16:creationId xmlns:a16="http://schemas.microsoft.com/office/drawing/2014/main" id="{CCD2E197-E158-7941-5240-D60E6DAA1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409575</xdr:colOff>
      <xdr:row>4</xdr:row>
      <xdr:rowOff>49211</xdr:rowOff>
    </xdr:from>
    <xdr:to>
      <xdr:col>26</xdr:col>
      <xdr:colOff>419100</xdr:colOff>
      <xdr:row>26</xdr:row>
      <xdr:rowOff>114300</xdr:rowOff>
    </xdr:to>
    <xdr:graphicFrame macro="">
      <xdr:nvGraphicFramePr>
        <xdr:cNvPr id="3" name="Chart 2">
          <a:extLst>
            <a:ext uri="{FF2B5EF4-FFF2-40B4-BE49-F238E27FC236}">
              <a16:creationId xmlns:a16="http://schemas.microsoft.com/office/drawing/2014/main" id="{570CE65B-2983-3B37-0DF5-52316E611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15</xdr:col>
      <xdr:colOff>552451</xdr:colOff>
      <xdr:row>27</xdr:row>
      <xdr:rowOff>171450</xdr:rowOff>
    </xdr:from>
    <xdr:to>
      <xdr:col>29</xdr:col>
      <xdr:colOff>523875</xdr:colOff>
      <xdr:row>49</xdr:row>
      <xdr:rowOff>171450</xdr:rowOff>
    </xdr:to>
    <xdr:graphicFrame macro="">
      <xdr:nvGraphicFramePr>
        <xdr:cNvPr id="2" name="Chart 1">
          <a:extLst>
            <a:ext uri="{FF2B5EF4-FFF2-40B4-BE49-F238E27FC236}">
              <a16:creationId xmlns:a16="http://schemas.microsoft.com/office/drawing/2014/main" id="{2E691B10-996D-0C6F-8E04-48146989F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466725</xdr:colOff>
      <xdr:row>0</xdr:row>
      <xdr:rowOff>125411</xdr:rowOff>
    </xdr:from>
    <xdr:to>
      <xdr:col>29</xdr:col>
      <xdr:colOff>533400</xdr:colOff>
      <xdr:row>26</xdr:row>
      <xdr:rowOff>85725</xdr:rowOff>
    </xdr:to>
    <xdr:graphicFrame macro="">
      <xdr:nvGraphicFramePr>
        <xdr:cNvPr id="3" name="Chart 2">
          <a:extLst>
            <a:ext uri="{FF2B5EF4-FFF2-40B4-BE49-F238E27FC236}">
              <a16:creationId xmlns:a16="http://schemas.microsoft.com/office/drawing/2014/main" id="{7C25FC7D-29F5-053F-D029-39E7CA481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495300</xdr:colOff>
      <xdr:row>25</xdr:row>
      <xdr:rowOff>39686</xdr:rowOff>
    </xdr:from>
    <xdr:to>
      <xdr:col>25</xdr:col>
      <xdr:colOff>361950</xdr:colOff>
      <xdr:row>45</xdr:row>
      <xdr:rowOff>152400</xdr:rowOff>
    </xdr:to>
    <xdr:graphicFrame macro="">
      <xdr:nvGraphicFramePr>
        <xdr:cNvPr id="3" name="Chart 2">
          <a:extLst>
            <a:ext uri="{FF2B5EF4-FFF2-40B4-BE49-F238E27FC236}">
              <a16:creationId xmlns:a16="http://schemas.microsoft.com/office/drawing/2014/main" id="{C989F058-3B26-47D5-EC76-D7416D33C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496886</xdr:colOff>
      <xdr:row>4</xdr:row>
      <xdr:rowOff>106361</xdr:rowOff>
    </xdr:from>
    <xdr:to>
      <xdr:col>25</xdr:col>
      <xdr:colOff>285749</xdr:colOff>
      <xdr:row>24</xdr:row>
      <xdr:rowOff>47624</xdr:rowOff>
    </xdr:to>
    <xdr:graphicFrame macro="">
      <xdr:nvGraphicFramePr>
        <xdr:cNvPr id="5" name="Chart 4">
          <a:extLst>
            <a:ext uri="{FF2B5EF4-FFF2-40B4-BE49-F238E27FC236}">
              <a16:creationId xmlns:a16="http://schemas.microsoft.com/office/drawing/2014/main" id="{A553DC03-0869-8538-E074-8D9A9E689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220662</xdr:colOff>
      <xdr:row>31</xdr:row>
      <xdr:rowOff>104774</xdr:rowOff>
    </xdr:from>
    <xdr:to>
      <xdr:col>24</xdr:col>
      <xdr:colOff>190500</xdr:colOff>
      <xdr:row>49</xdr:row>
      <xdr:rowOff>95249</xdr:rowOff>
    </xdr:to>
    <xdr:graphicFrame macro="">
      <xdr:nvGraphicFramePr>
        <xdr:cNvPr id="2" name="Chart 1">
          <a:extLst>
            <a:ext uri="{FF2B5EF4-FFF2-40B4-BE49-F238E27FC236}">
              <a16:creationId xmlns:a16="http://schemas.microsoft.com/office/drawing/2014/main" id="{6CD148F8-9FDA-3E83-F090-76017B5D3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192086</xdr:colOff>
      <xdr:row>10</xdr:row>
      <xdr:rowOff>114299</xdr:rowOff>
    </xdr:from>
    <xdr:to>
      <xdr:col>24</xdr:col>
      <xdr:colOff>95249</xdr:colOff>
      <xdr:row>29</xdr:row>
      <xdr:rowOff>142874</xdr:rowOff>
    </xdr:to>
    <xdr:graphicFrame macro="">
      <xdr:nvGraphicFramePr>
        <xdr:cNvPr id="4" name="Chart 3">
          <a:extLst>
            <a:ext uri="{FF2B5EF4-FFF2-40B4-BE49-F238E27FC236}">
              <a16:creationId xmlns:a16="http://schemas.microsoft.com/office/drawing/2014/main" id="{F8B86240-3D39-63C7-6DF1-BA95E76F1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1495424</xdr:colOff>
      <xdr:row>33</xdr:row>
      <xdr:rowOff>125411</xdr:rowOff>
    </xdr:from>
    <xdr:to>
      <xdr:col>5</xdr:col>
      <xdr:colOff>457199</xdr:colOff>
      <xdr:row>54</xdr:row>
      <xdr:rowOff>85724</xdr:rowOff>
    </xdr:to>
    <xdr:graphicFrame macro="">
      <xdr:nvGraphicFramePr>
        <xdr:cNvPr id="2" name="Chart 1">
          <a:extLst>
            <a:ext uri="{FF2B5EF4-FFF2-40B4-BE49-F238E27FC236}">
              <a16:creationId xmlns:a16="http://schemas.microsoft.com/office/drawing/2014/main" id="{B7A23818-04CF-3715-5BFD-4F1A45601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1314450</xdr:colOff>
      <xdr:row>33</xdr:row>
      <xdr:rowOff>171449</xdr:rowOff>
    </xdr:from>
    <xdr:to>
      <xdr:col>9</xdr:col>
      <xdr:colOff>1047750</xdr:colOff>
      <xdr:row>55</xdr:row>
      <xdr:rowOff>9524</xdr:rowOff>
    </xdr:to>
    <xdr:graphicFrame macro="">
      <xdr:nvGraphicFramePr>
        <xdr:cNvPr id="3" name="Chart 2">
          <a:extLst>
            <a:ext uri="{FF2B5EF4-FFF2-40B4-BE49-F238E27FC236}">
              <a16:creationId xmlns:a16="http://schemas.microsoft.com/office/drawing/2014/main" id="{9A91A268-D862-9EA6-1792-2BCE67423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13</xdr:col>
      <xdr:colOff>11111</xdr:colOff>
      <xdr:row>27</xdr:row>
      <xdr:rowOff>76200</xdr:rowOff>
    </xdr:from>
    <xdr:to>
      <xdr:col>22</xdr:col>
      <xdr:colOff>266699</xdr:colOff>
      <xdr:row>42</xdr:row>
      <xdr:rowOff>173037</xdr:rowOff>
    </xdr:to>
    <xdr:graphicFrame macro="">
      <xdr:nvGraphicFramePr>
        <xdr:cNvPr id="2" name="Chart 1">
          <a:extLst>
            <a:ext uri="{FF2B5EF4-FFF2-40B4-BE49-F238E27FC236}">
              <a16:creationId xmlns:a16="http://schemas.microsoft.com/office/drawing/2014/main" id="{63ED8150-A986-F94C-CBC4-57AB2D7EE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523875</xdr:colOff>
      <xdr:row>9</xdr:row>
      <xdr:rowOff>11112</xdr:rowOff>
    </xdr:from>
    <xdr:to>
      <xdr:col>22</xdr:col>
      <xdr:colOff>228600</xdr:colOff>
      <xdr:row>25</xdr:row>
      <xdr:rowOff>38100</xdr:rowOff>
    </xdr:to>
    <xdr:graphicFrame macro="">
      <xdr:nvGraphicFramePr>
        <xdr:cNvPr id="3" name="Chart 2">
          <a:extLst>
            <a:ext uri="{FF2B5EF4-FFF2-40B4-BE49-F238E27FC236}">
              <a16:creationId xmlns:a16="http://schemas.microsoft.com/office/drawing/2014/main" id="{12DE4382-081C-A3CF-F8D6-42B9D8635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13</xdr:col>
      <xdr:colOff>367347</xdr:colOff>
      <xdr:row>19</xdr:row>
      <xdr:rowOff>38100</xdr:rowOff>
    </xdr:from>
    <xdr:to>
      <xdr:col>21</xdr:col>
      <xdr:colOff>533400</xdr:colOff>
      <xdr:row>34</xdr:row>
      <xdr:rowOff>123507</xdr:rowOff>
    </xdr:to>
    <xdr:graphicFrame macro="">
      <xdr:nvGraphicFramePr>
        <xdr:cNvPr id="2" name="Chart 1">
          <a:extLst>
            <a:ext uri="{FF2B5EF4-FFF2-40B4-BE49-F238E27FC236}">
              <a16:creationId xmlns:a16="http://schemas.microsoft.com/office/drawing/2014/main" id="{A5A0CDC9-544A-0ADD-A8E9-54DFEA106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161925</xdr:colOff>
      <xdr:row>1</xdr:row>
      <xdr:rowOff>106362</xdr:rowOff>
    </xdr:from>
    <xdr:to>
      <xdr:col>20</xdr:col>
      <xdr:colOff>96837</xdr:colOff>
      <xdr:row>15</xdr:row>
      <xdr:rowOff>177800</xdr:rowOff>
    </xdr:to>
    <xdr:graphicFrame macro="">
      <xdr:nvGraphicFramePr>
        <xdr:cNvPr id="3" name="Chart 2">
          <a:extLst>
            <a:ext uri="{FF2B5EF4-FFF2-40B4-BE49-F238E27FC236}">
              <a16:creationId xmlns:a16="http://schemas.microsoft.com/office/drawing/2014/main" id="{D38890B4-B885-F987-9960-72A832285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449262</xdr:colOff>
      <xdr:row>25</xdr:row>
      <xdr:rowOff>77787</xdr:rowOff>
    </xdr:from>
    <xdr:to>
      <xdr:col>22</xdr:col>
      <xdr:colOff>144462</xdr:colOff>
      <xdr:row>39</xdr:row>
      <xdr:rowOff>153987</xdr:rowOff>
    </xdr:to>
    <xdr:graphicFrame macro="">
      <xdr:nvGraphicFramePr>
        <xdr:cNvPr id="3" name="Chart 2">
          <a:extLst>
            <a:ext uri="{FF2B5EF4-FFF2-40B4-BE49-F238E27FC236}">
              <a16:creationId xmlns:a16="http://schemas.microsoft.com/office/drawing/2014/main" id="{6946F03A-0386-76EA-32C8-5CBC070268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468312</xdr:colOff>
      <xdr:row>9</xdr:row>
      <xdr:rowOff>77787</xdr:rowOff>
    </xdr:from>
    <xdr:to>
      <xdr:col>22</xdr:col>
      <xdr:colOff>163512</xdr:colOff>
      <xdr:row>23</xdr:row>
      <xdr:rowOff>153987</xdr:rowOff>
    </xdr:to>
    <xdr:graphicFrame macro="">
      <xdr:nvGraphicFramePr>
        <xdr:cNvPr id="4" name="Chart 3">
          <a:extLst>
            <a:ext uri="{FF2B5EF4-FFF2-40B4-BE49-F238E27FC236}">
              <a16:creationId xmlns:a16="http://schemas.microsoft.com/office/drawing/2014/main" id="{F4D3D895-7D04-C513-A175-999371FFD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464343</xdr:colOff>
      <xdr:row>50</xdr:row>
      <xdr:rowOff>122238</xdr:rowOff>
    </xdr:from>
    <xdr:to>
      <xdr:col>19</xdr:col>
      <xdr:colOff>550862</xdr:colOff>
      <xdr:row>65</xdr:row>
      <xdr:rowOff>103584</xdr:rowOff>
    </xdr:to>
    <xdr:graphicFrame macro="">
      <xdr:nvGraphicFramePr>
        <xdr:cNvPr id="3" name="Chart 2">
          <a:extLst>
            <a:ext uri="{FF2B5EF4-FFF2-40B4-BE49-F238E27FC236}">
              <a16:creationId xmlns:a16="http://schemas.microsoft.com/office/drawing/2014/main" id="{CAC7B1EA-9560-1EE7-9CDB-94859541D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17463</xdr:colOff>
      <xdr:row>50</xdr:row>
      <xdr:rowOff>154780</xdr:rowOff>
    </xdr:from>
    <xdr:to>
      <xdr:col>30</xdr:col>
      <xdr:colOff>333374</xdr:colOff>
      <xdr:row>64</xdr:row>
      <xdr:rowOff>76595</xdr:rowOff>
    </xdr:to>
    <xdr:graphicFrame macro="">
      <xdr:nvGraphicFramePr>
        <xdr:cNvPr id="4" name="Chart 3">
          <a:extLst>
            <a:ext uri="{FF2B5EF4-FFF2-40B4-BE49-F238E27FC236}">
              <a16:creationId xmlns:a16="http://schemas.microsoft.com/office/drawing/2014/main" id="{04AA9C34-5D89-BC8D-FE08-8BCE07076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9</xdr:col>
      <xdr:colOff>325437</xdr:colOff>
      <xdr:row>27</xdr:row>
      <xdr:rowOff>77786</xdr:rowOff>
    </xdr:from>
    <xdr:to>
      <xdr:col>17</xdr:col>
      <xdr:colOff>353785</xdr:colOff>
      <xdr:row>48</xdr:row>
      <xdr:rowOff>190499</xdr:rowOff>
    </xdr:to>
    <xdr:graphicFrame macro="">
      <xdr:nvGraphicFramePr>
        <xdr:cNvPr id="2" name="Chart 1">
          <a:extLst>
            <a:ext uri="{FF2B5EF4-FFF2-40B4-BE49-F238E27FC236}">
              <a16:creationId xmlns:a16="http://schemas.microsoft.com/office/drawing/2014/main" id="{0862C06D-AFE3-9593-A578-C92967647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618897</xdr:colOff>
      <xdr:row>28</xdr:row>
      <xdr:rowOff>27894</xdr:rowOff>
    </xdr:from>
    <xdr:to>
      <xdr:col>25</xdr:col>
      <xdr:colOff>938893</xdr:colOff>
      <xdr:row>47</xdr:row>
      <xdr:rowOff>95250</xdr:rowOff>
    </xdr:to>
    <xdr:graphicFrame macro="">
      <xdr:nvGraphicFramePr>
        <xdr:cNvPr id="3" name="Chart 2">
          <a:extLst>
            <a:ext uri="{FF2B5EF4-FFF2-40B4-BE49-F238E27FC236}">
              <a16:creationId xmlns:a16="http://schemas.microsoft.com/office/drawing/2014/main" id="{0D422E93-EA00-2763-4D94-831A7373A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16</xdr:col>
      <xdr:colOff>554829</xdr:colOff>
      <xdr:row>14</xdr:row>
      <xdr:rowOff>134143</xdr:rowOff>
    </xdr:from>
    <xdr:to>
      <xdr:col>51</xdr:col>
      <xdr:colOff>158750</xdr:colOff>
      <xdr:row>76</xdr:row>
      <xdr:rowOff>47625</xdr:rowOff>
    </xdr:to>
    <xdr:graphicFrame macro="">
      <xdr:nvGraphicFramePr>
        <xdr:cNvPr id="5" name="Chart 4">
          <a:extLst>
            <a:ext uri="{FF2B5EF4-FFF2-40B4-BE49-F238E27FC236}">
              <a16:creationId xmlns:a16="http://schemas.microsoft.com/office/drawing/2014/main" id="{38849883-E4D2-FC7A-7C06-ECCF3703F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542637</xdr:colOff>
      <xdr:row>21</xdr:row>
      <xdr:rowOff>178012</xdr:rowOff>
    </xdr:from>
    <xdr:to>
      <xdr:col>34</xdr:col>
      <xdr:colOff>580737</xdr:colOff>
      <xdr:row>50</xdr:row>
      <xdr:rowOff>82927</xdr:rowOff>
    </xdr:to>
    <xdr:graphicFrame macro="">
      <xdr:nvGraphicFramePr>
        <xdr:cNvPr id="2" name="Chart 1">
          <a:extLst>
            <a:ext uri="{FF2B5EF4-FFF2-40B4-BE49-F238E27FC236}">
              <a16:creationId xmlns:a16="http://schemas.microsoft.com/office/drawing/2014/main" id="{66F72FAA-89B3-12EC-9C8C-647E04C58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149572</xdr:colOff>
      <xdr:row>4</xdr:row>
      <xdr:rowOff>180208</xdr:rowOff>
    </xdr:from>
    <xdr:to>
      <xdr:col>37</xdr:col>
      <xdr:colOff>101946</xdr:colOff>
      <xdr:row>26</xdr:row>
      <xdr:rowOff>170682</xdr:rowOff>
    </xdr:to>
    <xdr:graphicFrame macro="">
      <xdr:nvGraphicFramePr>
        <xdr:cNvPr id="3" name="Chart 2">
          <a:extLst>
            <a:ext uri="{FF2B5EF4-FFF2-40B4-BE49-F238E27FC236}">
              <a16:creationId xmlns:a16="http://schemas.microsoft.com/office/drawing/2014/main" id="{9D9862AF-B4A4-8CDF-0EF2-45209D356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19384</xdr:colOff>
      <xdr:row>45</xdr:row>
      <xdr:rowOff>12442</xdr:rowOff>
    </xdr:from>
    <xdr:to>
      <xdr:col>24</xdr:col>
      <xdr:colOff>292214</xdr:colOff>
      <xdr:row>72</xdr:row>
      <xdr:rowOff>158397</xdr:rowOff>
    </xdr:to>
    <xdr:graphicFrame macro="">
      <xdr:nvGraphicFramePr>
        <xdr:cNvPr id="2" name="Chart 1">
          <a:extLst>
            <a:ext uri="{FF2B5EF4-FFF2-40B4-BE49-F238E27FC236}">
              <a16:creationId xmlns:a16="http://schemas.microsoft.com/office/drawing/2014/main" id="{D65EE29D-6A6F-4142-B382-EADED1192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279637</xdr:colOff>
      <xdr:row>44</xdr:row>
      <xdr:rowOff>3174</xdr:rowOff>
    </xdr:from>
    <xdr:to>
      <xdr:col>17</xdr:col>
      <xdr:colOff>282705</xdr:colOff>
      <xdr:row>72</xdr:row>
      <xdr:rowOff>56543</xdr:rowOff>
    </xdr:to>
    <xdr:graphicFrame macro="">
      <xdr:nvGraphicFramePr>
        <xdr:cNvPr id="3" name="Chart 2">
          <a:extLst>
            <a:ext uri="{FF2B5EF4-FFF2-40B4-BE49-F238E27FC236}">
              <a16:creationId xmlns:a16="http://schemas.microsoft.com/office/drawing/2014/main" id="{7BFBA45F-F3BB-2619-D17B-77DEC1BC8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273571</xdr:colOff>
      <xdr:row>4</xdr:row>
      <xdr:rowOff>178322</xdr:rowOff>
    </xdr:from>
    <xdr:to>
      <xdr:col>23</xdr:col>
      <xdr:colOff>60890</xdr:colOff>
      <xdr:row>23</xdr:row>
      <xdr:rowOff>32012</xdr:rowOff>
    </xdr:to>
    <xdr:graphicFrame macro="">
      <xdr:nvGraphicFramePr>
        <xdr:cNvPr id="7" name="Chart 6">
          <a:extLst>
            <a:ext uri="{FF2B5EF4-FFF2-40B4-BE49-F238E27FC236}">
              <a16:creationId xmlns:a16="http://schemas.microsoft.com/office/drawing/2014/main" id="{E0F94413-F8BD-BB06-5631-3930EAFA4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490298</xdr:colOff>
      <xdr:row>21</xdr:row>
      <xdr:rowOff>150660</xdr:rowOff>
    </xdr:from>
    <xdr:to>
      <xdr:col>15</xdr:col>
      <xdr:colOff>142787</xdr:colOff>
      <xdr:row>40</xdr:row>
      <xdr:rowOff>104382</xdr:rowOff>
    </xdr:to>
    <xdr:graphicFrame macro="">
      <xdr:nvGraphicFramePr>
        <xdr:cNvPr id="9" name="Chart 8">
          <a:extLst>
            <a:ext uri="{FF2B5EF4-FFF2-40B4-BE49-F238E27FC236}">
              <a16:creationId xmlns:a16="http://schemas.microsoft.com/office/drawing/2014/main" id="{E3685832-E4DB-4019-263A-DB2BFA446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72292</xdr:colOff>
      <xdr:row>18</xdr:row>
      <xdr:rowOff>11355</xdr:rowOff>
    </xdr:from>
    <xdr:to>
      <xdr:col>18</xdr:col>
      <xdr:colOff>451707</xdr:colOff>
      <xdr:row>46</xdr:row>
      <xdr:rowOff>47868</xdr:rowOff>
    </xdr:to>
    <xdr:graphicFrame macro="">
      <xdr:nvGraphicFramePr>
        <xdr:cNvPr id="7" name="Chart 6">
          <a:extLst>
            <a:ext uri="{FF2B5EF4-FFF2-40B4-BE49-F238E27FC236}">
              <a16:creationId xmlns:a16="http://schemas.microsoft.com/office/drawing/2014/main" id="{E86F66D0-2A25-FB15-8A4F-71D6FD245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320235</xdr:colOff>
      <xdr:row>31</xdr:row>
      <xdr:rowOff>125094</xdr:rowOff>
    </xdr:from>
    <xdr:to>
      <xdr:col>23</xdr:col>
      <xdr:colOff>148296</xdr:colOff>
      <xdr:row>57</xdr:row>
      <xdr:rowOff>132397</xdr:rowOff>
    </xdr:to>
    <xdr:graphicFrame macro="">
      <xdr:nvGraphicFramePr>
        <xdr:cNvPr id="8" name="Chart 7">
          <a:extLst>
            <a:ext uri="{FF2B5EF4-FFF2-40B4-BE49-F238E27FC236}">
              <a16:creationId xmlns:a16="http://schemas.microsoft.com/office/drawing/2014/main" id="{9DC3CEC0-6B23-52BF-FC72-A5C80B4418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84"/>
  <sheetViews>
    <sheetView topLeftCell="A3" workbookViewId="0">
      <selection sqref="A1:XFD2"/>
    </sheetView>
  </sheetViews>
  <sheetFormatPr baseColWidth="10" defaultColWidth="8.83203125" defaultRowHeight="15"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1" x14ac:dyDescent="0.2">
      <c r="A113" t="s">
        <v>112</v>
      </c>
    </row>
    <row r="114" spans="1:1" x14ac:dyDescent="0.2">
      <c r="A114" t="s">
        <v>113</v>
      </c>
    </row>
    <row r="115" spans="1:1" x14ac:dyDescent="0.2">
      <c r="A115" t="s">
        <v>114</v>
      </c>
    </row>
    <row r="116" spans="1:1" x14ac:dyDescent="0.2">
      <c r="A116" t="s">
        <v>115</v>
      </c>
    </row>
    <row r="117" spans="1:1" x14ac:dyDescent="0.2">
      <c r="A117" t="s">
        <v>116</v>
      </c>
    </row>
    <row r="118" spans="1:1" x14ac:dyDescent="0.2">
      <c r="A118" t="s">
        <v>117</v>
      </c>
    </row>
    <row r="119" spans="1:1" x14ac:dyDescent="0.2">
      <c r="A119" t="s">
        <v>118</v>
      </c>
    </row>
    <row r="120" spans="1:1" x14ac:dyDescent="0.2">
      <c r="A120" t="s">
        <v>119</v>
      </c>
    </row>
    <row r="121" spans="1:1" x14ac:dyDescent="0.2">
      <c r="A121" t="s">
        <v>120</v>
      </c>
    </row>
    <row r="122" spans="1:1" x14ac:dyDescent="0.2">
      <c r="A122" t="s">
        <v>121</v>
      </c>
    </row>
    <row r="123" spans="1:1" x14ac:dyDescent="0.2">
      <c r="A123" t="s">
        <v>122</v>
      </c>
    </row>
    <row r="124" spans="1:1" x14ac:dyDescent="0.2">
      <c r="A124" t="s">
        <v>123</v>
      </c>
    </row>
    <row r="125" spans="1:1" x14ac:dyDescent="0.2">
      <c r="A125" t="s">
        <v>124</v>
      </c>
    </row>
    <row r="126" spans="1:1" x14ac:dyDescent="0.2">
      <c r="A126" t="s">
        <v>125</v>
      </c>
    </row>
    <row r="127" spans="1:1" x14ac:dyDescent="0.2">
      <c r="A127" t="s">
        <v>126</v>
      </c>
    </row>
    <row r="128" spans="1:1" x14ac:dyDescent="0.2">
      <c r="A128" t="s">
        <v>127</v>
      </c>
    </row>
    <row r="129" spans="1:1" x14ac:dyDescent="0.2">
      <c r="A129" t="s">
        <v>128</v>
      </c>
    </row>
    <row r="130" spans="1:1" x14ac:dyDescent="0.2">
      <c r="A130" t="s">
        <v>129</v>
      </c>
    </row>
    <row r="131" spans="1:1" x14ac:dyDescent="0.2">
      <c r="A131" t="s">
        <v>130</v>
      </c>
    </row>
    <row r="132" spans="1:1" x14ac:dyDescent="0.2">
      <c r="A132" t="s">
        <v>131</v>
      </c>
    </row>
    <row r="133" spans="1:1" x14ac:dyDescent="0.2">
      <c r="A133" t="s">
        <v>132</v>
      </c>
    </row>
    <row r="134" spans="1:1" x14ac:dyDescent="0.2">
      <c r="A134" t="s">
        <v>133</v>
      </c>
    </row>
    <row r="135" spans="1:1" x14ac:dyDescent="0.2">
      <c r="A135" t="s">
        <v>134</v>
      </c>
    </row>
    <row r="136" spans="1:1" x14ac:dyDescent="0.2">
      <c r="A136" t="s">
        <v>135</v>
      </c>
    </row>
    <row r="137" spans="1:1" x14ac:dyDescent="0.2">
      <c r="A137" t="s">
        <v>136</v>
      </c>
    </row>
    <row r="138" spans="1:1" x14ac:dyDescent="0.2">
      <c r="A138" t="s">
        <v>137</v>
      </c>
    </row>
    <row r="139" spans="1:1" x14ac:dyDescent="0.2">
      <c r="A139" t="s">
        <v>138</v>
      </c>
    </row>
    <row r="140" spans="1:1" x14ac:dyDescent="0.2">
      <c r="A140" t="s">
        <v>139</v>
      </c>
    </row>
    <row r="141" spans="1:1" x14ac:dyDescent="0.2">
      <c r="A141" t="s">
        <v>140</v>
      </c>
    </row>
    <row r="142" spans="1:1" x14ac:dyDescent="0.2">
      <c r="A142" t="s">
        <v>141</v>
      </c>
    </row>
    <row r="143" spans="1:1" x14ac:dyDescent="0.2">
      <c r="A143" t="s">
        <v>142</v>
      </c>
    </row>
    <row r="144" spans="1:1" x14ac:dyDescent="0.2">
      <c r="A144" t="s">
        <v>143</v>
      </c>
    </row>
    <row r="145" spans="1:1" x14ac:dyDescent="0.2">
      <c r="A145" t="s">
        <v>144</v>
      </c>
    </row>
    <row r="146" spans="1:1" x14ac:dyDescent="0.2">
      <c r="A146" t="s">
        <v>145</v>
      </c>
    </row>
    <row r="147" spans="1:1" x14ac:dyDescent="0.2">
      <c r="A147" t="s">
        <v>146</v>
      </c>
    </row>
    <row r="148" spans="1:1" x14ac:dyDescent="0.2">
      <c r="A148" t="s">
        <v>147</v>
      </c>
    </row>
    <row r="149" spans="1:1" x14ac:dyDescent="0.2">
      <c r="A149" t="s">
        <v>148</v>
      </c>
    </row>
    <row r="150" spans="1:1" x14ac:dyDescent="0.2">
      <c r="A150" t="s">
        <v>149</v>
      </c>
    </row>
    <row r="151" spans="1:1" x14ac:dyDescent="0.2">
      <c r="A151" t="s">
        <v>150</v>
      </c>
    </row>
    <row r="152" spans="1:1" x14ac:dyDescent="0.2">
      <c r="A152" t="s">
        <v>151</v>
      </c>
    </row>
    <row r="153" spans="1:1" x14ac:dyDescent="0.2">
      <c r="A153" t="s">
        <v>152</v>
      </c>
    </row>
    <row r="154" spans="1:1" x14ac:dyDescent="0.2">
      <c r="A154" t="s">
        <v>153</v>
      </c>
    </row>
    <row r="155" spans="1:1" x14ac:dyDescent="0.2">
      <c r="A155" t="s">
        <v>154</v>
      </c>
    </row>
    <row r="156" spans="1:1" x14ac:dyDescent="0.2">
      <c r="A156" t="s">
        <v>155</v>
      </c>
    </row>
    <row r="157" spans="1:1" x14ac:dyDescent="0.2">
      <c r="A157" t="s">
        <v>156</v>
      </c>
    </row>
    <row r="158" spans="1:1" x14ac:dyDescent="0.2">
      <c r="A158" t="s">
        <v>157</v>
      </c>
    </row>
    <row r="159" spans="1:1" x14ac:dyDescent="0.2">
      <c r="A159" t="s">
        <v>158</v>
      </c>
    </row>
    <row r="160" spans="1:1" x14ac:dyDescent="0.2">
      <c r="A160" t="s">
        <v>159</v>
      </c>
    </row>
    <row r="161" spans="1:1" x14ac:dyDescent="0.2">
      <c r="A161" t="s">
        <v>160</v>
      </c>
    </row>
    <row r="162" spans="1:1" x14ac:dyDescent="0.2">
      <c r="A162" t="s">
        <v>161</v>
      </c>
    </row>
    <row r="163" spans="1:1" x14ac:dyDescent="0.2">
      <c r="A163" t="s">
        <v>162</v>
      </c>
    </row>
    <row r="164" spans="1:1" x14ac:dyDescent="0.2">
      <c r="A164" t="s">
        <v>163</v>
      </c>
    </row>
    <row r="165" spans="1:1" x14ac:dyDescent="0.2">
      <c r="A165" t="s">
        <v>164</v>
      </c>
    </row>
    <row r="166" spans="1:1" x14ac:dyDescent="0.2">
      <c r="A166" t="s">
        <v>165</v>
      </c>
    </row>
    <row r="167" spans="1:1" x14ac:dyDescent="0.2">
      <c r="A167" t="s">
        <v>166</v>
      </c>
    </row>
    <row r="168" spans="1:1" x14ac:dyDescent="0.2">
      <c r="A168" t="s">
        <v>167</v>
      </c>
    </row>
    <row r="169" spans="1:1" x14ac:dyDescent="0.2">
      <c r="A169" t="s">
        <v>168</v>
      </c>
    </row>
    <row r="170" spans="1:1" x14ac:dyDescent="0.2">
      <c r="A170" t="s">
        <v>169</v>
      </c>
    </row>
    <row r="171" spans="1:1" x14ac:dyDescent="0.2">
      <c r="A171" t="s">
        <v>170</v>
      </c>
    </row>
    <row r="172" spans="1:1" x14ac:dyDescent="0.2">
      <c r="A172" t="s">
        <v>171</v>
      </c>
    </row>
    <row r="173" spans="1:1" x14ac:dyDescent="0.2">
      <c r="A173" t="s">
        <v>172</v>
      </c>
    </row>
    <row r="174" spans="1:1" x14ac:dyDescent="0.2">
      <c r="A174" t="s">
        <v>173</v>
      </c>
    </row>
    <row r="175" spans="1:1" x14ac:dyDescent="0.2">
      <c r="A175" t="s">
        <v>174</v>
      </c>
    </row>
    <row r="176" spans="1:1" x14ac:dyDescent="0.2">
      <c r="A176" t="s">
        <v>175</v>
      </c>
    </row>
    <row r="177" spans="1:1" x14ac:dyDescent="0.2">
      <c r="A177" t="s">
        <v>176</v>
      </c>
    </row>
    <row r="178" spans="1:1" x14ac:dyDescent="0.2">
      <c r="A178" t="s">
        <v>177</v>
      </c>
    </row>
    <row r="179" spans="1:1" x14ac:dyDescent="0.2">
      <c r="A179" t="s">
        <v>178</v>
      </c>
    </row>
    <row r="180" spans="1:1" x14ac:dyDescent="0.2">
      <c r="A180" t="s">
        <v>179</v>
      </c>
    </row>
    <row r="181" spans="1:1" x14ac:dyDescent="0.2">
      <c r="A181" t="s">
        <v>180</v>
      </c>
    </row>
    <row r="182" spans="1:1" x14ac:dyDescent="0.2">
      <c r="A182" t="s">
        <v>181</v>
      </c>
    </row>
    <row r="183" spans="1:1" x14ac:dyDescent="0.2">
      <c r="A183" t="s">
        <v>182</v>
      </c>
    </row>
    <row r="184" spans="1:1" x14ac:dyDescent="0.2">
      <c r="A184" t="s">
        <v>183</v>
      </c>
    </row>
    <row r="185" spans="1:1" x14ac:dyDescent="0.2">
      <c r="A185" t="s">
        <v>184</v>
      </c>
    </row>
    <row r="186" spans="1:1" x14ac:dyDescent="0.2">
      <c r="A186" t="s">
        <v>185</v>
      </c>
    </row>
    <row r="187" spans="1:1" x14ac:dyDescent="0.2">
      <c r="A187" t="s">
        <v>186</v>
      </c>
    </row>
    <row r="188" spans="1:1" x14ac:dyDescent="0.2">
      <c r="A188" t="s">
        <v>187</v>
      </c>
    </row>
    <row r="189" spans="1:1" x14ac:dyDescent="0.2">
      <c r="A189" t="s">
        <v>188</v>
      </c>
    </row>
    <row r="190" spans="1:1" x14ac:dyDescent="0.2">
      <c r="A190" t="s">
        <v>189</v>
      </c>
    </row>
    <row r="191" spans="1:1" x14ac:dyDescent="0.2">
      <c r="A191" t="s">
        <v>190</v>
      </c>
    </row>
    <row r="192" spans="1:1" x14ac:dyDescent="0.2">
      <c r="A192" t="s">
        <v>191</v>
      </c>
    </row>
    <row r="193" spans="1:1" x14ac:dyDescent="0.2">
      <c r="A193" t="s">
        <v>192</v>
      </c>
    </row>
    <row r="194" spans="1:1" x14ac:dyDescent="0.2">
      <c r="A194" t="s">
        <v>193</v>
      </c>
    </row>
    <row r="195" spans="1:1" x14ac:dyDescent="0.2">
      <c r="A195" t="s">
        <v>194</v>
      </c>
    </row>
    <row r="196" spans="1:1" x14ac:dyDescent="0.2">
      <c r="A196" t="s">
        <v>195</v>
      </c>
    </row>
    <row r="197" spans="1:1" x14ac:dyDescent="0.2">
      <c r="A197" t="s">
        <v>196</v>
      </c>
    </row>
    <row r="198" spans="1:1" x14ac:dyDescent="0.2">
      <c r="A198" t="s">
        <v>197</v>
      </c>
    </row>
    <row r="199" spans="1:1" x14ac:dyDescent="0.2">
      <c r="A199" t="s">
        <v>198</v>
      </c>
    </row>
    <row r="200" spans="1:1" x14ac:dyDescent="0.2">
      <c r="A200" t="s">
        <v>199</v>
      </c>
    </row>
    <row r="201" spans="1:1" x14ac:dyDescent="0.2">
      <c r="A201" t="s">
        <v>200</v>
      </c>
    </row>
    <row r="202" spans="1:1" x14ac:dyDescent="0.2">
      <c r="A202" t="s">
        <v>201</v>
      </c>
    </row>
    <row r="203" spans="1:1" x14ac:dyDescent="0.2">
      <c r="A203" t="s">
        <v>202</v>
      </c>
    </row>
    <row r="204" spans="1:1" x14ac:dyDescent="0.2">
      <c r="A204" t="s">
        <v>203</v>
      </c>
    </row>
    <row r="205" spans="1:1" x14ac:dyDescent="0.2">
      <c r="A205" t="s">
        <v>204</v>
      </c>
    </row>
    <row r="206" spans="1:1" x14ac:dyDescent="0.2">
      <c r="A206" t="s">
        <v>205</v>
      </c>
    </row>
    <row r="207" spans="1:1" x14ac:dyDescent="0.2">
      <c r="A207" t="s">
        <v>206</v>
      </c>
    </row>
    <row r="208" spans="1:1" x14ac:dyDescent="0.2">
      <c r="A208" t="s">
        <v>207</v>
      </c>
    </row>
    <row r="209" spans="1:1" x14ac:dyDescent="0.2">
      <c r="A209" t="s">
        <v>208</v>
      </c>
    </row>
    <row r="210" spans="1:1" x14ac:dyDescent="0.2">
      <c r="A210" t="s">
        <v>209</v>
      </c>
    </row>
    <row r="211" spans="1:1" x14ac:dyDescent="0.2">
      <c r="A211" t="s">
        <v>210</v>
      </c>
    </row>
    <row r="212" spans="1:1" x14ac:dyDescent="0.2">
      <c r="A212" t="s">
        <v>211</v>
      </c>
    </row>
    <row r="213" spans="1:1" x14ac:dyDescent="0.2">
      <c r="A213" t="s">
        <v>212</v>
      </c>
    </row>
    <row r="214" spans="1:1" x14ac:dyDescent="0.2">
      <c r="A214" t="s">
        <v>213</v>
      </c>
    </row>
    <row r="215" spans="1:1" x14ac:dyDescent="0.2">
      <c r="A215" t="s">
        <v>214</v>
      </c>
    </row>
    <row r="216" spans="1:1" x14ac:dyDescent="0.2">
      <c r="A216" t="s">
        <v>215</v>
      </c>
    </row>
    <row r="217" spans="1:1" x14ac:dyDescent="0.2">
      <c r="A217" t="s">
        <v>216</v>
      </c>
    </row>
    <row r="218" spans="1:1" x14ac:dyDescent="0.2">
      <c r="A218" t="s">
        <v>217</v>
      </c>
    </row>
    <row r="219" spans="1:1" x14ac:dyDescent="0.2">
      <c r="A219" t="s">
        <v>218</v>
      </c>
    </row>
    <row r="220" spans="1:1" x14ac:dyDescent="0.2">
      <c r="A220" t="s">
        <v>219</v>
      </c>
    </row>
    <row r="221" spans="1:1" x14ac:dyDescent="0.2">
      <c r="A221" t="s">
        <v>220</v>
      </c>
    </row>
    <row r="222" spans="1:1" x14ac:dyDescent="0.2">
      <c r="A222" t="s">
        <v>221</v>
      </c>
    </row>
    <row r="223" spans="1:1" x14ac:dyDescent="0.2">
      <c r="A223" t="s">
        <v>222</v>
      </c>
    </row>
    <row r="224" spans="1:1" x14ac:dyDescent="0.2">
      <c r="A224" t="s">
        <v>223</v>
      </c>
    </row>
    <row r="225" spans="1:1" x14ac:dyDescent="0.2">
      <c r="A225" t="s">
        <v>224</v>
      </c>
    </row>
    <row r="226" spans="1:1" x14ac:dyDescent="0.2">
      <c r="A226" t="s">
        <v>225</v>
      </c>
    </row>
    <row r="227" spans="1:1" x14ac:dyDescent="0.2">
      <c r="A227" t="s">
        <v>226</v>
      </c>
    </row>
    <row r="228" spans="1:1" x14ac:dyDescent="0.2">
      <c r="A228" t="s">
        <v>227</v>
      </c>
    </row>
    <row r="229" spans="1:1" x14ac:dyDescent="0.2">
      <c r="A229" t="s">
        <v>228</v>
      </c>
    </row>
    <row r="230" spans="1:1" x14ac:dyDescent="0.2">
      <c r="A230" t="s">
        <v>229</v>
      </c>
    </row>
    <row r="231" spans="1:1" x14ac:dyDescent="0.2">
      <c r="A231" t="s">
        <v>230</v>
      </c>
    </row>
    <row r="232" spans="1:1" x14ac:dyDescent="0.2">
      <c r="A232" t="s">
        <v>231</v>
      </c>
    </row>
    <row r="233" spans="1:1" x14ac:dyDescent="0.2">
      <c r="A233" t="s">
        <v>232</v>
      </c>
    </row>
    <row r="234" spans="1:1" x14ac:dyDescent="0.2">
      <c r="A234" t="s">
        <v>233</v>
      </c>
    </row>
    <row r="235" spans="1:1" x14ac:dyDescent="0.2">
      <c r="A235" t="s">
        <v>234</v>
      </c>
    </row>
    <row r="236" spans="1:1" x14ac:dyDescent="0.2">
      <c r="A236" t="s">
        <v>235</v>
      </c>
    </row>
    <row r="237" spans="1:1" x14ac:dyDescent="0.2">
      <c r="A237" t="s">
        <v>236</v>
      </c>
    </row>
    <row r="238" spans="1:1" x14ac:dyDescent="0.2">
      <c r="A238" t="s">
        <v>237</v>
      </c>
    </row>
    <row r="239" spans="1:1" x14ac:dyDescent="0.2">
      <c r="A239" t="s">
        <v>238</v>
      </c>
    </row>
    <row r="240" spans="1:1" x14ac:dyDescent="0.2">
      <c r="A240" t="s">
        <v>239</v>
      </c>
    </row>
    <row r="241" spans="1:1" x14ac:dyDescent="0.2">
      <c r="A241" t="s">
        <v>240</v>
      </c>
    </row>
    <row r="242" spans="1:1" x14ac:dyDescent="0.2">
      <c r="A242" t="s">
        <v>241</v>
      </c>
    </row>
    <row r="243" spans="1:1" x14ac:dyDescent="0.2">
      <c r="A243" t="s">
        <v>242</v>
      </c>
    </row>
    <row r="244" spans="1:1" x14ac:dyDescent="0.2">
      <c r="A244" t="s">
        <v>243</v>
      </c>
    </row>
    <row r="245" spans="1:1" x14ac:dyDescent="0.2">
      <c r="A245" t="s">
        <v>244</v>
      </c>
    </row>
    <row r="246" spans="1:1" x14ac:dyDescent="0.2">
      <c r="A246" t="s">
        <v>245</v>
      </c>
    </row>
    <row r="247" spans="1:1" x14ac:dyDescent="0.2">
      <c r="A247" t="s">
        <v>246</v>
      </c>
    </row>
    <row r="248" spans="1:1" x14ac:dyDescent="0.2">
      <c r="A248" t="s">
        <v>247</v>
      </c>
    </row>
    <row r="249" spans="1:1" x14ac:dyDescent="0.2">
      <c r="A249" t="s">
        <v>248</v>
      </c>
    </row>
    <row r="250" spans="1:1" x14ac:dyDescent="0.2">
      <c r="A250" t="s">
        <v>249</v>
      </c>
    </row>
    <row r="251" spans="1:1" x14ac:dyDescent="0.2">
      <c r="A251" t="s">
        <v>250</v>
      </c>
    </row>
    <row r="252" spans="1:1" x14ac:dyDescent="0.2">
      <c r="A252" t="s">
        <v>251</v>
      </c>
    </row>
    <row r="253" spans="1:1" x14ac:dyDescent="0.2">
      <c r="A253" t="s">
        <v>252</v>
      </c>
    </row>
    <row r="254" spans="1:1" x14ac:dyDescent="0.2">
      <c r="A254" t="s">
        <v>253</v>
      </c>
    </row>
    <row r="255" spans="1:1" x14ac:dyDescent="0.2">
      <c r="A255" t="s">
        <v>254</v>
      </c>
    </row>
    <row r="256" spans="1:1" x14ac:dyDescent="0.2">
      <c r="A256" t="s">
        <v>255</v>
      </c>
    </row>
    <row r="257" spans="1:1" x14ac:dyDescent="0.2">
      <c r="A257" t="s">
        <v>256</v>
      </c>
    </row>
    <row r="258" spans="1:1" x14ac:dyDescent="0.2">
      <c r="A258" t="s">
        <v>257</v>
      </c>
    </row>
    <row r="259" spans="1:1" x14ac:dyDescent="0.2">
      <c r="A259" t="s">
        <v>258</v>
      </c>
    </row>
    <row r="260" spans="1:1" x14ac:dyDescent="0.2">
      <c r="A260" t="s">
        <v>259</v>
      </c>
    </row>
    <row r="261" spans="1:1" x14ac:dyDescent="0.2">
      <c r="A261" t="s">
        <v>260</v>
      </c>
    </row>
    <row r="262" spans="1:1" x14ac:dyDescent="0.2">
      <c r="A262" t="s">
        <v>261</v>
      </c>
    </row>
    <row r="263" spans="1:1" x14ac:dyDescent="0.2">
      <c r="A263" t="s">
        <v>262</v>
      </c>
    </row>
    <row r="264" spans="1:1" x14ac:dyDescent="0.2">
      <c r="A264" t="s">
        <v>263</v>
      </c>
    </row>
    <row r="265" spans="1:1" x14ac:dyDescent="0.2">
      <c r="A265" t="s">
        <v>264</v>
      </c>
    </row>
    <row r="266" spans="1:1" x14ac:dyDescent="0.2">
      <c r="A266" t="s">
        <v>265</v>
      </c>
    </row>
    <row r="267" spans="1:1" x14ac:dyDescent="0.2">
      <c r="A267" t="s">
        <v>266</v>
      </c>
    </row>
    <row r="268" spans="1:1" x14ac:dyDescent="0.2">
      <c r="A268" t="s">
        <v>267</v>
      </c>
    </row>
    <row r="269" spans="1:1" x14ac:dyDescent="0.2">
      <c r="A269" t="s">
        <v>268</v>
      </c>
    </row>
    <row r="270" spans="1:1" x14ac:dyDescent="0.2">
      <c r="A270" t="s">
        <v>269</v>
      </c>
    </row>
    <row r="271" spans="1:1" x14ac:dyDescent="0.2">
      <c r="A271" t="s">
        <v>270</v>
      </c>
    </row>
    <row r="272" spans="1:1" x14ac:dyDescent="0.2">
      <c r="A272" t="s">
        <v>271</v>
      </c>
    </row>
    <row r="273" spans="1:1" x14ac:dyDescent="0.2">
      <c r="A273" t="s">
        <v>272</v>
      </c>
    </row>
    <row r="274" spans="1:1" x14ac:dyDescent="0.2">
      <c r="A274" t="s">
        <v>273</v>
      </c>
    </row>
    <row r="275" spans="1:1" x14ac:dyDescent="0.2">
      <c r="A275" t="s">
        <v>274</v>
      </c>
    </row>
    <row r="276" spans="1:1" x14ac:dyDescent="0.2">
      <c r="A276" t="s">
        <v>275</v>
      </c>
    </row>
    <row r="277" spans="1:1" x14ac:dyDescent="0.2">
      <c r="A277" t="s">
        <v>276</v>
      </c>
    </row>
    <row r="278" spans="1:1" x14ac:dyDescent="0.2">
      <c r="A278" t="s">
        <v>277</v>
      </c>
    </row>
    <row r="279" spans="1:1" x14ac:dyDescent="0.2">
      <c r="A279" t="s">
        <v>278</v>
      </c>
    </row>
    <row r="280" spans="1:1" x14ac:dyDescent="0.2">
      <c r="A280" t="s">
        <v>279</v>
      </c>
    </row>
    <row r="281" spans="1:1" x14ac:dyDescent="0.2">
      <c r="A281" t="s">
        <v>280</v>
      </c>
    </row>
    <row r="282" spans="1:1" x14ac:dyDescent="0.2">
      <c r="A282" t="s">
        <v>281</v>
      </c>
    </row>
    <row r="283" spans="1:1" x14ac:dyDescent="0.2">
      <c r="A283" t="s">
        <v>282</v>
      </c>
    </row>
    <row r="284" spans="1:1" x14ac:dyDescent="0.2">
      <c r="A284" t="s">
        <v>283</v>
      </c>
    </row>
    <row r="285" spans="1:1" x14ac:dyDescent="0.2">
      <c r="A285" t="s">
        <v>284</v>
      </c>
    </row>
    <row r="286" spans="1:1" x14ac:dyDescent="0.2">
      <c r="A286" t="s">
        <v>285</v>
      </c>
    </row>
    <row r="287" spans="1:1" x14ac:dyDescent="0.2">
      <c r="A287" t="s">
        <v>286</v>
      </c>
    </row>
    <row r="288" spans="1:1" x14ac:dyDescent="0.2">
      <c r="A288" t="s">
        <v>287</v>
      </c>
    </row>
    <row r="289" spans="1:1" x14ac:dyDescent="0.2">
      <c r="A289" t="s">
        <v>288</v>
      </c>
    </row>
    <row r="290" spans="1:1" x14ac:dyDescent="0.2">
      <c r="A290" t="s">
        <v>289</v>
      </c>
    </row>
    <row r="291" spans="1:1" x14ac:dyDescent="0.2">
      <c r="A291" t="s">
        <v>290</v>
      </c>
    </row>
    <row r="292" spans="1:1" x14ac:dyDescent="0.2">
      <c r="A292" t="s">
        <v>291</v>
      </c>
    </row>
    <row r="293" spans="1:1" x14ac:dyDescent="0.2">
      <c r="A293" t="s">
        <v>292</v>
      </c>
    </row>
    <row r="294" spans="1:1" x14ac:dyDescent="0.2">
      <c r="A294" t="s">
        <v>293</v>
      </c>
    </row>
    <row r="295" spans="1:1" x14ac:dyDescent="0.2">
      <c r="A295" t="s">
        <v>294</v>
      </c>
    </row>
    <row r="296" spans="1:1" x14ac:dyDescent="0.2">
      <c r="A296" t="s">
        <v>295</v>
      </c>
    </row>
    <row r="297" spans="1:1" x14ac:dyDescent="0.2">
      <c r="A297" t="s">
        <v>296</v>
      </c>
    </row>
    <row r="298" spans="1:1" x14ac:dyDescent="0.2">
      <c r="A298" t="s">
        <v>297</v>
      </c>
    </row>
    <row r="299" spans="1:1" x14ac:dyDescent="0.2">
      <c r="A299" t="s">
        <v>298</v>
      </c>
    </row>
    <row r="300" spans="1:1" x14ac:dyDescent="0.2">
      <c r="A300" t="s">
        <v>299</v>
      </c>
    </row>
    <row r="301" spans="1:1" x14ac:dyDescent="0.2">
      <c r="A301" t="s">
        <v>300</v>
      </c>
    </row>
    <row r="302" spans="1:1" x14ac:dyDescent="0.2">
      <c r="A302" t="s">
        <v>301</v>
      </c>
    </row>
    <row r="303" spans="1:1" x14ac:dyDescent="0.2">
      <c r="A303" t="s">
        <v>302</v>
      </c>
    </row>
    <row r="304" spans="1:1" x14ac:dyDescent="0.2">
      <c r="A304" t="s">
        <v>303</v>
      </c>
    </row>
    <row r="305" spans="1:1" x14ac:dyDescent="0.2">
      <c r="A305" t="s">
        <v>304</v>
      </c>
    </row>
    <row r="306" spans="1:1" x14ac:dyDescent="0.2">
      <c r="A306" t="s">
        <v>305</v>
      </c>
    </row>
    <row r="307" spans="1:1" x14ac:dyDescent="0.2">
      <c r="A307" t="s">
        <v>306</v>
      </c>
    </row>
    <row r="308" spans="1:1" x14ac:dyDescent="0.2">
      <c r="A308" t="s">
        <v>307</v>
      </c>
    </row>
    <row r="309" spans="1:1" x14ac:dyDescent="0.2">
      <c r="A309" t="s">
        <v>308</v>
      </c>
    </row>
    <row r="310" spans="1:1" x14ac:dyDescent="0.2">
      <c r="A310" t="s">
        <v>309</v>
      </c>
    </row>
    <row r="311" spans="1:1" x14ac:dyDescent="0.2">
      <c r="A311" t="s">
        <v>310</v>
      </c>
    </row>
    <row r="312" spans="1:1" x14ac:dyDescent="0.2">
      <c r="A312" t="s">
        <v>311</v>
      </c>
    </row>
    <row r="313" spans="1:1" x14ac:dyDescent="0.2">
      <c r="A313" t="s">
        <v>312</v>
      </c>
    </row>
    <row r="314" spans="1:1" x14ac:dyDescent="0.2">
      <c r="A314" t="s">
        <v>313</v>
      </c>
    </row>
    <row r="315" spans="1:1" x14ac:dyDescent="0.2">
      <c r="A315" t="s">
        <v>314</v>
      </c>
    </row>
    <row r="316" spans="1:1" x14ac:dyDescent="0.2">
      <c r="A316" t="s">
        <v>315</v>
      </c>
    </row>
    <row r="317" spans="1:1" x14ac:dyDescent="0.2">
      <c r="A317" t="s">
        <v>316</v>
      </c>
    </row>
    <row r="318" spans="1:1" x14ac:dyDescent="0.2">
      <c r="A318" t="s">
        <v>317</v>
      </c>
    </row>
    <row r="319" spans="1:1" x14ac:dyDescent="0.2">
      <c r="A319" t="s">
        <v>318</v>
      </c>
    </row>
    <row r="320" spans="1:1" x14ac:dyDescent="0.2">
      <c r="A320" t="s">
        <v>319</v>
      </c>
    </row>
    <row r="321" spans="1:1" x14ac:dyDescent="0.2">
      <c r="A321" t="s">
        <v>320</v>
      </c>
    </row>
    <row r="322" spans="1:1" x14ac:dyDescent="0.2">
      <c r="A322" t="s">
        <v>321</v>
      </c>
    </row>
    <row r="323" spans="1:1" x14ac:dyDescent="0.2">
      <c r="A323" t="s">
        <v>322</v>
      </c>
    </row>
    <row r="324" spans="1:1" x14ac:dyDescent="0.2">
      <c r="A324" t="s">
        <v>323</v>
      </c>
    </row>
    <row r="325" spans="1:1" x14ac:dyDescent="0.2">
      <c r="A325" t="s">
        <v>324</v>
      </c>
    </row>
    <row r="326" spans="1:1" x14ac:dyDescent="0.2">
      <c r="A326" t="s">
        <v>325</v>
      </c>
    </row>
    <row r="327" spans="1:1" x14ac:dyDescent="0.2">
      <c r="A327" t="s">
        <v>326</v>
      </c>
    </row>
    <row r="328" spans="1:1" x14ac:dyDescent="0.2">
      <c r="A328" t="s">
        <v>327</v>
      </c>
    </row>
    <row r="329" spans="1:1" x14ac:dyDescent="0.2">
      <c r="A329" t="s">
        <v>328</v>
      </c>
    </row>
    <row r="330" spans="1:1" x14ac:dyDescent="0.2">
      <c r="A330" t="s">
        <v>329</v>
      </c>
    </row>
    <row r="331" spans="1:1" x14ac:dyDescent="0.2">
      <c r="A331" t="s">
        <v>330</v>
      </c>
    </row>
    <row r="332" spans="1:1" x14ac:dyDescent="0.2">
      <c r="A332" t="s">
        <v>331</v>
      </c>
    </row>
    <row r="333" spans="1:1" x14ac:dyDescent="0.2">
      <c r="A333" t="s">
        <v>332</v>
      </c>
    </row>
    <row r="334" spans="1:1" x14ac:dyDescent="0.2">
      <c r="A334" t="s">
        <v>333</v>
      </c>
    </row>
    <row r="335" spans="1:1" x14ac:dyDescent="0.2">
      <c r="A335" t="s">
        <v>334</v>
      </c>
    </row>
    <row r="336" spans="1:1" x14ac:dyDescent="0.2">
      <c r="A336" t="s">
        <v>335</v>
      </c>
    </row>
    <row r="337" spans="1:1" x14ac:dyDescent="0.2">
      <c r="A337" t="s">
        <v>336</v>
      </c>
    </row>
    <row r="338" spans="1:1" x14ac:dyDescent="0.2">
      <c r="A338" t="s">
        <v>337</v>
      </c>
    </row>
    <row r="339" spans="1:1" x14ac:dyDescent="0.2">
      <c r="A339" t="s">
        <v>338</v>
      </c>
    </row>
    <row r="340" spans="1:1" x14ac:dyDescent="0.2">
      <c r="A340" t="s">
        <v>339</v>
      </c>
    </row>
    <row r="341" spans="1:1" x14ac:dyDescent="0.2">
      <c r="A341" t="s">
        <v>340</v>
      </c>
    </row>
    <row r="342" spans="1:1" x14ac:dyDescent="0.2">
      <c r="A342" t="s">
        <v>341</v>
      </c>
    </row>
    <row r="343" spans="1:1" x14ac:dyDescent="0.2">
      <c r="A343" t="s">
        <v>342</v>
      </c>
    </row>
    <row r="344" spans="1:1" x14ac:dyDescent="0.2">
      <c r="A344" t="s">
        <v>343</v>
      </c>
    </row>
    <row r="345" spans="1:1" x14ac:dyDescent="0.2">
      <c r="A345" t="s">
        <v>344</v>
      </c>
    </row>
    <row r="346" spans="1:1" x14ac:dyDescent="0.2">
      <c r="A346" t="s">
        <v>345</v>
      </c>
    </row>
    <row r="347" spans="1:1" x14ac:dyDescent="0.2">
      <c r="A347" t="s">
        <v>346</v>
      </c>
    </row>
    <row r="348" spans="1:1" x14ac:dyDescent="0.2">
      <c r="A348" t="s">
        <v>347</v>
      </c>
    </row>
    <row r="349" spans="1:1" x14ac:dyDescent="0.2">
      <c r="A349" t="s">
        <v>348</v>
      </c>
    </row>
    <row r="350" spans="1:1" x14ac:dyDescent="0.2">
      <c r="A350" t="s">
        <v>349</v>
      </c>
    </row>
    <row r="351" spans="1:1" x14ac:dyDescent="0.2">
      <c r="A351" t="s">
        <v>350</v>
      </c>
    </row>
    <row r="352" spans="1:1" x14ac:dyDescent="0.2">
      <c r="A352" t="s">
        <v>351</v>
      </c>
    </row>
    <row r="353" spans="1:1" x14ac:dyDescent="0.2">
      <c r="A353" t="s">
        <v>352</v>
      </c>
    </row>
    <row r="354" spans="1:1" x14ac:dyDescent="0.2">
      <c r="A354" t="s">
        <v>353</v>
      </c>
    </row>
    <row r="355" spans="1:1" x14ac:dyDescent="0.2">
      <c r="A355" t="s">
        <v>354</v>
      </c>
    </row>
    <row r="356" spans="1:1" x14ac:dyDescent="0.2">
      <c r="A356" t="s">
        <v>355</v>
      </c>
    </row>
    <row r="357" spans="1:1" x14ac:dyDescent="0.2">
      <c r="A357" t="s">
        <v>356</v>
      </c>
    </row>
    <row r="358" spans="1:1" x14ac:dyDescent="0.2">
      <c r="A358" t="s">
        <v>357</v>
      </c>
    </row>
    <row r="359" spans="1:1" x14ac:dyDescent="0.2">
      <c r="A359" t="s">
        <v>358</v>
      </c>
    </row>
    <row r="360" spans="1:1" x14ac:dyDescent="0.2">
      <c r="A360" t="s">
        <v>359</v>
      </c>
    </row>
    <row r="361" spans="1:1" x14ac:dyDescent="0.2">
      <c r="A361" t="s">
        <v>360</v>
      </c>
    </row>
    <row r="362" spans="1:1" x14ac:dyDescent="0.2">
      <c r="A362" t="s">
        <v>361</v>
      </c>
    </row>
    <row r="363" spans="1:1" x14ac:dyDescent="0.2">
      <c r="A363" t="s">
        <v>362</v>
      </c>
    </row>
    <row r="364" spans="1:1" x14ac:dyDescent="0.2">
      <c r="A364" t="s">
        <v>363</v>
      </c>
    </row>
    <row r="365" spans="1:1" x14ac:dyDescent="0.2">
      <c r="A365" t="s">
        <v>364</v>
      </c>
    </row>
    <row r="366" spans="1:1" x14ac:dyDescent="0.2">
      <c r="A366" t="s">
        <v>365</v>
      </c>
    </row>
    <row r="367" spans="1:1" x14ac:dyDescent="0.2">
      <c r="A367" t="s">
        <v>366</v>
      </c>
    </row>
    <row r="368" spans="1:1" x14ac:dyDescent="0.2">
      <c r="A368" t="s">
        <v>367</v>
      </c>
    </row>
    <row r="369" spans="1:1" x14ac:dyDescent="0.2">
      <c r="A369" t="s">
        <v>368</v>
      </c>
    </row>
    <row r="370" spans="1:1" x14ac:dyDescent="0.2">
      <c r="A370" t="s">
        <v>369</v>
      </c>
    </row>
    <row r="371" spans="1:1" x14ac:dyDescent="0.2">
      <c r="A371" t="s">
        <v>370</v>
      </c>
    </row>
    <row r="372" spans="1:1" x14ac:dyDescent="0.2">
      <c r="A372" t="s">
        <v>371</v>
      </c>
    </row>
    <row r="373" spans="1:1" x14ac:dyDescent="0.2">
      <c r="A373" t="s">
        <v>372</v>
      </c>
    </row>
    <row r="374" spans="1:1" x14ac:dyDescent="0.2">
      <c r="A374" t="s">
        <v>373</v>
      </c>
    </row>
    <row r="375" spans="1:1" x14ac:dyDescent="0.2">
      <c r="A375" t="s">
        <v>374</v>
      </c>
    </row>
    <row r="376" spans="1:1" x14ac:dyDescent="0.2">
      <c r="A376" t="s">
        <v>375</v>
      </c>
    </row>
    <row r="377" spans="1:1" x14ac:dyDescent="0.2">
      <c r="A377" t="s">
        <v>376</v>
      </c>
    </row>
    <row r="378" spans="1:1" x14ac:dyDescent="0.2">
      <c r="A378" t="s">
        <v>377</v>
      </c>
    </row>
    <row r="379" spans="1:1" x14ac:dyDescent="0.2">
      <c r="A379" t="s">
        <v>378</v>
      </c>
    </row>
    <row r="380" spans="1:1" x14ac:dyDescent="0.2">
      <c r="A380" t="s">
        <v>379</v>
      </c>
    </row>
    <row r="381" spans="1:1" x14ac:dyDescent="0.2">
      <c r="A381" t="s">
        <v>380</v>
      </c>
    </row>
    <row r="382" spans="1:1" x14ac:dyDescent="0.2">
      <c r="A382" t="s">
        <v>381</v>
      </c>
    </row>
    <row r="383" spans="1:1" x14ac:dyDescent="0.2">
      <c r="A383" t="s">
        <v>382</v>
      </c>
    </row>
    <row r="384" spans="1:1" x14ac:dyDescent="0.2">
      <c r="A384" t="s">
        <v>383</v>
      </c>
    </row>
    <row r="385" spans="1:1" x14ac:dyDescent="0.2">
      <c r="A385" t="s">
        <v>384</v>
      </c>
    </row>
    <row r="386" spans="1:1" x14ac:dyDescent="0.2">
      <c r="A386" t="s">
        <v>385</v>
      </c>
    </row>
    <row r="387" spans="1:1" x14ac:dyDescent="0.2">
      <c r="A387" t="s">
        <v>386</v>
      </c>
    </row>
    <row r="388" spans="1:1" x14ac:dyDescent="0.2">
      <c r="A388" t="s">
        <v>387</v>
      </c>
    </row>
    <row r="389" spans="1:1" x14ac:dyDescent="0.2">
      <c r="A389" t="s">
        <v>388</v>
      </c>
    </row>
    <row r="390" spans="1:1" x14ac:dyDescent="0.2">
      <c r="A390" t="s">
        <v>389</v>
      </c>
    </row>
    <row r="391" spans="1:1" x14ac:dyDescent="0.2">
      <c r="A391" t="s">
        <v>390</v>
      </c>
    </row>
    <row r="392" spans="1:1" x14ac:dyDescent="0.2">
      <c r="A392" t="s">
        <v>391</v>
      </c>
    </row>
    <row r="393" spans="1:1" x14ac:dyDescent="0.2">
      <c r="A393" t="s">
        <v>392</v>
      </c>
    </row>
    <row r="394" spans="1:1" x14ac:dyDescent="0.2">
      <c r="A394" t="s">
        <v>393</v>
      </c>
    </row>
    <row r="395" spans="1:1" x14ac:dyDescent="0.2">
      <c r="A395" t="s">
        <v>394</v>
      </c>
    </row>
    <row r="396" spans="1:1" x14ac:dyDescent="0.2">
      <c r="A396" t="s">
        <v>395</v>
      </c>
    </row>
    <row r="397" spans="1:1" x14ac:dyDescent="0.2">
      <c r="A397" t="s">
        <v>396</v>
      </c>
    </row>
    <row r="398" spans="1:1" x14ac:dyDescent="0.2">
      <c r="A398" t="s">
        <v>397</v>
      </c>
    </row>
    <row r="399" spans="1:1" x14ac:dyDescent="0.2">
      <c r="A399" t="s">
        <v>398</v>
      </c>
    </row>
    <row r="400" spans="1:1" x14ac:dyDescent="0.2">
      <c r="A400" t="s">
        <v>399</v>
      </c>
    </row>
    <row r="401" spans="1:1" x14ac:dyDescent="0.2">
      <c r="A401" t="s">
        <v>400</v>
      </c>
    </row>
    <row r="402" spans="1:1" x14ac:dyDescent="0.2">
      <c r="A402" t="s">
        <v>401</v>
      </c>
    </row>
    <row r="403" spans="1:1" x14ac:dyDescent="0.2">
      <c r="A403" t="s">
        <v>402</v>
      </c>
    </row>
    <row r="404" spans="1:1" x14ac:dyDescent="0.2">
      <c r="A404" t="s">
        <v>403</v>
      </c>
    </row>
    <row r="405" spans="1:1" x14ac:dyDescent="0.2">
      <c r="A405" t="s">
        <v>404</v>
      </c>
    </row>
    <row r="406" spans="1:1" x14ac:dyDescent="0.2">
      <c r="A406" t="s">
        <v>405</v>
      </c>
    </row>
    <row r="407" spans="1:1" x14ac:dyDescent="0.2">
      <c r="A407" t="s">
        <v>406</v>
      </c>
    </row>
    <row r="408" spans="1:1" x14ac:dyDescent="0.2">
      <c r="A408" t="s">
        <v>407</v>
      </c>
    </row>
    <row r="409" spans="1:1" x14ac:dyDescent="0.2">
      <c r="A409" t="s">
        <v>408</v>
      </c>
    </row>
    <row r="410" spans="1:1" x14ac:dyDescent="0.2">
      <c r="A410" t="s">
        <v>409</v>
      </c>
    </row>
    <row r="411" spans="1:1" x14ac:dyDescent="0.2">
      <c r="A411" t="s">
        <v>410</v>
      </c>
    </row>
    <row r="412" spans="1:1" x14ac:dyDescent="0.2">
      <c r="A412" t="s">
        <v>411</v>
      </c>
    </row>
    <row r="413" spans="1:1" x14ac:dyDescent="0.2">
      <c r="A413" t="s">
        <v>412</v>
      </c>
    </row>
    <row r="414" spans="1:1" x14ac:dyDescent="0.2">
      <c r="A414" t="s">
        <v>413</v>
      </c>
    </row>
    <row r="415" spans="1:1" x14ac:dyDescent="0.2">
      <c r="A415" t="s">
        <v>414</v>
      </c>
    </row>
    <row r="416" spans="1:1" x14ac:dyDescent="0.2">
      <c r="A416" t="s">
        <v>415</v>
      </c>
    </row>
    <row r="417" spans="1:1" x14ac:dyDescent="0.2">
      <c r="A417" t="s">
        <v>416</v>
      </c>
    </row>
    <row r="418" spans="1:1" x14ac:dyDescent="0.2">
      <c r="A418" t="s">
        <v>417</v>
      </c>
    </row>
    <row r="419" spans="1:1" x14ac:dyDescent="0.2">
      <c r="A419" t="s">
        <v>418</v>
      </c>
    </row>
    <row r="420" spans="1:1" x14ac:dyDescent="0.2">
      <c r="A420" t="s">
        <v>419</v>
      </c>
    </row>
    <row r="421" spans="1:1" x14ac:dyDescent="0.2">
      <c r="A421" t="s">
        <v>420</v>
      </c>
    </row>
    <row r="422" spans="1:1" x14ac:dyDescent="0.2">
      <c r="A422" t="s">
        <v>421</v>
      </c>
    </row>
    <row r="423" spans="1:1" x14ac:dyDescent="0.2">
      <c r="A423" t="s">
        <v>422</v>
      </c>
    </row>
    <row r="424" spans="1:1" x14ac:dyDescent="0.2">
      <c r="A424" t="s">
        <v>423</v>
      </c>
    </row>
    <row r="425" spans="1:1" x14ac:dyDescent="0.2">
      <c r="A425" t="s">
        <v>424</v>
      </c>
    </row>
    <row r="426" spans="1:1" x14ac:dyDescent="0.2">
      <c r="A426" t="s">
        <v>425</v>
      </c>
    </row>
    <row r="427" spans="1:1" x14ac:dyDescent="0.2">
      <c r="A427" t="s">
        <v>426</v>
      </c>
    </row>
    <row r="428" spans="1:1" x14ac:dyDescent="0.2">
      <c r="A428" t="s">
        <v>427</v>
      </c>
    </row>
    <row r="429" spans="1:1" x14ac:dyDescent="0.2">
      <c r="A429" t="s">
        <v>428</v>
      </c>
    </row>
    <row r="430" spans="1:1" x14ac:dyDescent="0.2">
      <c r="A430" t="s">
        <v>429</v>
      </c>
    </row>
    <row r="431" spans="1:1" x14ac:dyDescent="0.2">
      <c r="A431" t="s">
        <v>430</v>
      </c>
    </row>
    <row r="432" spans="1:1" x14ac:dyDescent="0.2">
      <c r="A432" t="s">
        <v>431</v>
      </c>
    </row>
    <row r="433" spans="1:1" x14ac:dyDescent="0.2">
      <c r="A433" t="s">
        <v>432</v>
      </c>
    </row>
    <row r="434" spans="1:1" x14ac:dyDescent="0.2">
      <c r="A434" t="s">
        <v>433</v>
      </c>
    </row>
    <row r="435" spans="1:1" x14ac:dyDescent="0.2">
      <c r="A435" t="s">
        <v>434</v>
      </c>
    </row>
    <row r="436" spans="1:1" x14ac:dyDescent="0.2">
      <c r="A436" t="s">
        <v>435</v>
      </c>
    </row>
    <row r="437" spans="1:1" x14ac:dyDescent="0.2">
      <c r="A437" t="s">
        <v>436</v>
      </c>
    </row>
    <row r="438" spans="1:1" x14ac:dyDescent="0.2">
      <c r="A438" t="s">
        <v>437</v>
      </c>
    </row>
    <row r="439" spans="1:1" x14ac:dyDescent="0.2">
      <c r="A439" t="s">
        <v>438</v>
      </c>
    </row>
    <row r="440" spans="1:1" x14ac:dyDescent="0.2">
      <c r="A440" t="s">
        <v>439</v>
      </c>
    </row>
    <row r="441" spans="1:1" x14ac:dyDescent="0.2">
      <c r="A441" t="s">
        <v>440</v>
      </c>
    </row>
    <row r="442" spans="1:1" x14ac:dyDescent="0.2">
      <c r="A442" t="s">
        <v>441</v>
      </c>
    </row>
    <row r="443" spans="1:1" x14ac:dyDescent="0.2">
      <c r="A443" t="s">
        <v>442</v>
      </c>
    </row>
    <row r="444" spans="1:1" x14ac:dyDescent="0.2">
      <c r="A444" t="s">
        <v>443</v>
      </c>
    </row>
    <row r="445" spans="1:1" x14ac:dyDescent="0.2">
      <c r="A445" t="s">
        <v>444</v>
      </c>
    </row>
    <row r="446" spans="1:1" x14ac:dyDescent="0.2">
      <c r="A446" t="s">
        <v>445</v>
      </c>
    </row>
    <row r="447" spans="1:1" x14ac:dyDescent="0.2">
      <c r="A447" t="s">
        <v>446</v>
      </c>
    </row>
    <row r="448" spans="1:1" x14ac:dyDescent="0.2">
      <c r="A448" t="s">
        <v>447</v>
      </c>
    </row>
    <row r="449" spans="1:1" x14ac:dyDescent="0.2">
      <c r="A449" t="s">
        <v>448</v>
      </c>
    </row>
    <row r="450" spans="1:1" x14ac:dyDescent="0.2">
      <c r="A450" t="s">
        <v>449</v>
      </c>
    </row>
    <row r="451" spans="1:1" x14ac:dyDescent="0.2">
      <c r="A451" t="s">
        <v>450</v>
      </c>
    </row>
    <row r="452" spans="1:1" x14ac:dyDescent="0.2">
      <c r="A452" t="s">
        <v>451</v>
      </c>
    </row>
    <row r="453" spans="1:1" x14ac:dyDescent="0.2">
      <c r="A453" t="s">
        <v>452</v>
      </c>
    </row>
    <row r="454" spans="1:1" x14ac:dyDescent="0.2">
      <c r="A454" t="s">
        <v>453</v>
      </c>
    </row>
    <row r="455" spans="1:1" x14ac:dyDescent="0.2">
      <c r="A455" t="s">
        <v>454</v>
      </c>
    </row>
    <row r="456" spans="1:1" x14ac:dyDescent="0.2">
      <c r="A456" t="s">
        <v>455</v>
      </c>
    </row>
    <row r="457" spans="1:1" x14ac:dyDescent="0.2">
      <c r="A457" t="s">
        <v>456</v>
      </c>
    </row>
    <row r="458" spans="1:1" x14ac:dyDescent="0.2">
      <c r="A458" t="s">
        <v>457</v>
      </c>
    </row>
    <row r="459" spans="1:1" x14ac:dyDescent="0.2">
      <c r="A459" t="s">
        <v>458</v>
      </c>
    </row>
    <row r="460" spans="1:1" x14ac:dyDescent="0.2">
      <c r="A460" t="s">
        <v>459</v>
      </c>
    </row>
    <row r="461" spans="1:1" x14ac:dyDescent="0.2">
      <c r="A461" t="s">
        <v>460</v>
      </c>
    </row>
    <row r="462" spans="1:1" x14ac:dyDescent="0.2">
      <c r="A462" t="s">
        <v>461</v>
      </c>
    </row>
    <row r="463" spans="1:1" x14ac:dyDescent="0.2">
      <c r="A463" t="s">
        <v>462</v>
      </c>
    </row>
    <row r="464" spans="1:1" x14ac:dyDescent="0.2">
      <c r="A464" t="s">
        <v>463</v>
      </c>
    </row>
    <row r="465" spans="1:1" x14ac:dyDescent="0.2">
      <c r="A465" t="s">
        <v>464</v>
      </c>
    </row>
    <row r="466" spans="1:1" x14ac:dyDescent="0.2">
      <c r="A466" t="s">
        <v>465</v>
      </c>
    </row>
    <row r="467" spans="1:1" x14ac:dyDescent="0.2">
      <c r="A467" t="s">
        <v>466</v>
      </c>
    </row>
    <row r="468" spans="1:1" x14ac:dyDescent="0.2">
      <c r="A468" t="s">
        <v>467</v>
      </c>
    </row>
    <row r="469" spans="1:1" x14ac:dyDescent="0.2">
      <c r="A469" t="s">
        <v>468</v>
      </c>
    </row>
    <row r="470" spans="1:1" x14ac:dyDescent="0.2">
      <c r="A470" t="s">
        <v>469</v>
      </c>
    </row>
    <row r="471" spans="1:1" x14ac:dyDescent="0.2">
      <c r="A471" t="s">
        <v>470</v>
      </c>
    </row>
    <row r="472" spans="1:1" x14ac:dyDescent="0.2">
      <c r="A472" t="s">
        <v>471</v>
      </c>
    </row>
    <row r="473" spans="1:1" x14ac:dyDescent="0.2">
      <c r="A473" t="s">
        <v>472</v>
      </c>
    </row>
    <row r="474" spans="1:1" x14ac:dyDescent="0.2">
      <c r="A474" t="s">
        <v>473</v>
      </c>
    </row>
    <row r="475" spans="1:1" x14ac:dyDescent="0.2">
      <c r="A475" t="s">
        <v>474</v>
      </c>
    </row>
    <row r="476" spans="1:1" x14ac:dyDescent="0.2">
      <c r="A476" t="s">
        <v>475</v>
      </c>
    </row>
    <row r="477" spans="1:1" x14ac:dyDescent="0.2">
      <c r="A477" t="s">
        <v>476</v>
      </c>
    </row>
    <row r="478" spans="1:1" x14ac:dyDescent="0.2">
      <c r="A478" t="s">
        <v>477</v>
      </c>
    </row>
    <row r="479" spans="1:1" x14ac:dyDescent="0.2">
      <c r="A479" t="s">
        <v>478</v>
      </c>
    </row>
    <row r="480" spans="1:1" x14ac:dyDescent="0.2">
      <c r="A480" t="s">
        <v>479</v>
      </c>
    </row>
    <row r="481" spans="1:1" x14ac:dyDescent="0.2">
      <c r="A481" t="s">
        <v>480</v>
      </c>
    </row>
    <row r="482" spans="1:1" x14ac:dyDescent="0.2">
      <c r="A482" t="s">
        <v>481</v>
      </c>
    </row>
    <row r="483" spans="1:1" x14ac:dyDescent="0.2">
      <c r="A483" t="s">
        <v>482</v>
      </c>
    </row>
    <row r="484" spans="1:1" x14ac:dyDescent="0.2">
      <c r="A484" t="s">
        <v>483</v>
      </c>
    </row>
    <row r="485" spans="1:1" x14ac:dyDescent="0.2">
      <c r="A485" t="s">
        <v>484</v>
      </c>
    </row>
    <row r="486" spans="1:1" x14ac:dyDescent="0.2">
      <c r="A486" t="s">
        <v>485</v>
      </c>
    </row>
    <row r="487" spans="1:1" x14ac:dyDescent="0.2">
      <c r="A487" t="s">
        <v>486</v>
      </c>
    </row>
    <row r="488" spans="1:1" x14ac:dyDescent="0.2">
      <c r="A488" t="s">
        <v>487</v>
      </c>
    </row>
    <row r="489" spans="1:1" x14ac:dyDescent="0.2">
      <c r="A489" t="s">
        <v>488</v>
      </c>
    </row>
    <row r="490" spans="1:1" x14ac:dyDescent="0.2">
      <c r="A490" t="s">
        <v>489</v>
      </c>
    </row>
    <row r="491" spans="1:1" x14ac:dyDescent="0.2">
      <c r="A491" t="s">
        <v>490</v>
      </c>
    </row>
    <row r="492" spans="1:1" x14ac:dyDescent="0.2">
      <c r="A492" t="s">
        <v>491</v>
      </c>
    </row>
    <row r="493" spans="1:1" x14ac:dyDescent="0.2">
      <c r="A493" t="s">
        <v>492</v>
      </c>
    </row>
    <row r="494" spans="1:1" x14ac:dyDescent="0.2">
      <c r="A494" t="s">
        <v>493</v>
      </c>
    </row>
    <row r="495" spans="1:1" x14ac:dyDescent="0.2">
      <c r="A495" t="s">
        <v>494</v>
      </c>
    </row>
    <row r="496" spans="1:1" x14ac:dyDescent="0.2">
      <c r="A496" t="s">
        <v>495</v>
      </c>
    </row>
    <row r="497" spans="1:1" x14ac:dyDescent="0.2">
      <c r="A497" t="s">
        <v>496</v>
      </c>
    </row>
    <row r="498" spans="1:1" x14ac:dyDescent="0.2">
      <c r="A498" t="s">
        <v>497</v>
      </c>
    </row>
    <row r="499" spans="1:1" x14ac:dyDescent="0.2">
      <c r="A499" t="s">
        <v>498</v>
      </c>
    </row>
    <row r="500" spans="1:1" x14ac:dyDescent="0.2">
      <c r="A500" t="s">
        <v>499</v>
      </c>
    </row>
    <row r="501" spans="1:1" x14ac:dyDescent="0.2">
      <c r="A501" t="s">
        <v>500</v>
      </c>
    </row>
    <row r="502" spans="1:1" x14ac:dyDescent="0.2">
      <c r="A502" t="s">
        <v>501</v>
      </c>
    </row>
    <row r="503" spans="1:1" x14ac:dyDescent="0.2">
      <c r="A503" t="s">
        <v>502</v>
      </c>
    </row>
    <row r="504" spans="1:1" x14ac:dyDescent="0.2">
      <c r="A504" t="s">
        <v>503</v>
      </c>
    </row>
    <row r="505" spans="1:1" x14ac:dyDescent="0.2">
      <c r="A505" t="s">
        <v>504</v>
      </c>
    </row>
    <row r="506" spans="1:1" x14ac:dyDescent="0.2">
      <c r="A506" t="s">
        <v>505</v>
      </c>
    </row>
    <row r="507" spans="1:1" x14ac:dyDescent="0.2">
      <c r="A507" t="s">
        <v>506</v>
      </c>
    </row>
    <row r="508" spans="1:1" x14ac:dyDescent="0.2">
      <c r="A508" t="s">
        <v>507</v>
      </c>
    </row>
    <row r="509" spans="1:1" x14ac:dyDescent="0.2">
      <c r="A509" t="s">
        <v>508</v>
      </c>
    </row>
    <row r="510" spans="1:1" x14ac:dyDescent="0.2">
      <c r="A510" t="s">
        <v>509</v>
      </c>
    </row>
    <row r="511" spans="1:1" x14ac:dyDescent="0.2">
      <c r="A511" t="s">
        <v>510</v>
      </c>
    </row>
    <row r="512" spans="1:1" x14ac:dyDescent="0.2">
      <c r="A512" t="s">
        <v>511</v>
      </c>
    </row>
    <row r="513" spans="1:1" x14ac:dyDescent="0.2">
      <c r="A513" t="s">
        <v>512</v>
      </c>
    </row>
    <row r="514" spans="1:1" x14ac:dyDescent="0.2">
      <c r="A514" t="s">
        <v>513</v>
      </c>
    </row>
    <row r="515" spans="1:1" x14ac:dyDescent="0.2">
      <c r="A515" t="s">
        <v>514</v>
      </c>
    </row>
    <row r="516" spans="1:1" x14ac:dyDescent="0.2">
      <c r="A516" t="s">
        <v>515</v>
      </c>
    </row>
    <row r="517" spans="1:1" x14ac:dyDescent="0.2">
      <c r="A517" t="s">
        <v>516</v>
      </c>
    </row>
    <row r="518" spans="1:1" x14ac:dyDescent="0.2">
      <c r="A518" t="s">
        <v>517</v>
      </c>
    </row>
    <row r="519" spans="1:1" x14ac:dyDescent="0.2">
      <c r="A519" t="s">
        <v>518</v>
      </c>
    </row>
    <row r="520" spans="1:1" x14ac:dyDescent="0.2">
      <c r="A520" t="s">
        <v>519</v>
      </c>
    </row>
    <row r="521" spans="1:1" x14ac:dyDescent="0.2">
      <c r="A521" t="s">
        <v>520</v>
      </c>
    </row>
    <row r="522" spans="1:1" x14ac:dyDescent="0.2">
      <c r="A522" t="s">
        <v>521</v>
      </c>
    </row>
    <row r="523" spans="1:1" x14ac:dyDescent="0.2">
      <c r="A523" t="s">
        <v>522</v>
      </c>
    </row>
    <row r="524" spans="1:1" x14ac:dyDescent="0.2">
      <c r="A524" t="s">
        <v>523</v>
      </c>
    </row>
    <row r="525" spans="1:1" x14ac:dyDescent="0.2">
      <c r="A525" t="s">
        <v>524</v>
      </c>
    </row>
    <row r="526" spans="1:1" x14ac:dyDescent="0.2">
      <c r="A526" t="s">
        <v>525</v>
      </c>
    </row>
    <row r="527" spans="1:1" x14ac:dyDescent="0.2">
      <c r="A527" t="s">
        <v>526</v>
      </c>
    </row>
    <row r="528" spans="1:1" x14ac:dyDescent="0.2">
      <c r="A528" t="s">
        <v>527</v>
      </c>
    </row>
    <row r="529" spans="1:1" x14ac:dyDescent="0.2">
      <c r="A529" t="s">
        <v>528</v>
      </c>
    </row>
    <row r="530" spans="1:1" x14ac:dyDescent="0.2">
      <c r="A530" t="s">
        <v>529</v>
      </c>
    </row>
    <row r="531" spans="1:1" x14ac:dyDescent="0.2">
      <c r="A531" t="s">
        <v>530</v>
      </c>
    </row>
    <row r="532" spans="1:1" x14ac:dyDescent="0.2">
      <c r="A532" t="s">
        <v>531</v>
      </c>
    </row>
    <row r="533" spans="1:1" x14ac:dyDescent="0.2">
      <c r="A533" t="s">
        <v>532</v>
      </c>
    </row>
    <row r="534" spans="1:1" x14ac:dyDescent="0.2">
      <c r="A534" t="s">
        <v>533</v>
      </c>
    </row>
    <row r="535" spans="1:1" x14ac:dyDescent="0.2">
      <c r="A535" t="s">
        <v>534</v>
      </c>
    </row>
    <row r="536" spans="1:1" x14ac:dyDescent="0.2">
      <c r="A536" t="s">
        <v>535</v>
      </c>
    </row>
    <row r="537" spans="1:1" x14ac:dyDescent="0.2">
      <c r="A537" t="s">
        <v>536</v>
      </c>
    </row>
    <row r="538" spans="1:1" x14ac:dyDescent="0.2">
      <c r="A538" t="s">
        <v>537</v>
      </c>
    </row>
    <row r="539" spans="1:1" x14ac:dyDescent="0.2">
      <c r="A539" t="s">
        <v>538</v>
      </c>
    </row>
    <row r="540" spans="1:1" x14ac:dyDescent="0.2">
      <c r="A540" t="s">
        <v>539</v>
      </c>
    </row>
    <row r="541" spans="1:1" x14ac:dyDescent="0.2">
      <c r="A541" t="s">
        <v>540</v>
      </c>
    </row>
    <row r="542" spans="1:1" x14ac:dyDescent="0.2">
      <c r="A542" t="s">
        <v>541</v>
      </c>
    </row>
    <row r="543" spans="1:1" x14ac:dyDescent="0.2">
      <c r="A543" t="s">
        <v>542</v>
      </c>
    </row>
    <row r="544" spans="1:1" x14ac:dyDescent="0.2">
      <c r="A544" t="s">
        <v>543</v>
      </c>
    </row>
    <row r="545" spans="1:1" x14ac:dyDescent="0.2">
      <c r="A545" t="s">
        <v>544</v>
      </c>
    </row>
    <row r="546" spans="1:1" x14ac:dyDescent="0.2">
      <c r="A546" t="s">
        <v>545</v>
      </c>
    </row>
    <row r="547" spans="1:1" x14ac:dyDescent="0.2">
      <c r="A547" t="s">
        <v>546</v>
      </c>
    </row>
    <row r="548" spans="1:1" x14ac:dyDescent="0.2">
      <c r="A548" t="s">
        <v>547</v>
      </c>
    </row>
    <row r="549" spans="1:1" x14ac:dyDescent="0.2">
      <c r="A549" t="s">
        <v>548</v>
      </c>
    </row>
    <row r="550" spans="1:1" x14ac:dyDescent="0.2">
      <c r="A550" t="s">
        <v>549</v>
      </c>
    </row>
    <row r="551" spans="1:1" x14ac:dyDescent="0.2">
      <c r="A551" t="s">
        <v>550</v>
      </c>
    </row>
    <row r="552" spans="1:1" x14ac:dyDescent="0.2">
      <c r="A552" t="s">
        <v>551</v>
      </c>
    </row>
    <row r="553" spans="1:1" x14ac:dyDescent="0.2">
      <c r="A553" t="s">
        <v>552</v>
      </c>
    </row>
    <row r="554" spans="1:1" x14ac:dyDescent="0.2">
      <c r="A554" t="s">
        <v>553</v>
      </c>
    </row>
    <row r="555" spans="1:1" x14ac:dyDescent="0.2">
      <c r="A555" t="s">
        <v>554</v>
      </c>
    </row>
    <row r="556" spans="1:1" x14ac:dyDescent="0.2">
      <c r="A556" t="s">
        <v>555</v>
      </c>
    </row>
    <row r="557" spans="1:1" x14ac:dyDescent="0.2">
      <c r="A557" t="s">
        <v>556</v>
      </c>
    </row>
    <row r="558" spans="1:1" x14ac:dyDescent="0.2">
      <c r="A558" t="s">
        <v>557</v>
      </c>
    </row>
    <row r="559" spans="1:1" x14ac:dyDescent="0.2">
      <c r="A559" t="s">
        <v>558</v>
      </c>
    </row>
    <row r="560" spans="1:1" x14ac:dyDescent="0.2">
      <c r="A560" t="s">
        <v>559</v>
      </c>
    </row>
    <row r="561" spans="1:1" x14ac:dyDescent="0.2">
      <c r="A561" t="s">
        <v>560</v>
      </c>
    </row>
    <row r="562" spans="1:1" x14ac:dyDescent="0.2">
      <c r="A562" t="s">
        <v>561</v>
      </c>
    </row>
    <row r="563" spans="1:1" x14ac:dyDescent="0.2">
      <c r="A563" t="s">
        <v>562</v>
      </c>
    </row>
    <row r="564" spans="1:1" x14ac:dyDescent="0.2">
      <c r="A564" t="s">
        <v>563</v>
      </c>
    </row>
    <row r="565" spans="1:1" x14ac:dyDescent="0.2">
      <c r="A565" t="s">
        <v>564</v>
      </c>
    </row>
    <row r="566" spans="1:1" x14ac:dyDescent="0.2">
      <c r="A566" t="s">
        <v>565</v>
      </c>
    </row>
    <row r="567" spans="1:1" x14ac:dyDescent="0.2">
      <c r="A567" t="s">
        <v>566</v>
      </c>
    </row>
    <row r="568" spans="1:1" x14ac:dyDescent="0.2">
      <c r="A568" t="s">
        <v>567</v>
      </c>
    </row>
    <row r="569" spans="1:1" x14ac:dyDescent="0.2">
      <c r="A569" t="s">
        <v>568</v>
      </c>
    </row>
    <row r="570" spans="1:1" x14ac:dyDescent="0.2">
      <c r="A570" t="s">
        <v>569</v>
      </c>
    </row>
    <row r="571" spans="1:1" x14ac:dyDescent="0.2">
      <c r="A571" t="s">
        <v>570</v>
      </c>
    </row>
    <row r="572" spans="1:1" x14ac:dyDescent="0.2">
      <c r="A572" t="s">
        <v>571</v>
      </c>
    </row>
    <row r="573" spans="1:1" x14ac:dyDescent="0.2">
      <c r="A573" t="s">
        <v>572</v>
      </c>
    </row>
    <row r="574" spans="1:1" x14ac:dyDescent="0.2">
      <c r="A574" t="s">
        <v>573</v>
      </c>
    </row>
    <row r="575" spans="1:1" x14ac:dyDescent="0.2">
      <c r="A575" t="s">
        <v>574</v>
      </c>
    </row>
    <row r="576" spans="1:1" x14ac:dyDescent="0.2">
      <c r="A576" t="s">
        <v>575</v>
      </c>
    </row>
    <row r="577" spans="1:1" x14ac:dyDescent="0.2">
      <c r="A577" t="s">
        <v>576</v>
      </c>
    </row>
    <row r="578" spans="1:1" x14ac:dyDescent="0.2">
      <c r="A578" t="s">
        <v>577</v>
      </c>
    </row>
    <row r="579" spans="1:1" x14ac:dyDescent="0.2">
      <c r="A579" t="s">
        <v>578</v>
      </c>
    </row>
    <row r="580" spans="1:1" x14ac:dyDescent="0.2">
      <c r="A580" t="s">
        <v>579</v>
      </c>
    </row>
    <row r="581" spans="1:1" x14ac:dyDescent="0.2">
      <c r="A581" t="s">
        <v>580</v>
      </c>
    </row>
    <row r="582" spans="1:1" x14ac:dyDescent="0.2">
      <c r="A582" t="s">
        <v>581</v>
      </c>
    </row>
    <row r="583" spans="1:1" x14ac:dyDescent="0.2">
      <c r="A583" t="s">
        <v>582</v>
      </c>
    </row>
    <row r="584" spans="1:1" x14ac:dyDescent="0.2">
      <c r="A584" t="s">
        <v>583</v>
      </c>
    </row>
    <row r="585" spans="1:1" x14ac:dyDescent="0.2">
      <c r="A585" t="s">
        <v>584</v>
      </c>
    </row>
    <row r="586" spans="1:1" x14ac:dyDescent="0.2">
      <c r="A586" t="s">
        <v>585</v>
      </c>
    </row>
    <row r="587" spans="1:1" x14ac:dyDescent="0.2">
      <c r="A587" t="s">
        <v>586</v>
      </c>
    </row>
    <row r="588" spans="1:1" x14ac:dyDescent="0.2">
      <c r="A588" t="s">
        <v>587</v>
      </c>
    </row>
    <row r="589" spans="1:1" x14ac:dyDescent="0.2">
      <c r="A589" t="s">
        <v>588</v>
      </c>
    </row>
    <row r="590" spans="1:1" x14ac:dyDescent="0.2">
      <c r="A590" t="s">
        <v>589</v>
      </c>
    </row>
    <row r="591" spans="1:1" x14ac:dyDescent="0.2">
      <c r="A591" t="s">
        <v>590</v>
      </c>
    </row>
    <row r="592" spans="1:1" x14ac:dyDescent="0.2">
      <c r="A592" t="s">
        <v>591</v>
      </c>
    </row>
    <row r="593" spans="1:1" x14ac:dyDescent="0.2">
      <c r="A593" t="s">
        <v>592</v>
      </c>
    </row>
    <row r="594" spans="1:1" x14ac:dyDescent="0.2">
      <c r="A594" t="s">
        <v>593</v>
      </c>
    </row>
    <row r="595" spans="1:1" x14ac:dyDescent="0.2">
      <c r="A595" t="s">
        <v>594</v>
      </c>
    </row>
    <row r="596" spans="1:1" x14ac:dyDescent="0.2">
      <c r="A596" t="s">
        <v>595</v>
      </c>
    </row>
    <row r="597" spans="1:1" x14ac:dyDescent="0.2">
      <c r="A597" t="s">
        <v>596</v>
      </c>
    </row>
    <row r="598" spans="1:1" x14ac:dyDescent="0.2">
      <c r="A598" t="s">
        <v>597</v>
      </c>
    </row>
    <row r="599" spans="1:1" x14ac:dyDescent="0.2">
      <c r="A599" t="s">
        <v>598</v>
      </c>
    </row>
    <row r="600" spans="1:1" x14ac:dyDescent="0.2">
      <c r="A600" t="s">
        <v>599</v>
      </c>
    </row>
    <row r="601" spans="1:1" x14ac:dyDescent="0.2">
      <c r="A601" t="s">
        <v>600</v>
      </c>
    </row>
    <row r="602" spans="1:1" x14ac:dyDescent="0.2">
      <c r="A602" t="s">
        <v>601</v>
      </c>
    </row>
    <row r="603" spans="1:1" x14ac:dyDescent="0.2">
      <c r="A603" t="s">
        <v>602</v>
      </c>
    </row>
    <row r="604" spans="1:1" x14ac:dyDescent="0.2">
      <c r="A604" t="s">
        <v>603</v>
      </c>
    </row>
    <row r="605" spans="1:1" x14ac:dyDescent="0.2">
      <c r="A605" t="s">
        <v>604</v>
      </c>
    </row>
    <row r="606" spans="1:1" x14ac:dyDescent="0.2">
      <c r="A606" t="s">
        <v>605</v>
      </c>
    </row>
    <row r="607" spans="1:1" x14ac:dyDescent="0.2">
      <c r="A607" t="s">
        <v>606</v>
      </c>
    </row>
    <row r="608" spans="1:1" x14ac:dyDescent="0.2">
      <c r="A608" t="s">
        <v>607</v>
      </c>
    </row>
    <row r="609" spans="1:1" x14ac:dyDescent="0.2">
      <c r="A609" t="s">
        <v>608</v>
      </c>
    </row>
    <row r="610" spans="1:1" x14ac:dyDescent="0.2">
      <c r="A610" t="s">
        <v>609</v>
      </c>
    </row>
    <row r="611" spans="1:1" x14ac:dyDescent="0.2">
      <c r="A611" t="s">
        <v>610</v>
      </c>
    </row>
    <row r="612" spans="1:1" x14ac:dyDescent="0.2">
      <c r="A612" t="s">
        <v>611</v>
      </c>
    </row>
    <row r="613" spans="1:1" x14ac:dyDescent="0.2">
      <c r="A613" t="s">
        <v>612</v>
      </c>
    </row>
    <row r="614" spans="1:1" x14ac:dyDescent="0.2">
      <c r="A614" t="s">
        <v>613</v>
      </c>
    </row>
    <row r="615" spans="1:1" x14ac:dyDescent="0.2">
      <c r="A615" t="s">
        <v>614</v>
      </c>
    </row>
    <row r="616" spans="1:1" x14ac:dyDescent="0.2">
      <c r="A616" t="s">
        <v>615</v>
      </c>
    </row>
    <row r="617" spans="1:1" x14ac:dyDescent="0.2">
      <c r="A617" t="s">
        <v>616</v>
      </c>
    </row>
    <row r="618" spans="1:1" x14ac:dyDescent="0.2">
      <c r="A618" t="s">
        <v>617</v>
      </c>
    </row>
    <row r="619" spans="1:1" x14ac:dyDescent="0.2">
      <c r="A619" t="s">
        <v>618</v>
      </c>
    </row>
    <row r="620" spans="1:1" x14ac:dyDescent="0.2">
      <c r="A620" t="s">
        <v>619</v>
      </c>
    </row>
    <row r="621" spans="1:1" x14ac:dyDescent="0.2">
      <c r="A621" t="s">
        <v>620</v>
      </c>
    </row>
    <row r="622" spans="1:1" x14ac:dyDescent="0.2">
      <c r="A622" t="s">
        <v>621</v>
      </c>
    </row>
    <row r="623" spans="1:1" x14ac:dyDescent="0.2">
      <c r="A623" t="s">
        <v>622</v>
      </c>
    </row>
    <row r="624" spans="1:1" x14ac:dyDescent="0.2">
      <c r="A624" t="s">
        <v>623</v>
      </c>
    </row>
    <row r="625" spans="1:1" x14ac:dyDescent="0.2">
      <c r="A625" t="s">
        <v>624</v>
      </c>
    </row>
    <row r="626" spans="1:1" x14ac:dyDescent="0.2">
      <c r="A626" t="s">
        <v>625</v>
      </c>
    </row>
    <row r="627" spans="1:1" x14ac:dyDescent="0.2">
      <c r="A627" t="s">
        <v>626</v>
      </c>
    </row>
    <row r="628" spans="1:1" x14ac:dyDescent="0.2">
      <c r="A628" t="s">
        <v>627</v>
      </c>
    </row>
    <row r="629" spans="1:1" x14ac:dyDescent="0.2">
      <c r="A629" t="s">
        <v>628</v>
      </c>
    </row>
    <row r="630" spans="1:1" x14ac:dyDescent="0.2">
      <c r="A630" t="s">
        <v>629</v>
      </c>
    </row>
    <row r="631" spans="1:1" x14ac:dyDescent="0.2">
      <c r="A631" t="s">
        <v>630</v>
      </c>
    </row>
    <row r="632" spans="1:1" x14ac:dyDescent="0.2">
      <c r="A632" t="s">
        <v>631</v>
      </c>
    </row>
    <row r="633" spans="1:1" x14ac:dyDescent="0.2">
      <c r="A633" t="s">
        <v>632</v>
      </c>
    </row>
    <row r="634" spans="1:1" x14ac:dyDescent="0.2">
      <c r="A634" t="s">
        <v>633</v>
      </c>
    </row>
    <row r="635" spans="1:1" x14ac:dyDescent="0.2">
      <c r="A635" t="s">
        <v>634</v>
      </c>
    </row>
    <row r="636" spans="1:1" x14ac:dyDescent="0.2">
      <c r="A636" t="s">
        <v>635</v>
      </c>
    </row>
    <row r="637" spans="1:1" x14ac:dyDescent="0.2">
      <c r="A637" t="s">
        <v>636</v>
      </c>
    </row>
    <row r="638" spans="1:1" x14ac:dyDescent="0.2">
      <c r="A638" t="s">
        <v>637</v>
      </c>
    </row>
    <row r="639" spans="1:1" x14ac:dyDescent="0.2">
      <c r="A639" t="s">
        <v>638</v>
      </c>
    </row>
    <row r="640" spans="1:1" x14ac:dyDescent="0.2">
      <c r="A640" t="s">
        <v>639</v>
      </c>
    </row>
    <row r="641" spans="1:1" x14ac:dyDescent="0.2">
      <c r="A641" t="s">
        <v>640</v>
      </c>
    </row>
    <row r="642" spans="1:1" x14ac:dyDescent="0.2">
      <c r="A642" t="s">
        <v>641</v>
      </c>
    </row>
    <row r="643" spans="1:1" x14ac:dyDescent="0.2">
      <c r="A643" t="s">
        <v>642</v>
      </c>
    </row>
    <row r="644" spans="1:1" x14ac:dyDescent="0.2">
      <c r="A644" t="s">
        <v>643</v>
      </c>
    </row>
    <row r="645" spans="1:1" x14ac:dyDescent="0.2">
      <c r="A645" t="s">
        <v>644</v>
      </c>
    </row>
    <row r="646" spans="1:1" x14ac:dyDescent="0.2">
      <c r="A646" t="s">
        <v>645</v>
      </c>
    </row>
    <row r="647" spans="1:1" x14ac:dyDescent="0.2">
      <c r="A647" t="s">
        <v>646</v>
      </c>
    </row>
    <row r="648" spans="1:1" x14ac:dyDescent="0.2">
      <c r="A648" t="s">
        <v>647</v>
      </c>
    </row>
    <row r="649" spans="1:1" x14ac:dyDescent="0.2">
      <c r="A649" t="s">
        <v>648</v>
      </c>
    </row>
    <row r="650" spans="1:1" x14ac:dyDescent="0.2">
      <c r="A650" t="s">
        <v>649</v>
      </c>
    </row>
    <row r="651" spans="1:1" x14ac:dyDescent="0.2">
      <c r="A651" t="s">
        <v>650</v>
      </c>
    </row>
    <row r="652" spans="1:1" x14ac:dyDescent="0.2">
      <c r="A652" t="s">
        <v>651</v>
      </c>
    </row>
    <row r="653" spans="1:1" x14ac:dyDescent="0.2">
      <c r="A653" t="s">
        <v>652</v>
      </c>
    </row>
    <row r="654" spans="1:1" x14ac:dyDescent="0.2">
      <c r="A654" t="s">
        <v>653</v>
      </c>
    </row>
    <row r="655" spans="1:1" x14ac:dyDescent="0.2">
      <c r="A655" t="s">
        <v>654</v>
      </c>
    </row>
    <row r="656" spans="1:1" x14ac:dyDescent="0.2">
      <c r="A656" t="s">
        <v>655</v>
      </c>
    </row>
    <row r="657" spans="1:1" x14ac:dyDescent="0.2">
      <c r="A657" t="s">
        <v>656</v>
      </c>
    </row>
    <row r="658" spans="1:1" x14ac:dyDescent="0.2">
      <c r="A658" t="s">
        <v>657</v>
      </c>
    </row>
    <row r="659" spans="1:1" x14ac:dyDescent="0.2">
      <c r="A659" t="s">
        <v>658</v>
      </c>
    </row>
    <row r="660" spans="1:1" x14ac:dyDescent="0.2">
      <c r="A660" t="s">
        <v>659</v>
      </c>
    </row>
    <row r="661" spans="1:1" x14ac:dyDescent="0.2">
      <c r="A661" t="s">
        <v>660</v>
      </c>
    </row>
    <row r="662" spans="1:1" x14ac:dyDescent="0.2">
      <c r="A662" t="s">
        <v>661</v>
      </c>
    </row>
    <row r="663" spans="1:1" x14ac:dyDescent="0.2">
      <c r="A663" t="s">
        <v>662</v>
      </c>
    </row>
    <row r="664" spans="1:1" x14ac:dyDescent="0.2">
      <c r="A664" t="s">
        <v>663</v>
      </c>
    </row>
    <row r="665" spans="1:1" x14ac:dyDescent="0.2">
      <c r="A665" t="s">
        <v>664</v>
      </c>
    </row>
    <row r="666" spans="1:1" x14ac:dyDescent="0.2">
      <c r="A666" t="s">
        <v>665</v>
      </c>
    </row>
    <row r="667" spans="1:1" x14ac:dyDescent="0.2">
      <c r="A667" t="s">
        <v>666</v>
      </c>
    </row>
    <row r="668" spans="1:1" x14ac:dyDescent="0.2">
      <c r="A668" t="s">
        <v>667</v>
      </c>
    </row>
    <row r="669" spans="1:1" x14ac:dyDescent="0.2">
      <c r="A669" t="s">
        <v>668</v>
      </c>
    </row>
    <row r="670" spans="1:1" x14ac:dyDescent="0.2">
      <c r="A670" t="s">
        <v>669</v>
      </c>
    </row>
    <row r="671" spans="1:1" x14ac:dyDescent="0.2">
      <c r="A671" t="s">
        <v>670</v>
      </c>
    </row>
    <row r="672" spans="1:1" x14ac:dyDescent="0.2">
      <c r="A672" t="s">
        <v>671</v>
      </c>
    </row>
    <row r="673" spans="1:1" x14ac:dyDescent="0.2">
      <c r="A673" t="s">
        <v>672</v>
      </c>
    </row>
    <row r="674" spans="1:1" x14ac:dyDescent="0.2">
      <c r="A674" t="s">
        <v>673</v>
      </c>
    </row>
    <row r="675" spans="1:1" x14ac:dyDescent="0.2">
      <c r="A675" t="s">
        <v>674</v>
      </c>
    </row>
    <row r="676" spans="1:1" x14ac:dyDescent="0.2">
      <c r="A676" t="s">
        <v>675</v>
      </c>
    </row>
    <row r="677" spans="1:1" x14ac:dyDescent="0.2">
      <c r="A677" t="s">
        <v>676</v>
      </c>
    </row>
    <row r="678" spans="1:1" x14ac:dyDescent="0.2">
      <c r="A678" t="s">
        <v>677</v>
      </c>
    </row>
    <row r="679" spans="1:1" x14ac:dyDescent="0.2">
      <c r="A679" t="s">
        <v>678</v>
      </c>
    </row>
    <row r="680" spans="1:1" x14ac:dyDescent="0.2">
      <c r="A680" t="s">
        <v>679</v>
      </c>
    </row>
    <row r="681" spans="1:1" x14ac:dyDescent="0.2">
      <c r="A681" t="s">
        <v>680</v>
      </c>
    </row>
    <row r="682" spans="1:1" x14ac:dyDescent="0.2">
      <c r="A682" t="s">
        <v>681</v>
      </c>
    </row>
    <row r="683" spans="1:1" x14ac:dyDescent="0.2">
      <c r="A683" t="s">
        <v>682</v>
      </c>
    </row>
    <row r="684" spans="1:1" x14ac:dyDescent="0.2">
      <c r="A684" t="s">
        <v>683</v>
      </c>
    </row>
    <row r="685" spans="1:1" x14ac:dyDescent="0.2">
      <c r="A685" t="s">
        <v>684</v>
      </c>
    </row>
    <row r="686" spans="1:1" x14ac:dyDescent="0.2">
      <c r="A686" t="s">
        <v>685</v>
      </c>
    </row>
    <row r="687" spans="1:1" x14ac:dyDescent="0.2">
      <c r="A687" t="s">
        <v>686</v>
      </c>
    </row>
    <row r="688" spans="1:1" x14ac:dyDescent="0.2">
      <c r="A688" t="s">
        <v>687</v>
      </c>
    </row>
    <row r="689" spans="1:1" x14ac:dyDescent="0.2">
      <c r="A689" t="s">
        <v>688</v>
      </c>
    </row>
    <row r="690" spans="1:1" x14ac:dyDescent="0.2">
      <c r="A690" t="s">
        <v>689</v>
      </c>
    </row>
    <row r="691" spans="1:1" x14ac:dyDescent="0.2">
      <c r="A691" t="s">
        <v>690</v>
      </c>
    </row>
    <row r="692" spans="1:1" x14ac:dyDescent="0.2">
      <c r="A692" t="s">
        <v>691</v>
      </c>
    </row>
    <row r="693" spans="1:1" x14ac:dyDescent="0.2">
      <c r="A693" t="s">
        <v>692</v>
      </c>
    </row>
    <row r="694" spans="1:1" x14ac:dyDescent="0.2">
      <c r="A694" t="s">
        <v>693</v>
      </c>
    </row>
    <row r="695" spans="1:1" x14ac:dyDescent="0.2">
      <c r="A695" t="s">
        <v>694</v>
      </c>
    </row>
    <row r="696" spans="1:1" x14ac:dyDescent="0.2">
      <c r="A696" t="s">
        <v>695</v>
      </c>
    </row>
    <row r="697" spans="1:1" x14ac:dyDescent="0.2">
      <c r="A697" t="s">
        <v>696</v>
      </c>
    </row>
    <row r="698" spans="1:1" x14ac:dyDescent="0.2">
      <c r="A698" t="s">
        <v>697</v>
      </c>
    </row>
    <row r="699" spans="1:1" x14ac:dyDescent="0.2">
      <c r="A699" t="s">
        <v>698</v>
      </c>
    </row>
    <row r="700" spans="1:1" x14ac:dyDescent="0.2">
      <c r="A700" t="s">
        <v>699</v>
      </c>
    </row>
    <row r="701" spans="1:1" x14ac:dyDescent="0.2">
      <c r="A701" t="s">
        <v>700</v>
      </c>
    </row>
    <row r="702" spans="1:1" x14ac:dyDescent="0.2">
      <c r="A702" t="s">
        <v>701</v>
      </c>
    </row>
    <row r="703" spans="1:1" x14ac:dyDescent="0.2">
      <c r="A703" t="s">
        <v>702</v>
      </c>
    </row>
    <row r="704" spans="1:1" x14ac:dyDescent="0.2">
      <c r="A704" t="s">
        <v>703</v>
      </c>
    </row>
    <row r="705" spans="1:1" x14ac:dyDescent="0.2">
      <c r="A705" t="s">
        <v>704</v>
      </c>
    </row>
    <row r="706" spans="1:1" x14ac:dyDescent="0.2">
      <c r="A706" t="s">
        <v>705</v>
      </c>
    </row>
    <row r="707" spans="1:1" x14ac:dyDescent="0.2">
      <c r="A707" t="s">
        <v>706</v>
      </c>
    </row>
    <row r="708" spans="1:1" x14ac:dyDescent="0.2">
      <c r="A708" t="s">
        <v>707</v>
      </c>
    </row>
    <row r="709" spans="1:1" x14ac:dyDescent="0.2">
      <c r="A709" t="s">
        <v>708</v>
      </c>
    </row>
    <row r="710" spans="1:1" x14ac:dyDescent="0.2">
      <c r="A710" t="s">
        <v>709</v>
      </c>
    </row>
    <row r="711" spans="1:1" x14ac:dyDescent="0.2">
      <c r="A711" t="s">
        <v>710</v>
      </c>
    </row>
    <row r="712" spans="1:1" x14ac:dyDescent="0.2">
      <c r="A712" t="s">
        <v>711</v>
      </c>
    </row>
    <row r="713" spans="1:1" x14ac:dyDescent="0.2">
      <c r="A713" t="s">
        <v>712</v>
      </c>
    </row>
    <row r="714" spans="1:1" x14ac:dyDescent="0.2">
      <c r="A714" t="s">
        <v>713</v>
      </c>
    </row>
    <row r="715" spans="1:1" x14ac:dyDescent="0.2">
      <c r="A715" t="s">
        <v>714</v>
      </c>
    </row>
    <row r="716" spans="1:1" x14ac:dyDescent="0.2">
      <c r="A716" t="s">
        <v>715</v>
      </c>
    </row>
    <row r="717" spans="1:1" x14ac:dyDescent="0.2">
      <c r="A717" t="s">
        <v>716</v>
      </c>
    </row>
    <row r="718" spans="1:1" x14ac:dyDescent="0.2">
      <c r="A718" t="s">
        <v>717</v>
      </c>
    </row>
    <row r="719" spans="1:1" x14ac:dyDescent="0.2">
      <c r="A719" t="s">
        <v>718</v>
      </c>
    </row>
    <row r="720" spans="1:1" x14ac:dyDescent="0.2">
      <c r="A720" t="s">
        <v>719</v>
      </c>
    </row>
    <row r="721" spans="1:1" x14ac:dyDescent="0.2">
      <c r="A721" t="s">
        <v>720</v>
      </c>
    </row>
    <row r="722" spans="1:1" x14ac:dyDescent="0.2">
      <c r="A722" t="s">
        <v>721</v>
      </c>
    </row>
    <row r="723" spans="1:1" x14ac:dyDescent="0.2">
      <c r="A723" t="s">
        <v>722</v>
      </c>
    </row>
    <row r="724" spans="1:1" x14ac:dyDescent="0.2">
      <c r="A724" t="s">
        <v>723</v>
      </c>
    </row>
    <row r="725" spans="1:1" x14ac:dyDescent="0.2">
      <c r="A725" t="s">
        <v>724</v>
      </c>
    </row>
    <row r="726" spans="1:1" x14ac:dyDescent="0.2">
      <c r="A726" t="s">
        <v>725</v>
      </c>
    </row>
    <row r="727" spans="1:1" x14ac:dyDescent="0.2">
      <c r="A727" t="s">
        <v>726</v>
      </c>
    </row>
    <row r="728" spans="1:1" x14ac:dyDescent="0.2">
      <c r="A728" t="s">
        <v>727</v>
      </c>
    </row>
    <row r="729" spans="1:1" x14ac:dyDescent="0.2">
      <c r="A729" t="s">
        <v>728</v>
      </c>
    </row>
    <row r="730" spans="1:1" x14ac:dyDescent="0.2">
      <c r="A730" t="s">
        <v>729</v>
      </c>
    </row>
    <row r="731" spans="1:1" x14ac:dyDescent="0.2">
      <c r="A731" t="s">
        <v>730</v>
      </c>
    </row>
    <row r="732" spans="1:1" x14ac:dyDescent="0.2">
      <c r="A732" t="s">
        <v>731</v>
      </c>
    </row>
    <row r="733" spans="1:1" x14ac:dyDescent="0.2">
      <c r="A733" t="s">
        <v>732</v>
      </c>
    </row>
    <row r="734" spans="1:1" x14ac:dyDescent="0.2">
      <c r="A734" t="s">
        <v>733</v>
      </c>
    </row>
    <row r="735" spans="1:1" x14ac:dyDescent="0.2">
      <c r="A735" t="s">
        <v>734</v>
      </c>
    </row>
    <row r="736" spans="1:1" x14ac:dyDescent="0.2">
      <c r="A736" t="s">
        <v>735</v>
      </c>
    </row>
    <row r="737" spans="1:1" x14ac:dyDescent="0.2">
      <c r="A737" t="s">
        <v>736</v>
      </c>
    </row>
    <row r="738" spans="1:1" x14ac:dyDescent="0.2">
      <c r="A738" t="s">
        <v>737</v>
      </c>
    </row>
    <row r="739" spans="1:1" x14ac:dyDescent="0.2">
      <c r="A739" t="s">
        <v>738</v>
      </c>
    </row>
    <row r="740" spans="1:1" x14ac:dyDescent="0.2">
      <c r="A740" t="s">
        <v>739</v>
      </c>
    </row>
    <row r="741" spans="1:1" x14ac:dyDescent="0.2">
      <c r="A741" t="s">
        <v>740</v>
      </c>
    </row>
    <row r="742" spans="1:1" x14ac:dyDescent="0.2">
      <c r="A742" t="s">
        <v>741</v>
      </c>
    </row>
    <row r="743" spans="1:1" x14ac:dyDescent="0.2">
      <c r="A743" t="s">
        <v>742</v>
      </c>
    </row>
    <row r="744" spans="1:1" x14ac:dyDescent="0.2">
      <c r="A744" t="s">
        <v>743</v>
      </c>
    </row>
    <row r="745" spans="1:1" x14ac:dyDescent="0.2">
      <c r="A745" t="s">
        <v>744</v>
      </c>
    </row>
    <row r="746" spans="1:1" x14ac:dyDescent="0.2">
      <c r="A746" t="s">
        <v>745</v>
      </c>
    </row>
    <row r="747" spans="1:1" x14ac:dyDescent="0.2">
      <c r="A747" t="s">
        <v>746</v>
      </c>
    </row>
    <row r="748" spans="1:1" x14ac:dyDescent="0.2">
      <c r="A748" t="s">
        <v>747</v>
      </c>
    </row>
    <row r="749" spans="1:1" x14ac:dyDescent="0.2">
      <c r="A749" t="s">
        <v>748</v>
      </c>
    </row>
    <row r="750" spans="1:1" x14ac:dyDescent="0.2">
      <c r="A750" t="s">
        <v>749</v>
      </c>
    </row>
    <row r="751" spans="1:1" x14ac:dyDescent="0.2">
      <c r="A751" t="s">
        <v>750</v>
      </c>
    </row>
    <row r="752" spans="1:1" x14ac:dyDescent="0.2">
      <c r="A752" t="s">
        <v>751</v>
      </c>
    </row>
    <row r="753" spans="1:1" x14ac:dyDescent="0.2">
      <c r="A753" t="s">
        <v>752</v>
      </c>
    </row>
    <row r="754" spans="1:1" x14ac:dyDescent="0.2">
      <c r="A754" t="s">
        <v>753</v>
      </c>
    </row>
    <row r="755" spans="1:1" x14ac:dyDescent="0.2">
      <c r="A755" t="s">
        <v>754</v>
      </c>
    </row>
    <row r="756" spans="1:1" x14ac:dyDescent="0.2">
      <c r="A756" t="s">
        <v>755</v>
      </c>
    </row>
    <row r="757" spans="1:1" x14ac:dyDescent="0.2">
      <c r="A757" t="s">
        <v>756</v>
      </c>
    </row>
    <row r="758" spans="1:1" x14ac:dyDescent="0.2">
      <c r="A758" t="s">
        <v>757</v>
      </c>
    </row>
    <row r="759" spans="1:1" x14ac:dyDescent="0.2">
      <c r="A759" t="s">
        <v>758</v>
      </c>
    </row>
    <row r="760" spans="1:1" x14ac:dyDescent="0.2">
      <c r="A760" t="s">
        <v>759</v>
      </c>
    </row>
    <row r="761" spans="1:1" x14ac:dyDescent="0.2">
      <c r="A761" t="s">
        <v>760</v>
      </c>
    </row>
    <row r="762" spans="1:1" x14ac:dyDescent="0.2">
      <c r="A762" t="s">
        <v>761</v>
      </c>
    </row>
    <row r="763" spans="1:1" x14ac:dyDescent="0.2">
      <c r="A763" t="s">
        <v>762</v>
      </c>
    </row>
    <row r="764" spans="1:1" x14ac:dyDescent="0.2">
      <c r="A764" t="s">
        <v>763</v>
      </c>
    </row>
    <row r="765" spans="1:1" x14ac:dyDescent="0.2">
      <c r="A765" t="s">
        <v>764</v>
      </c>
    </row>
    <row r="766" spans="1:1" x14ac:dyDescent="0.2">
      <c r="A766" t="s">
        <v>765</v>
      </c>
    </row>
    <row r="767" spans="1:1" x14ac:dyDescent="0.2">
      <c r="A767" t="s">
        <v>766</v>
      </c>
    </row>
    <row r="768" spans="1:1" x14ac:dyDescent="0.2">
      <c r="A768" t="s">
        <v>767</v>
      </c>
    </row>
    <row r="769" spans="1:1" x14ac:dyDescent="0.2">
      <c r="A769" t="s">
        <v>768</v>
      </c>
    </row>
    <row r="770" spans="1:1" x14ac:dyDescent="0.2">
      <c r="A770" t="s">
        <v>769</v>
      </c>
    </row>
    <row r="771" spans="1:1" x14ac:dyDescent="0.2">
      <c r="A771" t="s">
        <v>770</v>
      </c>
    </row>
    <row r="772" spans="1:1" x14ac:dyDescent="0.2">
      <c r="A772" t="s">
        <v>771</v>
      </c>
    </row>
    <row r="773" spans="1:1" x14ac:dyDescent="0.2">
      <c r="A773" t="s">
        <v>772</v>
      </c>
    </row>
    <row r="774" spans="1:1" x14ac:dyDescent="0.2">
      <c r="A774" t="s">
        <v>773</v>
      </c>
    </row>
    <row r="775" spans="1:1" x14ac:dyDescent="0.2">
      <c r="A775" t="s">
        <v>774</v>
      </c>
    </row>
    <row r="776" spans="1:1" x14ac:dyDescent="0.2">
      <c r="A776" t="s">
        <v>775</v>
      </c>
    </row>
    <row r="777" spans="1:1" x14ac:dyDescent="0.2">
      <c r="A777" t="s">
        <v>776</v>
      </c>
    </row>
    <row r="778" spans="1:1" x14ac:dyDescent="0.2">
      <c r="A778" t="s">
        <v>777</v>
      </c>
    </row>
    <row r="779" spans="1:1" x14ac:dyDescent="0.2">
      <c r="A779" t="s">
        <v>778</v>
      </c>
    </row>
    <row r="780" spans="1:1" x14ac:dyDescent="0.2">
      <c r="A780" t="s">
        <v>779</v>
      </c>
    </row>
    <row r="781" spans="1:1" x14ac:dyDescent="0.2">
      <c r="A781" t="s">
        <v>780</v>
      </c>
    </row>
    <row r="782" spans="1:1" x14ac:dyDescent="0.2">
      <c r="A782" t="s">
        <v>781</v>
      </c>
    </row>
    <row r="783" spans="1:1" x14ac:dyDescent="0.2">
      <c r="A783" t="s">
        <v>782</v>
      </c>
    </row>
    <row r="784" spans="1:1" x14ac:dyDescent="0.2">
      <c r="A784" t="s">
        <v>783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1"/>
  <sheetViews>
    <sheetView topLeftCell="A5" zoomScale="70" zoomScaleNormal="70" workbookViewId="0">
      <selection activeCell="F20" sqref="F20"/>
    </sheetView>
  </sheetViews>
  <sheetFormatPr baseColWidth="10" defaultColWidth="8.83203125" defaultRowHeight="15" x14ac:dyDescent="0.2"/>
  <cols>
    <col min="1" max="1" width="5.6640625" bestFit="1" customWidth="1"/>
    <col min="2" max="2" width="1.6640625" bestFit="1" customWidth="1"/>
    <col min="3" max="3" width="14" bestFit="1" customWidth="1"/>
    <col min="4" max="4" width="19.5" bestFit="1" customWidth="1"/>
    <col min="5" max="5" width="13" bestFit="1" customWidth="1"/>
    <col min="6" max="7" width="15.6640625" customWidth="1"/>
  </cols>
  <sheetData>
    <row r="1" spans="1:10" x14ac:dyDescent="0.2">
      <c r="C1" t="s">
        <v>784</v>
      </c>
      <c r="D1" t="s">
        <v>785</v>
      </c>
      <c r="E1" t="s">
        <v>786</v>
      </c>
      <c r="F1" t="s">
        <v>787</v>
      </c>
      <c r="G1" t="s">
        <v>788</v>
      </c>
      <c r="I1" t="s">
        <v>789</v>
      </c>
      <c r="J1" t="s">
        <v>790</v>
      </c>
    </row>
    <row r="2" spans="1:10" x14ac:dyDescent="0.2">
      <c r="A2">
        <v>100</v>
      </c>
      <c r="B2">
        <v>1</v>
      </c>
      <c r="C2" t="str">
        <f>A2&amp;"-0"&amp;B2</f>
        <v>100-01</v>
      </c>
      <c r="D2" t="s">
        <v>791</v>
      </c>
      <c r="E2">
        <v>1.6953402999999999E-2</v>
      </c>
      <c r="F2">
        <v>2.2305947000859298E-2</v>
      </c>
      <c r="G2">
        <v>2.0152320000000001</v>
      </c>
      <c r="I2">
        <v>490</v>
      </c>
      <c r="J2">
        <v>1.2970499999999999E-2</v>
      </c>
    </row>
    <row r="3" spans="1:10" x14ac:dyDescent="0.2">
      <c r="A3">
        <v>100</v>
      </c>
      <c r="B3">
        <v>2</v>
      </c>
      <c r="C3" t="str">
        <f t="shared" ref="C3:C66" si="0">A3&amp;"-0"&amp;B3</f>
        <v>100-02</v>
      </c>
      <c r="D3" t="s">
        <v>791</v>
      </c>
      <c r="E3">
        <v>4.5382770000000003E-2</v>
      </c>
      <c r="F3">
        <v>4.7829798975726499E-2</v>
      </c>
      <c r="G3">
        <v>2.1503999999999999</v>
      </c>
      <c r="I3">
        <v>1846</v>
      </c>
      <c r="J3" s="1">
        <v>4.4793399999999998E-13</v>
      </c>
    </row>
    <row r="4" spans="1:10" x14ac:dyDescent="0.2">
      <c r="A4">
        <v>100</v>
      </c>
      <c r="B4">
        <v>3</v>
      </c>
      <c r="C4" t="str">
        <f t="shared" si="0"/>
        <v>100-03</v>
      </c>
      <c r="D4" t="s">
        <v>791</v>
      </c>
      <c r="E4">
        <v>1.2560768E-2</v>
      </c>
      <c r="F4">
        <v>1.5136961010284699E-2</v>
      </c>
      <c r="G4">
        <v>2.011136</v>
      </c>
      <c r="I4">
        <v>83</v>
      </c>
      <c r="J4" s="1">
        <v>8.4678200000000006E-9</v>
      </c>
    </row>
    <row r="5" spans="1:10" x14ac:dyDescent="0.2">
      <c r="A5">
        <v>100</v>
      </c>
      <c r="B5">
        <v>4</v>
      </c>
      <c r="C5" t="str">
        <f t="shared" si="0"/>
        <v>100-04</v>
      </c>
      <c r="D5" t="s">
        <v>791</v>
      </c>
      <c r="E5">
        <v>1.3638323000000001E-2</v>
      </c>
      <c r="F5">
        <v>1.7500170011771801E-2</v>
      </c>
      <c r="G5">
        <v>2.0152320000000001</v>
      </c>
      <c r="I5">
        <v>276</v>
      </c>
      <c r="J5" s="1">
        <v>2.6775600000000001E-7</v>
      </c>
    </row>
    <row r="6" spans="1:10" x14ac:dyDescent="0.2">
      <c r="A6">
        <v>100</v>
      </c>
      <c r="B6">
        <v>5</v>
      </c>
      <c r="C6" t="str">
        <f t="shared" si="0"/>
        <v>100-05</v>
      </c>
      <c r="D6" t="s">
        <v>791</v>
      </c>
      <c r="E6">
        <v>9.4328199999999997E-3</v>
      </c>
      <c r="F6">
        <v>1.3967314996989401E-2</v>
      </c>
      <c r="G6">
        <v>2.2773759999999998</v>
      </c>
      <c r="I6">
        <v>22</v>
      </c>
      <c r="J6" s="1">
        <v>1.6006200000000001E-6</v>
      </c>
    </row>
    <row r="7" spans="1:10" x14ac:dyDescent="0.2">
      <c r="A7">
        <v>100</v>
      </c>
      <c r="B7">
        <v>6</v>
      </c>
      <c r="C7" t="str">
        <f t="shared" si="0"/>
        <v>100-06</v>
      </c>
      <c r="D7" t="s">
        <v>791</v>
      </c>
      <c r="E7">
        <v>1.6098626000000001E-2</v>
      </c>
      <c r="F7">
        <v>2.01889339950867E-2</v>
      </c>
      <c r="G7">
        <v>2.0152320000000001</v>
      </c>
      <c r="I7">
        <v>255</v>
      </c>
      <c r="J7" s="1">
        <v>9.1679500000000004E-10</v>
      </c>
    </row>
    <row r="8" spans="1:10" x14ac:dyDescent="0.2">
      <c r="A8">
        <v>100</v>
      </c>
      <c r="B8">
        <v>7</v>
      </c>
      <c r="C8" t="str">
        <f t="shared" si="0"/>
        <v>100-07</v>
      </c>
      <c r="D8" t="s">
        <v>791</v>
      </c>
      <c r="E8">
        <v>1.3807616E-2</v>
      </c>
      <c r="F8">
        <v>1.81068950041662E-2</v>
      </c>
      <c r="G8">
        <v>2.2773759999999998</v>
      </c>
      <c r="I8">
        <v>198</v>
      </c>
      <c r="J8" s="1">
        <v>4.61056E-4</v>
      </c>
    </row>
    <row r="9" spans="1:10" x14ac:dyDescent="0.2">
      <c r="A9">
        <v>100</v>
      </c>
      <c r="B9">
        <v>8</v>
      </c>
      <c r="C9" t="str">
        <f t="shared" si="0"/>
        <v>100-08</v>
      </c>
      <c r="D9" t="s">
        <v>791</v>
      </c>
      <c r="E9">
        <v>6.6142083000000004E-2</v>
      </c>
      <c r="F9">
        <v>6.8992360989795998E-2</v>
      </c>
      <c r="G9">
        <v>2.1872639999999999</v>
      </c>
      <c r="I9">
        <v>2064</v>
      </c>
      <c r="J9" s="1">
        <v>6.6049599999999998E-13</v>
      </c>
    </row>
    <row r="10" spans="1:10" x14ac:dyDescent="0.2">
      <c r="A10">
        <v>100</v>
      </c>
      <c r="B10">
        <v>9</v>
      </c>
      <c r="C10" t="str">
        <f t="shared" si="0"/>
        <v>100-09</v>
      </c>
      <c r="D10" t="s">
        <v>791</v>
      </c>
      <c r="E10">
        <v>8.8852788000000002E-2</v>
      </c>
      <c r="F10">
        <v>9.1651859984267503E-2</v>
      </c>
      <c r="G10">
        <v>2.2405119999999998</v>
      </c>
      <c r="I10">
        <v>3217</v>
      </c>
      <c r="J10" s="1">
        <v>9.3676599999999999E-3</v>
      </c>
    </row>
    <row r="11" spans="1:10" x14ac:dyDescent="0.2">
      <c r="A11">
        <v>200</v>
      </c>
      <c r="B11">
        <v>1</v>
      </c>
      <c r="C11" t="str">
        <f t="shared" si="0"/>
        <v>200-01</v>
      </c>
      <c r="D11" t="s">
        <v>791</v>
      </c>
      <c r="E11">
        <v>2.2081136000000001E-2</v>
      </c>
      <c r="F11">
        <v>2.7392233983846302E-2</v>
      </c>
      <c r="G11">
        <v>2.4248319999999999</v>
      </c>
      <c r="I11">
        <v>663</v>
      </c>
      <c r="J11" s="1">
        <v>7.5665999999999997E-8</v>
      </c>
    </row>
    <row r="12" spans="1:10" x14ac:dyDescent="0.2">
      <c r="A12">
        <v>200</v>
      </c>
      <c r="B12">
        <v>2</v>
      </c>
      <c r="C12" t="str">
        <f t="shared" si="0"/>
        <v>200-02</v>
      </c>
      <c r="D12" t="s">
        <v>791</v>
      </c>
      <c r="E12">
        <v>15.944227986</v>
      </c>
      <c r="F12">
        <v>15.955405745015</v>
      </c>
      <c r="G12">
        <v>263.03283199999998</v>
      </c>
      <c r="I12">
        <v>570447</v>
      </c>
      <c r="J12">
        <v>1.5168E-3</v>
      </c>
    </row>
    <row r="13" spans="1:10" x14ac:dyDescent="0.2">
      <c r="A13">
        <v>200</v>
      </c>
      <c r="B13">
        <v>3</v>
      </c>
      <c r="C13" t="str">
        <f t="shared" si="0"/>
        <v>200-03</v>
      </c>
      <c r="D13" t="s">
        <v>791</v>
      </c>
      <c r="E13">
        <v>0.74863363699999996</v>
      </c>
      <c r="F13">
        <v>0.77675974700832695</v>
      </c>
      <c r="G13">
        <v>10.530816</v>
      </c>
      <c r="I13">
        <v>36256</v>
      </c>
      <c r="J13" s="1">
        <v>5.4551099999999997E-11</v>
      </c>
    </row>
    <row r="14" spans="1:10" x14ac:dyDescent="0.2">
      <c r="A14">
        <v>200</v>
      </c>
      <c r="B14">
        <v>4</v>
      </c>
      <c r="C14" t="str">
        <f t="shared" si="0"/>
        <v>200-04</v>
      </c>
      <c r="D14" t="s">
        <v>791</v>
      </c>
      <c r="E14">
        <v>1.3838523E-2</v>
      </c>
      <c r="F14">
        <v>1.9710238004336099E-2</v>
      </c>
      <c r="G14">
        <v>2.4043519999999998</v>
      </c>
      <c r="I14">
        <v>40</v>
      </c>
      <c r="J14" s="1">
        <v>3.1908900000000001E-7</v>
      </c>
    </row>
    <row r="15" spans="1:10" x14ac:dyDescent="0.2">
      <c r="A15">
        <v>200</v>
      </c>
      <c r="B15">
        <v>5</v>
      </c>
      <c r="C15" t="str">
        <f t="shared" si="0"/>
        <v>200-05</v>
      </c>
      <c r="D15" t="s">
        <v>791</v>
      </c>
      <c r="E15">
        <v>5.4173114000000001E-2</v>
      </c>
      <c r="F15">
        <v>5.7825518015306401E-2</v>
      </c>
      <c r="G15">
        <v>2.53952</v>
      </c>
      <c r="I15">
        <v>1267</v>
      </c>
      <c r="J15" s="1">
        <v>2.8172299999999999E-7</v>
      </c>
    </row>
    <row r="16" spans="1:10" x14ac:dyDescent="0.2">
      <c r="A16">
        <v>200</v>
      </c>
      <c r="B16">
        <v>6</v>
      </c>
      <c r="C16" t="str">
        <f t="shared" si="0"/>
        <v>200-06</v>
      </c>
      <c r="D16" t="s">
        <v>791</v>
      </c>
      <c r="E16">
        <v>0.23247991500000001</v>
      </c>
      <c r="F16">
        <v>0.23795463598798899</v>
      </c>
      <c r="G16">
        <v>4.9397760000000002</v>
      </c>
      <c r="I16">
        <v>6608</v>
      </c>
      <c r="J16" s="1">
        <v>2.2477300000000001E-6</v>
      </c>
    </row>
    <row r="17" spans="1:10" x14ac:dyDescent="0.2">
      <c r="A17">
        <v>200</v>
      </c>
      <c r="B17">
        <v>7</v>
      </c>
      <c r="C17" t="str">
        <f t="shared" si="0"/>
        <v>200-07</v>
      </c>
      <c r="D17" t="s">
        <v>791</v>
      </c>
      <c r="E17">
        <v>12.300958882</v>
      </c>
      <c r="F17">
        <v>12.318845548987101</v>
      </c>
      <c r="G17">
        <v>122.66291200000001</v>
      </c>
      <c r="I17">
        <v>443352</v>
      </c>
      <c r="J17" s="1">
        <v>3.0258899999999998E-10</v>
      </c>
    </row>
    <row r="18" spans="1:10" x14ac:dyDescent="0.2">
      <c r="A18">
        <v>200</v>
      </c>
      <c r="B18">
        <v>8</v>
      </c>
      <c r="C18" t="str">
        <f t="shared" si="0"/>
        <v>200-08</v>
      </c>
      <c r="D18" t="s">
        <v>791</v>
      </c>
      <c r="E18">
        <v>0.63706424900000003</v>
      </c>
      <c r="F18">
        <v>0.64277221998781897</v>
      </c>
      <c r="G18">
        <v>9.7648639999999993</v>
      </c>
      <c r="I18">
        <v>18679</v>
      </c>
      <c r="J18" s="1">
        <v>5.63773E-5</v>
      </c>
    </row>
    <row r="19" spans="1:10" x14ac:dyDescent="0.2">
      <c r="A19">
        <v>200</v>
      </c>
      <c r="B19">
        <v>9</v>
      </c>
      <c r="C19" t="str">
        <f t="shared" si="0"/>
        <v>200-09</v>
      </c>
      <c r="D19" t="s">
        <v>791</v>
      </c>
      <c r="E19">
        <v>36.293728373999997</v>
      </c>
      <c r="F19">
        <v>36.3159050440008</v>
      </c>
      <c r="G19">
        <v>362.70899200000002</v>
      </c>
      <c r="I19">
        <v>1239135</v>
      </c>
      <c r="J19" s="1">
        <v>1.58011E-6</v>
      </c>
    </row>
    <row r="20" spans="1:10" x14ac:dyDescent="0.2">
      <c r="A20">
        <v>300</v>
      </c>
      <c r="B20">
        <v>1</v>
      </c>
      <c r="C20" t="str">
        <f t="shared" si="0"/>
        <v>300-01</v>
      </c>
      <c r="D20" t="s">
        <v>791</v>
      </c>
      <c r="E20">
        <v>117.95127764999999</v>
      </c>
      <c r="F20">
        <v>118.02305824300799</v>
      </c>
      <c r="G20">
        <v>1480.6876159999999</v>
      </c>
      <c r="I20">
        <v>2811610</v>
      </c>
      <c r="J20" s="1">
        <v>2.0068199999999999E-3</v>
      </c>
    </row>
    <row r="21" spans="1:10" x14ac:dyDescent="0.2">
      <c r="A21">
        <v>300</v>
      </c>
      <c r="B21">
        <v>2</v>
      </c>
      <c r="C21" t="str">
        <f t="shared" si="0"/>
        <v>300-02</v>
      </c>
      <c r="D21" t="s">
        <v>791</v>
      </c>
      <c r="E21">
        <v>0.47141182799999998</v>
      </c>
      <c r="F21">
        <v>0.47868693500640802</v>
      </c>
      <c r="G21">
        <v>5.6688640000000001</v>
      </c>
      <c r="I21">
        <v>16334</v>
      </c>
      <c r="J21" s="1">
        <v>5.4641499999999998E-11</v>
      </c>
    </row>
    <row r="22" spans="1:10" x14ac:dyDescent="0.2">
      <c r="A22">
        <v>300</v>
      </c>
      <c r="B22">
        <v>3</v>
      </c>
      <c r="C22" t="str">
        <f t="shared" si="0"/>
        <v>300-03</v>
      </c>
      <c r="D22" t="s">
        <v>791</v>
      </c>
      <c r="E22">
        <v>47.073838033000001</v>
      </c>
      <c r="F22">
        <v>47.139364581002098</v>
      </c>
      <c r="G22">
        <v>386.30195200000003</v>
      </c>
      <c r="I22">
        <v>1726335</v>
      </c>
      <c r="J22" s="1">
        <v>4.6527100000000003E-12</v>
      </c>
    </row>
    <row r="23" spans="1:10" x14ac:dyDescent="0.2">
      <c r="A23">
        <v>300</v>
      </c>
      <c r="B23">
        <v>4</v>
      </c>
      <c r="C23" t="str">
        <f t="shared" si="0"/>
        <v>300-04</v>
      </c>
      <c r="D23" t="s">
        <v>791</v>
      </c>
      <c r="E23">
        <v>8.1267996379999996</v>
      </c>
      <c r="F23">
        <v>8.1370438480225804</v>
      </c>
      <c r="G23">
        <v>86.020095999999995</v>
      </c>
      <c r="I23">
        <v>375584</v>
      </c>
      <c r="J23" s="1">
        <v>1.4610900000000001E-4</v>
      </c>
    </row>
    <row r="24" spans="1:10" x14ac:dyDescent="0.2">
      <c r="A24">
        <v>300</v>
      </c>
      <c r="B24">
        <v>5</v>
      </c>
      <c r="C24" t="str">
        <f t="shared" si="0"/>
        <v>300-05</v>
      </c>
      <c r="D24" t="s">
        <v>791</v>
      </c>
      <c r="E24">
        <v>291.82163716399998</v>
      </c>
      <c r="F24">
        <v>291.985303517023</v>
      </c>
      <c r="G24">
        <v>1367.9288320000001</v>
      </c>
      <c r="I24">
        <v>5350736</v>
      </c>
      <c r="J24" s="1">
        <v>3.3607800000000002E-4</v>
      </c>
    </row>
    <row r="25" spans="1:10" x14ac:dyDescent="0.2">
      <c r="A25">
        <v>300</v>
      </c>
      <c r="B25">
        <v>6</v>
      </c>
      <c r="C25" t="str">
        <f t="shared" si="0"/>
        <v>300-06</v>
      </c>
      <c r="D25" t="s">
        <v>791</v>
      </c>
      <c r="E25">
        <v>35.408349342999998</v>
      </c>
      <c r="F25">
        <v>35.452919406001399</v>
      </c>
      <c r="G25">
        <v>325.43948799999998</v>
      </c>
      <c r="I25">
        <v>1153131</v>
      </c>
      <c r="J25" s="1">
        <v>6.3977800000000002E-10</v>
      </c>
    </row>
    <row r="26" spans="1:10" x14ac:dyDescent="0.2">
      <c r="A26">
        <v>300</v>
      </c>
      <c r="B26">
        <v>7</v>
      </c>
      <c r="C26" t="str">
        <f t="shared" si="0"/>
        <v>300-07</v>
      </c>
      <c r="D26" t="s">
        <v>792</v>
      </c>
      <c r="E26">
        <v>901.00777381499995</v>
      </c>
      <c r="F26">
        <v>901.333926527004</v>
      </c>
      <c r="G26">
        <v>6557.7123840000004</v>
      </c>
    </row>
    <row r="27" spans="1:10" x14ac:dyDescent="0.2">
      <c r="A27">
        <v>300</v>
      </c>
      <c r="B27">
        <v>8</v>
      </c>
      <c r="C27" t="str">
        <f t="shared" si="0"/>
        <v>300-08</v>
      </c>
      <c r="D27" t="s">
        <v>791</v>
      </c>
      <c r="E27">
        <v>25.597309141</v>
      </c>
      <c r="F27">
        <v>25.617429645993901</v>
      </c>
      <c r="G27">
        <v>209.42848000000001</v>
      </c>
      <c r="I27">
        <v>839229</v>
      </c>
      <c r="J27" s="1">
        <v>4.49897E-21</v>
      </c>
    </row>
    <row r="28" spans="1:10" x14ac:dyDescent="0.2">
      <c r="A28">
        <v>300</v>
      </c>
      <c r="B28">
        <v>9</v>
      </c>
      <c r="C28" t="str">
        <f t="shared" si="0"/>
        <v>300-09</v>
      </c>
      <c r="D28" t="s">
        <v>792</v>
      </c>
      <c r="E28">
        <v>900.92862049500002</v>
      </c>
      <c r="F28">
        <v>901.24763424799301</v>
      </c>
      <c r="G28">
        <v>4540.2398720000001</v>
      </c>
    </row>
    <row r="29" spans="1:10" x14ac:dyDescent="0.2">
      <c r="A29">
        <v>400</v>
      </c>
      <c r="B29">
        <v>1</v>
      </c>
      <c r="C29" t="str">
        <f t="shared" si="0"/>
        <v>400-01</v>
      </c>
      <c r="D29" t="s">
        <v>792</v>
      </c>
      <c r="E29">
        <v>900.74834206699995</v>
      </c>
      <c r="F29">
        <v>901.03743650199601</v>
      </c>
      <c r="G29">
        <v>539.00902399999995</v>
      </c>
    </row>
    <row r="30" spans="1:10" x14ac:dyDescent="0.2">
      <c r="A30">
        <v>400</v>
      </c>
      <c r="B30">
        <v>2</v>
      </c>
      <c r="C30" t="str">
        <f t="shared" si="0"/>
        <v>400-02</v>
      </c>
      <c r="D30" t="s">
        <v>791</v>
      </c>
      <c r="E30">
        <v>13.864054831000001</v>
      </c>
      <c r="F30">
        <v>13.874182153987899</v>
      </c>
      <c r="G30">
        <v>158.347264</v>
      </c>
      <c r="I30">
        <v>476224</v>
      </c>
      <c r="J30" s="1">
        <v>2.7968200000000002E-19</v>
      </c>
    </row>
    <row r="31" spans="1:10" x14ac:dyDescent="0.2">
      <c r="A31">
        <v>400</v>
      </c>
      <c r="B31">
        <v>3</v>
      </c>
      <c r="C31" t="str">
        <f t="shared" si="0"/>
        <v>400-03</v>
      </c>
      <c r="D31" t="s">
        <v>793</v>
      </c>
      <c r="E31">
        <v>407.01192831100002</v>
      </c>
      <c r="F31">
        <v>407.18341716099502</v>
      </c>
      <c r="G31">
        <v>16000</v>
      </c>
    </row>
    <row r="32" spans="1:10" x14ac:dyDescent="0.2">
      <c r="A32">
        <v>400</v>
      </c>
      <c r="B32">
        <v>4</v>
      </c>
      <c r="C32" t="str">
        <f t="shared" si="0"/>
        <v>400-04</v>
      </c>
      <c r="D32" t="s">
        <v>791</v>
      </c>
      <c r="E32">
        <v>10.800777144</v>
      </c>
      <c r="F32">
        <v>10.8114266839984</v>
      </c>
      <c r="G32">
        <v>77.750271999999995</v>
      </c>
      <c r="I32">
        <v>194658</v>
      </c>
      <c r="J32" s="1">
        <v>6.9630500000000001E-11</v>
      </c>
    </row>
    <row r="33" spans="1:10" x14ac:dyDescent="0.2">
      <c r="A33">
        <v>400</v>
      </c>
      <c r="B33">
        <v>5</v>
      </c>
      <c r="C33" t="str">
        <f t="shared" si="0"/>
        <v>400-05</v>
      </c>
      <c r="D33" t="s">
        <v>792</v>
      </c>
      <c r="E33">
        <v>901.13218284100003</v>
      </c>
      <c r="F33">
        <v>901.465407676994</v>
      </c>
      <c r="G33">
        <v>9012.6254079999999</v>
      </c>
    </row>
    <row r="34" spans="1:10" x14ac:dyDescent="0.2">
      <c r="A34">
        <v>400</v>
      </c>
      <c r="B34">
        <v>6</v>
      </c>
      <c r="C34" t="str">
        <f t="shared" si="0"/>
        <v>400-06</v>
      </c>
      <c r="D34" t="s">
        <v>792</v>
      </c>
      <c r="E34">
        <v>900.85202931100002</v>
      </c>
      <c r="F34">
        <v>901.17246158499597</v>
      </c>
      <c r="G34">
        <v>3262.7589119999998</v>
      </c>
    </row>
    <row r="35" spans="1:10" x14ac:dyDescent="0.2">
      <c r="A35">
        <v>400</v>
      </c>
      <c r="B35">
        <v>7</v>
      </c>
      <c r="C35" t="str">
        <f t="shared" si="0"/>
        <v>400-07</v>
      </c>
      <c r="D35" t="s">
        <v>792</v>
      </c>
      <c r="E35">
        <v>900.88687360500001</v>
      </c>
      <c r="F35">
        <v>901.15895592799598</v>
      </c>
      <c r="G35">
        <v>3027.529728</v>
      </c>
    </row>
    <row r="36" spans="1:10" x14ac:dyDescent="0.2">
      <c r="A36">
        <v>400</v>
      </c>
      <c r="B36">
        <v>8</v>
      </c>
      <c r="C36" t="str">
        <f t="shared" si="0"/>
        <v>400-08</v>
      </c>
      <c r="D36" t="s">
        <v>791</v>
      </c>
      <c r="E36">
        <v>93.173343153999994</v>
      </c>
      <c r="F36">
        <v>93.219905280013293</v>
      </c>
      <c r="G36">
        <v>595.86559999999997</v>
      </c>
      <c r="I36">
        <v>2568192</v>
      </c>
      <c r="J36" s="1">
        <v>3.74541E-42</v>
      </c>
    </row>
    <row r="37" spans="1:10" x14ac:dyDescent="0.2">
      <c r="A37">
        <v>400</v>
      </c>
      <c r="B37">
        <v>9</v>
      </c>
      <c r="C37" t="str">
        <f t="shared" si="0"/>
        <v>400-09</v>
      </c>
      <c r="D37" t="s">
        <v>792</v>
      </c>
      <c r="E37">
        <v>900.82679099799998</v>
      </c>
      <c r="F37">
        <v>901.09552711699496</v>
      </c>
      <c r="G37">
        <v>1548.3084799999999</v>
      </c>
    </row>
    <row r="38" spans="1:10" x14ac:dyDescent="0.2">
      <c r="A38">
        <v>500</v>
      </c>
      <c r="B38">
        <v>1</v>
      </c>
      <c r="C38" t="str">
        <f t="shared" si="0"/>
        <v>500-01</v>
      </c>
      <c r="D38" t="s">
        <v>792</v>
      </c>
      <c r="E38">
        <v>900.78059242799998</v>
      </c>
      <c r="F38">
        <v>901.00994263100404</v>
      </c>
      <c r="G38">
        <v>3.4611200000000002</v>
      </c>
    </row>
    <row r="39" spans="1:10" x14ac:dyDescent="0.2">
      <c r="A39">
        <v>500</v>
      </c>
      <c r="B39">
        <v>2</v>
      </c>
      <c r="C39" t="str">
        <f t="shared" si="0"/>
        <v>500-02</v>
      </c>
      <c r="D39" t="s">
        <v>792</v>
      </c>
      <c r="E39">
        <v>901.37485943399997</v>
      </c>
      <c r="F39">
        <v>901.71605810199901</v>
      </c>
      <c r="G39">
        <v>15065.059327999999</v>
      </c>
    </row>
    <row r="40" spans="1:10" x14ac:dyDescent="0.2">
      <c r="A40">
        <v>500</v>
      </c>
      <c r="B40">
        <v>3</v>
      </c>
      <c r="C40" t="str">
        <f t="shared" si="0"/>
        <v>500-03</v>
      </c>
      <c r="D40" t="s">
        <v>792</v>
      </c>
      <c r="E40">
        <v>900.93878734400005</v>
      </c>
      <c r="F40">
        <v>901.31462261298998</v>
      </c>
      <c r="G40">
        <v>6558.1015040000002</v>
      </c>
    </row>
    <row r="41" spans="1:10" x14ac:dyDescent="0.2">
      <c r="A41">
        <v>500</v>
      </c>
      <c r="B41">
        <v>4</v>
      </c>
      <c r="C41" t="str">
        <f t="shared" si="0"/>
        <v>500-04</v>
      </c>
      <c r="D41" t="s">
        <v>792</v>
      </c>
      <c r="E41">
        <v>900.810939072</v>
      </c>
      <c r="F41">
        <v>901.05049522899196</v>
      </c>
      <c r="G41">
        <v>774.89356799999996</v>
      </c>
    </row>
    <row r="42" spans="1:10" x14ac:dyDescent="0.2">
      <c r="A42">
        <v>500</v>
      </c>
      <c r="B42">
        <v>5</v>
      </c>
      <c r="C42" t="str">
        <f t="shared" si="0"/>
        <v>500-05</v>
      </c>
      <c r="D42" t="s">
        <v>792</v>
      </c>
      <c r="E42">
        <v>900.87189405100003</v>
      </c>
      <c r="F42">
        <v>901.16250803298306</v>
      </c>
      <c r="G42">
        <v>2893.3857280000002</v>
      </c>
    </row>
    <row r="43" spans="1:10" x14ac:dyDescent="0.2">
      <c r="A43">
        <v>500</v>
      </c>
      <c r="B43">
        <v>6</v>
      </c>
      <c r="C43" t="str">
        <f t="shared" si="0"/>
        <v>500-06</v>
      </c>
      <c r="D43" t="s">
        <v>792</v>
      </c>
      <c r="E43">
        <v>901.07793587599997</v>
      </c>
      <c r="F43">
        <v>901.39047720399606</v>
      </c>
      <c r="G43">
        <v>7062.7573759999996</v>
      </c>
    </row>
    <row r="44" spans="1:10" x14ac:dyDescent="0.2">
      <c r="A44">
        <v>500</v>
      </c>
      <c r="B44">
        <v>7</v>
      </c>
      <c r="C44" t="str">
        <f t="shared" si="0"/>
        <v>500-07</v>
      </c>
      <c r="D44" t="s">
        <v>792</v>
      </c>
      <c r="E44">
        <v>900.95889763100001</v>
      </c>
      <c r="F44">
        <v>901.26989926400699</v>
      </c>
      <c r="G44">
        <v>5348.0325119999998</v>
      </c>
    </row>
    <row r="45" spans="1:10" x14ac:dyDescent="0.2">
      <c r="A45">
        <v>500</v>
      </c>
      <c r="B45">
        <v>8</v>
      </c>
      <c r="C45" t="str">
        <f t="shared" si="0"/>
        <v>500-08</v>
      </c>
      <c r="D45" t="s">
        <v>792</v>
      </c>
      <c r="E45">
        <v>901.00248387600004</v>
      </c>
      <c r="F45">
        <v>901.30789220600798</v>
      </c>
      <c r="G45">
        <v>6054.2320639999998</v>
      </c>
    </row>
    <row r="46" spans="1:10" x14ac:dyDescent="0.2">
      <c r="A46">
        <v>500</v>
      </c>
      <c r="B46">
        <v>9</v>
      </c>
      <c r="C46" t="str">
        <f t="shared" si="0"/>
        <v>500-09</v>
      </c>
      <c r="D46" t="s">
        <v>792</v>
      </c>
      <c r="E46">
        <v>900.87773544000004</v>
      </c>
      <c r="F46">
        <v>901.167516883026</v>
      </c>
      <c r="G46">
        <v>3297.6117760000002</v>
      </c>
    </row>
    <row r="47" spans="1:10" x14ac:dyDescent="0.2">
      <c r="A47">
        <v>600</v>
      </c>
      <c r="B47">
        <v>1</v>
      </c>
      <c r="C47" t="str">
        <f t="shared" si="0"/>
        <v>600-01</v>
      </c>
      <c r="D47" t="s">
        <v>793</v>
      </c>
      <c r="E47">
        <v>331.165915606</v>
      </c>
      <c r="F47">
        <v>331.30091945599997</v>
      </c>
      <c r="G47">
        <v>16000</v>
      </c>
    </row>
    <row r="48" spans="1:10" x14ac:dyDescent="0.2">
      <c r="A48">
        <v>600</v>
      </c>
      <c r="B48">
        <v>2</v>
      </c>
      <c r="C48" t="str">
        <f t="shared" si="0"/>
        <v>600-02</v>
      </c>
      <c r="D48" t="s">
        <v>792</v>
      </c>
      <c r="E48">
        <v>900.81272400299997</v>
      </c>
      <c r="F48">
        <v>901.04559499298898</v>
      </c>
      <c r="G48">
        <v>539.80364799999995</v>
      </c>
    </row>
    <row r="49" spans="1:7" x14ac:dyDescent="0.2">
      <c r="A49">
        <v>600</v>
      </c>
      <c r="B49">
        <v>3</v>
      </c>
      <c r="C49" t="str">
        <f t="shared" si="0"/>
        <v>600-03</v>
      </c>
      <c r="D49" t="s">
        <v>792</v>
      </c>
      <c r="E49">
        <v>900.87768339700006</v>
      </c>
      <c r="F49">
        <v>901.17756219298406</v>
      </c>
      <c r="G49">
        <v>3095.232512</v>
      </c>
    </row>
    <row r="50" spans="1:7" x14ac:dyDescent="0.2">
      <c r="A50">
        <v>600</v>
      </c>
      <c r="B50">
        <v>4</v>
      </c>
      <c r="C50" t="str">
        <f t="shared" si="0"/>
        <v>600-04</v>
      </c>
      <c r="D50" t="s">
        <v>792</v>
      </c>
      <c r="E50">
        <v>900.925563173</v>
      </c>
      <c r="F50">
        <v>901.23075154799096</v>
      </c>
      <c r="G50">
        <v>3767.7096959999999</v>
      </c>
    </row>
    <row r="51" spans="1:7" x14ac:dyDescent="0.2">
      <c r="A51">
        <v>600</v>
      </c>
      <c r="B51">
        <v>5</v>
      </c>
      <c r="C51" t="str">
        <f t="shared" si="0"/>
        <v>600-05</v>
      </c>
      <c r="D51" t="s">
        <v>792</v>
      </c>
      <c r="E51">
        <v>901.15854377300002</v>
      </c>
      <c r="F51">
        <v>901.48566235200201</v>
      </c>
      <c r="G51">
        <v>9584.8448000000008</v>
      </c>
    </row>
    <row r="52" spans="1:7" x14ac:dyDescent="0.2">
      <c r="A52">
        <v>600</v>
      </c>
      <c r="B52">
        <v>6</v>
      </c>
      <c r="C52" t="str">
        <f t="shared" si="0"/>
        <v>600-06</v>
      </c>
      <c r="D52" t="s">
        <v>792</v>
      </c>
      <c r="E52">
        <v>900.76827263300004</v>
      </c>
      <c r="F52">
        <v>901.01351747999399</v>
      </c>
      <c r="G52">
        <v>102.924288</v>
      </c>
    </row>
    <row r="53" spans="1:7" x14ac:dyDescent="0.2">
      <c r="A53">
        <v>600</v>
      </c>
      <c r="B53">
        <v>7</v>
      </c>
      <c r="C53" t="str">
        <f t="shared" si="0"/>
        <v>600-07</v>
      </c>
      <c r="D53" t="s">
        <v>792</v>
      </c>
      <c r="E53">
        <v>900.88072450899995</v>
      </c>
      <c r="F53">
        <v>901.17485397402197</v>
      </c>
      <c r="G53">
        <v>3162.9885439999998</v>
      </c>
    </row>
    <row r="54" spans="1:7" x14ac:dyDescent="0.2">
      <c r="A54">
        <v>600</v>
      </c>
      <c r="B54">
        <v>8</v>
      </c>
      <c r="C54" t="str">
        <f t="shared" si="0"/>
        <v>600-08</v>
      </c>
      <c r="D54" t="s">
        <v>792</v>
      </c>
      <c r="E54">
        <v>901.18286816800003</v>
      </c>
      <c r="F54">
        <v>901.50811390200397</v>
      </c>
      <c r="G54">
        <v>9887.7972480000008</v>
      </c>
    </row>
    <row r="55" spans="1:7" x14ac:dyDescent="0.2">
      <c r="A55">
        <v>600</v>
      </c>
      <c r="B55">
        <v>9</v>
      </c>
      <c r="C55" t="str">
        <f t="shared" si="0"/>
        <v>600-09</v>
      </c>
      <c r="D55" t="s">
        <v>792</v>
      </c>
      <c r="E55">
        <v>900.96823671200002</v>
      </c>
      <c r="F55">
        <v>901.357651595986</v>
      </c>
      <c r="G55">
        <v>7064.0312320000003</v>
      </c>
    </row>
    <row r="56" spans="1:7" x14ac:dyDescent="0.2">
      <c r="A56">
        <v>700</v>
      </c>
      <c r="B56">
        <v>1</v>
      </c>
      <c r="C56" t="str">
        <f t="shared" si="0"/>
        <v>700-01</v>
      </c>
      <c r="D56" t="s">
        <v>792</v>
      </c>
      <c r="E56">
        <v>900.79357258000005</v>
      </c>
      <c r="F56">
        <v>901.04157758399299</v>
      </c>
      <c r="G56">
        <v>573.730816</v>
      </c>
    </row>
    <row r="57" spans="1:7" x14ac:dyDescent="0.2">
      <c r="A57">
        <v>700</v>
      </c>
      <c r="B57">
        <v>2</v>
      </c>
      <c r="C57" t="str">
        <f t="shared" si="0"/>
        <v>700-02</v>
      </c>
      <c r="D57" t="s">
        <v>792</v>
      </c>
      <c r="E57">
        <v>900.96843992599997</v>
      </c>
      <c r="F57">
        <v>901.26771663300997</v>
      </c>
      <c r="G57">
        <v>4743.1475200000004</v>
      </c>
    </row>
    <row r="58" spans="1:7" x14ac:dyDescent="0.2">
      <c r="A58">
        <v>700</v>
      </c>
      <c r="B58">
        <v>3</v>
      </c>
      <c r="C58" t="str">
        <f t="shared" si="0"/>
        <v>700-03</v>
      </c>
      <c r="D58" t="s">
        <v>792</v>
      </c>
      <c r="E58">
        <v>901.20484260600006</v>
      </c>
      <c r="F58">
        <v>901.51823009899795</v>
      </c>
      <c r="G58">
        <v>10055.835648</v>
      </c>
    </row>
    <row r="59" spans="1:7" x14ac:dyDescent="0.2">
      <c r="A59">
        <v>700</v>
      </c>
      <c r="B59">
        <v>4</v>
      </c>
      <c r="C59" t="str">
        <f t="shared" si="0"/>
        <v>700-04</v>
      </c>
      <c r="D59" t="s">
        <v>792</v>
      </c>
      <c r="E59">
        <v>900.77283309999996</v>
      </c>
      <c r="F59">
        <v>901.01302657497502</v>
      </c>
      <c r="G59">
        <v>69.636095999999995</v>
      </c>
    </row>
    <row r="60" spans="1:7" x14ac:dyDescent="0.2">
      <c r="A60">
        <v>700</v>
      </c>
      <c r="B60">
        <v>5</v>
      </c>
      <c r="C60" t="str">
        <f t="shared" si="0"/>
        <v>700-05</v>
      </c>
      <c r="D60" t="s">
        <v>792</v>
      </c>
      <c r="E60">
        <v>900.85022544599997</v>
      </c>
      <c r="F60">
        <v>901.14472218201195</v>
      </c>
      <c r="G60">
        <v>2557.6734719999999</v>
      </c>
    </row>
    <row r="61" spans="1:7" x14ac:dyDescent="0.2">
      <c r="A61">
        <v>700</v>
      </c>
      <c r="B61">
        <v>6</v>
      </c>
      <c r="C61" t="str">
        <f t="shared" si="0"/>
        <v>700-06</v>
      </c>
      <c r="D61" t="s">
        <v>792</v>
      </c>
      <c r="E61">
        <v>900.93356704799999</v>
      </c>
      <c r="F61">
        <v>901.23879221797597</v>
      </c>
      <c r="G61">
        <v>4407.2919039999997</v>
      </c>
    </row>
    <row r="62" spans="1:7" x14ac:dyDescent="0.2">
      <c r="A62">
        <v>700</v>
      </c>
      <c r="B62">
        <v>7</v>
      </c>
      <c r="C62" t="str">
        <f t="shared" si="0"/>
        <v>700-07</v>
      </c>
      <c r="D62" t="s">
        <v>792</v>
      </c>
      <c r="E62">
        <v>901.047992948</v>
      </c>
      <c r="F62">
        <v>901.41531084498195</v>
      </c>
      <c r="G62">
        <v>8139.8743039999999</v>
      </c>
    </row>
    <row r="63" spans="1:7" x14ac:dyDescent="0.2">
      <c r="A63">
        <v>700</v>
      </c>
      <c r="B63">
        <v>8</v>
      </c>
      <c r="C63" t="str">
        <f t="shared" si="0"/>
        <v>700-08</v>
      </c>
      <c r="D63" t="s">
        <v>792</v>
      </c>
      <c r="E63">
        <v>901.16769831600004</v>
      </c>
      <c r="F63">
        <v>901.49007958601499</v>
      </c>
      <c r="G63">
        <v>9686.6631679999991</v>
      </c>
    </row>
    <row r="64" spans="1:7" x14ac:dyDescent="0.2">
      <c r="A64">
        <v>700</v>
      </c>
      <c r="B64">
        <v>9</v>
      </c>
      <c r="C64" t="str">
        <f t="shared" si="0"/>
        <v>700-09</v>
      </c>
      <c r="D64" t="s">
        <v>792</v>
      </c>
      <c r="E64">
        <v>900.74243974199999</v>
      </c>
      <c r="F64">
        <v>901.00777684099705</v>
      </c>
      <c r="G64">
        <v>5.4026240000000003</v>
      </c>
    </row>
    <row r="65" spans="1:7" x14ac:dyDescent="0.2">
      <c r="A65">
        <v>800</v>
      </c>
      <c r="B65">
        <v>1</v>
      </c>
      <c r="C65" t="str">
        <f t="shared" si="0"/>
        <v>800-01</v>
      </c>
      <c r="D65" t="s">
        <v>792</v>
      </c>
      <c r="E65">
        <v>900.79568851399995</v>
      </c>
      <c r="F65">
        <v>901.03683569200803</v>
      </c>
      <c r="G65">
        <v>439.53766400000001</v>
      </c>
    </row>
    <row r="66" spans="1:7" x14ac:dyDescent="0.2">
      <c r="A66">
        <v>800</v>
      </c>
      <c r="B66">
        <v>2</v>
      </c>
      <c r="C66" t="str">
        <f t="shared" si="0"/>
        <v>800-02</v>
      </c>
      <c r="D66" t="s">
        <v>792</v>
      </c>
      <c r="E66">
        <v>900.78341407899995</v>
      </c>
      <c r="F66">
        <v>901.00879960600196</v>
      </c>
      <c r="G66">
        <v>4.5178880000000001</v>
      </c>
    </row>
    <row r="67" spans="1:7" x14ac:dyDescent="0.2">
      <c r="A67">
        <v>800</v>
      </c>
      <c r="B67">
        <v>3</v>
      </c>
      <c r="C67" t="str">
        <f t="shared" ref="C67:C130" si="1">A67&amp;"-0"&amp;B67</f>
        <v>800-03</v>
      </c>
      <c r="D67" t="s">
        <v>792</v>
      </c>
      <c r="E67">
        <v>900.77846428999999</v>
      </c>
      <c r="F67">
        <v>901.01781290597796</v>
      </c>
      <c r="G67">
        <v>137.16684799999999</v>
      </c>
    </row>
    <row r="68" spans="1:7" x14ac:dyDescent="0.2">
      <c r="A68">
        <v>800</v>
      </c>
      <c r="B68">
        <v>4</v>
      </c>
      <c r="C68" t="str">
        <f t="shared" si="1"/>
        <v>800-04</v>
      </c>
      <c r="D68" t="s">
        <v>792</v>
      </c>
      <c r="E68">
        <v>901.072551223</v>
      </c>
      <c r="F68">
        <v>901.38761637199696</v>
      </c>
      <c r="G68">
        <v>7131.0376960000003</v>
      </c>
    </row>
    <row r="69" spans="1:7" x14ac:dyDescent="0.2">
      <c r="A69">
        <v>800</v>
      </c>
      <c r="B69">
        <v>5</v>
      </c>
      <c r="C69" t="str">
        <f t="shared" si="1"/>
        <v>800-05</v>
      </c>
      <c r="D69" t="s">
        <v>792</v>
      </c>
      <c r="E69">
        <v>900.76594906900004</v>
      </c>
      <c r="F69">
        <v>901.13244353301695</v>
      </c>
      <c r="G69">
        <v>2087.3666560000001</v>
      </c>
    </row>
    <row r="70" spans="1:7" x14ac:dyDescent="0.2">
      <c r="A70">
        <v>800</v>
      </c>
      <c r="B70">
        <v>6</v>
      </c>
      <c r="C70" t="str">
        <f t="shared" si="1"/>
        <v>800-06</v>
      </c>
      <c r="D70" t="s">
        <v>792</v>
      </c>
      <c r="E70">
        <v>900.86959834200002</v>
      </c>
      <c r="F70">
        <v>901.163738522009</v>
      </c>
      <c r="G70">
        <v>2659.106816</v>
      </c>
    </row>
    <row r="71" spans="1:7" x14ac:dyDescent="0.2">
      <c r="A71">
        <v>800</v>
      </c>
      <c r="B71">
        <v>7</v>
      </c>
      <c r="C71" t="str">
        <f t="shared" si="1"/>
        <v>800-07</v>
      </c>
      <c r="D71" t="s">
        <v>792</v>
      </c>
      <c r="E71">
        <v>900.78949112800001</v>
      </c>
      <c r="F71">
        <v>901.02478748600697</v>
      </c>
      <c r="G71">
        <v>238.465024</v>
      </c>
    </row>
    <row r="72" spans="1:7" x14ac:dyDescent="0.2">
      <c r="A72">
        <v>800</v>
      </c>
      <c r="B72">
        <v>8</v>
      </c>
      <c r="C72" t="str">
        <f t="shared" si="1"/>
        <v>800-08</v>
      </c>
      <c r="D72" t="s">
        <v>792</v>
      </c>
      <c r="E72">
        <v>900.81913199400003</v>
      </c>
      <c r="F72">
        <v>901.07608487000095</v>
      </c>
      <c r="G72">
        <v>978.39923199999998</v>
      </c>
    </row>
    <row r="73" spans="1:7" x14ac:dyDescent="0.2">
      <c r="A73">
        <v>800</v>
      </c>
      <c r="B73">
        <v>9</v>
      </c>
      <c r="C73" t="str">
        <f t="shared" si="1"/>
        <v>800-09</v>
      </c>
      <c r="D73" t="s">
        <v>792</v>
      </c>
      <c r="E73">
        <v>900.97179104899999</v>
      </c>
      <c r="F73">
        <v>901.28846519201704</v>
      </c>
      <c r="G73">
        <v>5618.7740160000003</v>
      </c>
    </row>
    <row r="74" spans="1:7" x14ac:dyDescent="0.2">
      <c r="A74">
        <v>900</v>
      </c>
      <c r="B74">
        <v>1</v>
      </c>
      <c r="C74" t="str">
        <f t="shared" si="1"/>
        <v>900-01</v>
      </c>
      <c r="D74" t="s">
        <v>792</v>
      </c>
      <c r="E74">
        <v>900.77038826700004</v>
      </c>
      <c r="F74">
        <v>901.017232802987</v>
      </c>
      <c r="G74">
        <v>70.021119999999996</v>
      </c>
    </row>
    <row r="75" spans="1:7" x14ac:dyDescent="0.2">
      <c r="A75">
        <v>900</v>
      </c>
      <c r="B75">
        <v>2</v>
      </c>
      <c r="C75" t="str">
        <f t="shared" si="1"/>
        <v>900-02</v>
      </c>
      <c r="D75" t="s">
        <v>792</v>
      </c>
      <c r="E75">
        <v>901.00912320199996</v>
      </c>
      <c r="F75">
        <v>901.31538989400701</v>
      </c>
      <c r="G75">
        <v>5584.3717120000001</v>
      </c>
    </row>
    <row r="76" spans="1:7" x14ac:dyDescent="0.2">
      <c r="A76">
        <v>900</v>
      </c>
      <c r="B76">
        <v>3</v>
      </c>
      <c r="C76" t="str">
        <f t="shared" si="1"/>
        <v>900-03</v>
      </c>
      <c r="D76" t="s">
        <v>792</v>
      </c>
      <c r="E76">
        <v>900.75556908500005</v>
      </c>
      <c r="F76">
        <v>901.01119867898501</v>
      </c>
      <c r="G76">
        <v>36.708351999999998</v>
      </c>
    </row>
    <row r="77" spans="1:7" x14ac:dyDescent="0.2">
      <c r="A77">
        <v>900</v>
      </c>
      <c r="B77">
        <v>4</v>
      </c>
      <c r="C77" t="str">
        <f t="shared" si="1"/>
        <v>900-04</v>
      </c>
      <c r="D77" t="s">
        <v>793</v>
      </c>
      <c r="E77">
        <v>228.68153602300001</v>
      </c>
      <c r="F77">
        <v>228.80117224599201</v>
      </c>
      <c r="G77">
        <v>16000</v>
      </c>
    </row>
    <row r="78" spans="1:7" x14ac:dyDescent="0.2">
      <c r="A78">
        <v>900</v>
      </c>
      <c r="B78">
        <v>5</v>
      </c>
      <c r="C78" t="str">
        <f t="shared" si="1"/>
        <v>900-05</v>
      </c>
      <c r="D78" t="s">
        <v>792</v>
      </c>
      <c r="E78">
        <v>900.862476582</v>
      </c>
      <c r="F78">
        <v>901.20242291499699</v>
      </c>
      <c r="G78">
        <v>3668.0663039999999</v>
      </c>
    </row>
    <row r="79" spans="1:7" x14ac:dyDescent="0.2">
      <c r="A79">
        <v>900</v>
      </c>
      <c r="B79">
        <v>6</v>
      </c>
      <c r="C79" t="str">
        <f t="shared" si="1"/>
        <v>900-06</v>
      </c>
      <c r="D79" t="s">
        <v>792</v>
      </c>
      <c r="E79">
        <v>900.89595260299996</v>
      </c>
      <c r="F79">
        <v>901.20778449400598</v>
      </c>
      <c r="G79">
        <v>3399.1352320000001</v>
      </c>
    </row>
    <row r="80" spans="1:7" x14ac:dyDescent="0.2">
      <c r="A80">
        <v>900</v>
      </c>
      <c r="B80">
        <v>7</v>
      </c>
      <c r="C80" t="str">
        <f t="shared" si="1"/>
        <v>900-07</v>
      </c>
      <c r="D80" t="s">
        <v>792</v>
      </c>
      <c r="E80">
        <v>901.07092198500004</v>
      </c>
      <c r="F80">
        <v>901.40490625202006</v>
      </c>
      <c r="G80">
        <v>7333.5726080000004</v>
      </c>
    </row>
    <row r="81" spans="1:7" x14ac:dyDescent="0.2">
      <c r="A81">
        <v>900</v>
      </c>
      <c r="B81">
        <v>8</v>
      </c>
      <c r="C81" t="str">
        <f t="shared" si="1"/>
        <v>900-08</v>
      </c>
      <c r="D81" t="s">
        <v>792</v>
      </c>
      <c r="E81">
        <v>900.85593919899998</v>
      </c>
      <c r="F81">
        <v>901.19405906202098</v>
      </c>
      <c r="G81">
        <v>3198.2100479999999</v>
      </c>
    </row>
    <row r="82" spans="1:7" x14ac:dyDescent="0.2">
      <c r="A82">
        <v>900</v>
      </c>
      <c r="B82">
        <v>9</v>
      </c>
      <c r="C82" t="str">
        <f t="shared" si="1"/>
        <v>900-09</v>
      </c>
      <c r="D82" t="s">
        <v>792</v>
      </c>
      <c r="E82">
        <v>901.02116360499997</v>
      </c>
      <c r="F82">
        <v>901.33996217697802</v>
      </c>
      <c r="G82">
        <v>5249.65888</v>
      </c>
    </row>
    <row r="83" spans="1:7" x14ac:dyDescent="0.2">
      <c r="A83">
        <v>1000</v>
      </c>
      <c r="B83">
        <v>1</v>
      </c>
      <c r="C83" t="str">
        <f t="shared" si="1"/>
        <v>1000-01</v>
      </c>
      <c r="D83" t="s">
        <v>792</v>
      </c>
      <c r="E83">
        <v>901.00047115500001</v>
      </c>
      <c r="F83">
        <v>901.33766541600903</v>
      </c>
      <c r="G83">
        <v>6458.9905920000001</v>
      </c>
    </row>
    <row r="84" spans="1:7" x14ac:dyDescent="0.2">
      <c r="A84">
        <v>1000</v>
      </c>
      <c r="B84">
        <v>2</v>
      </c>
      <c r="C84" t="str">
        <f t="shared" si="1"/>
        <v>1000-02</v>
      </c>
      <c r="D84" t="s">
        <v>792</v>
      </c>
      <c r="E84">
        <v>900.83241027999998</v>
      </c>
      <c r="F84">
        <v>901.077343602984</v>
      </c>
      <c r="G84">
        <v>1045.48352</v>
      </c>
    </row>
    <row r="85" spans="1:7" x14ac:dyDescent="0.2">
      <c r="A85">
        <v>1000</v>
      </c>
      <c r="B85">
        <v>3</v>
      </c>
      <c r="C85" t="str">
        <f t="shared" si="1"/>
        <v>1000-03</v>
      </c>
      <c r="D85" t="s">
        <v>792</v>
      </c>
      <c r="E85">
        <v>900.77084453800001</v>
      </c>
      <c r="F85">
        <v>901.00789696699906</v>
      </c>
      <c r="G85">
        <v>11.927552</v>
      </c>
    </row>
    <row r="86" spans="1:7" x14ac:dyDescent="0.2">
      <c r="A86">
        <v>1000</v>
      </c>
      <c r="B86">
        <v>4</v>
      </c>
      <c r="C86" t="str">
        <f t="shared" si="1"/>
        <v>1000-04</v>
      </c>
      <c r="D86" t="s">
        <v>792</v>
      </c>
      <c r="E86">
        <v>900.76551394099999</v>
      </c>
      <c r="F86">
        <v>901.03828479102197</v>
      </c>
      <c r="G86">
        <v>440.44697600000001</v>
      </c>
    </row>
    <row r="87" spans="1:7" x14ac:dyDescent="0.2">
      <c r="A87">
        <v>1000</v>
      </c>
      <c r="B87">
        <v>5</v>
      </c>
      <c r="C87" t="str">
        <f t="shared" si="1"/>
        <v>1000-05</v>
      </c>
      <c r="D87" t="s">
        <v>792</v>
      </c>
      <c r="E87">
        <v>900.77851707100001</v>
      </c>
      <c r="F87">
        <v>901.00964801700297</v>
      </c>
      <c r="G87">
        <v>5.554176</v>
      </c>
    </row>
    <row r="88" spans="1:7" x14ac:dyDescent="0.2">
      <c r="A88">
        <v>1000</v>
      </c>
      <c r="B88">
        <v>6</v>
      </c>
      <c r="C88" t="str">
        <f t="shared" si="1"/>
        <v>1000-06</v>
      </c>
      <c r="D88" t="s">
        <v>792</v>
      </c>
      <c r="E88">
        <v>900.74012675500001</v>
      </c>
      <c r="F88">
        <v>901.03197891500895</v>
      </c>
      <c r="G88">
        <v>407.02771200000001</v>
      </c>
    </row>
    <row r="89" spans="1:7" x14ac:dyDescent="0.2">
      <c r="A89">
        <v>1000</v>
      </c>
      <c r="B89">
        <v>7</v>
      </c>
      <c r="C89" t="str">
        <f t="shared" si="1"/>
        <v>1000-07</v>
      </c>
      <c r="D89" t="s">
        <v>792</v>
      </c>
      <c r="E89">
        <v>900.75913920100004</v>
      </c>
      <c r="F89">
        <v>901.00980446298399</v>
      </c>
      <c r="G89">
        <v>20.783104000000002</v>
      </c>
    </row>
    <row r="90" spans="1:7" x14ac:dyDescent="0.2">
      <c r="A90">
        <v>1000</v>
      </c>
      <c r="B90">
        <v>8</v>
      </c>
      <c r="C90" t="str">
        <f t="shared" si="1"/>
        <v>1000-08</v>
      </c>
      <c r="D90" t="s">
        <v>792</v>
      </c>
      <c r="E90">
        <v>900.82782379299999</v>
      </c>
      <c r="F90">
        <v>901.14482975299995</v>
      </c>
      <c r="G90">
        <v>2458.6977280000001</v>
      </c>
    </row>
    <row r="91" spans="1:7" x14ac:dyDescent="0.2">
      <c r="A91">
        <v>1000</v>
      </c>
      <c r="B91">
        <v>9</v>
      </c>
      <c r="C91" t="str">
        <f t="shared" si="1"/>
        <v>1000-09</v>
      </c>
      <c r="D91" t="s">
        <v>792</v>
      </c>
      <c r="E91">
        <v>900.91810222300001</v>
      </c>
      <c r="F91">
        <v>901.25647810599105</v>
      </c>
      <c r="G91">
        <v>3703.5048959999999</v>
      </c>
    </row>
    <row r="92" spans="1:7" x14ac:dyDescent="0.2">
      <c r="A92">
        <v>2000</v>
      </c>
      <c r="B92">
        <v>1</v>
      </c>
      <c r="C92" t="str">
        <f t="shared" si="1"/>
        <v>2000-01</v>
      </c>
      <c r="D92" t="s">
        <v>792</v>
      </c>
      <c r="E92">
        <v>900.76220696799999</v>
      </c>
      <c r="F92">
        <v>901.01140352699394</v>
      </c>
      <c r="G92">
        <v>40.337408000000003</v>
      </c>
    </row>
    <row r="93" spans="1:7" x14ac:dyDescent="0.2">
      <c r="A93">
        <v>2000</v>
      </c>
      <c r="B93">
        <v>2</v>
      </c>
      <c r="C93" t="str">
        <f t="shared" si="1"/>
        <v>2000-02</v>
      </c>
      <c r="D93" t="s">
        <v>792</v>
      </c>
      <c r="E93">
        <v>901.09820253600003</v>
      </c>
      <c r="F93">
        <v>901.42408786900296</v>
      </c>
      <c r="G93">
        <v>7874.6746880000001</v>
      </c>
    </row>
    <row r="94" spans="1:7" x14ac:dyDescent="0.2">
      <c r="A94">
        <v>2000</v>
      </c>
      <c r="B94">
        <v>3</v>
      </c>
      <c r="C94" t="str">
        <f t="shared" si="1"/>
        <v>2000-03</v>
      </c>
      <c r="D94" t="s">
        <v>792</v>
      </c>
      <c r="E94">
        <v>900.764314754</v>
      </c>
      <c r="F94">
        <v>901.01396218201205</v>
      </c>
      <c r="G94">
        <v>74.366975999999994</v>
      </c>
    </row>
    <row r="95" spans="1:7" x14ac:dyDescent="0.2">
      <c r="A95">
        <v>2000</v>
      </c>
      <c r="B95">
        <v>4</v>
      </c>
      <c r="C95" t="str">
        <f t="shared" si="1"/>
        <v>2000-04</v>
      </c>
      <c r="D95" t="s">
        <v>792</v>
      </c>
      <c r="E95">
        <v>900.84572386900004</v>
      </c>
      <c r="F95">
        <v>901.16285900000298</v>
      </c>
      <c r="G95">
        <v>2966.0487680000001</v>
      </c>
    </row>
    <row r="96" spans="1:7" x14ac:dyDescent="0.2">
      <c r="A96">
        <v>2000</v>
      </c>
      <c r="B96">
        <v>5</v>
      </c>
      <c r="C96" t="str">
        <f t="shared" si="1"/>
        <v>2000-05</v>
      </c>
      <c r="D96" t="s">
        <v>792</v>
      </c>
      <c r="E96">
        <v>900.73264975799998</v>
      </c>
      <c r="F96">
        <v>901.11831750400597</v>
      </c>
      <c r="G96">
        <v>2092.3514879999998</v>
      </c>
    </row>
    <row r="97" spans="1:7" x14ac:dyDescent="0.2">
      <c r="A97">
        <v>2000</v>
      </c>
      <c r="B97">
        <v>6</v>
      </c>
      <c r="C97" t="str">
        <f t="shared" si="1"/>
        <v>2000-06</v>
      </c>
      <c r="D97" t="s">
        <v>792</v>
      </c>
      <c r="E97">
        <v>900.81637403100001</v>
      </c>
      <c r="F97">
        <v>901.11090317400499</v>
      </c>
      <c r="G97">
        <v>1856.8970240000001</v>
      </c>
    </row>
    <row r="98" spans="1:7" x14ac:dyDescent="0.2">
      <c r="A98">
        <v>2000</v>
      </c>
      <c r="B98">
        <v>7</v>
      </c>
      <c r="C98" t="str">
        <f t="shared" si="1"/>
        <v>2000-07</v>
      </c>
      <c r="D98" t="s">
        <v>792</v>
      </c>
      <c r="E98">
        <v>900.93288090099998</v>
      </c>
      <c r="F98">
        <v>901.26569622399904</v>
      </c>
      <c r="G98">
        <v>4984.4551680000004</v>
      </c>
    </row>
    <row r="99" spans="1:7" x14ac:dyDescent="0.2">
      <c r="A99">
        <v>2000</v>
      </c>
      <c r="B99">
        <v>8</v>
      </c>
      <c r="C99" t="str">
        <f t="shared" si="1"/>
        <v>2000-08</v>
      </c>
      <c r="D99" t="s">
        <v>792</v>
      </c>
      <c r="E99">
        <v>900.9102901</v>
      </c>
      <c r="F99">
        <v>901.22895018898998</v>
      </c>
      <c r="G99">
        <v>3976.6548480000001</v>
      </c>
    </row>
    <row r="100" spans="1:7" x14ac:dyDescent="0.2">
      <c r="A100">
        <v>2000</v>
      </c>
      <c r="B100">
        <v>9</v>
      </c>
      <c r="C100" t="str">
        <f t="shared" si="1"/>
        <v>2000-09</v>
      </c>
      <c r="D100" t="s">
        <v>792</v>
      </c>
      <c r="E100">
        <v>900.90533058200003</v>
      </c>
      <c r="F100">
        <v>901.22663158900104</v>
      </c>
      <c r="G100">
        <v>3944.0465920000001</v>
      </c>
    </row>
    <row r="101" spans="1:7" x14ac:dyDescent="0.2">
      <c r="A101">
        <v>3000</v>
      </c>
      <c r="B101">
        <v>1</v>
      </c>
      <c r="C101" t="str">
        <f t="shared" si="1"/>
        <v>3000-01</v>
      </c>
      <c r="D101" t="s">
        <v>792</v>
      </c>
      <c r="E101">
        <v>900.87108974199998</v>
      </c>
      <c r="F101">
        <v>901.18709763401398</v>
      </c>
      <c r="G101">
        <v>3305.3614080000002</v>
      </c>
    </row>
    <row r="102" spans="1:7" x14ac:dyDescent="0.2">
      <c r="A102">
        <v>3000</v>
      </c>
      <c r="B102">
        <v>2</v>
      </c>
      <c r="C102" t="str">
        <f t="shared" si="1"/>
        <v>3000-02</v>
      </c>
      <c r="D102" t="s">
        <v>792</v>
      </c>
      <c r="E102">
        <v>900.87863586499998</v>
      </c>
      <c r="F102">
        <v>901.17884800999298</v>
      </c>
      <c r="G102">
        <v>3271.9994879999999</v>
      </c>
    </row>
    <row r="103" spans="1:7" x14ac:dyDescent="0.2">
      <c r="A103">
        <v>3000</v>
      </c>
      <c r="B103">
        <v>3</v>
      </c>
      <c r="C103" t="str">
        <f t="shared" si="1"/>
        <v>3000-03</v>
      </c>
      <c r="D103" t="s">
        <v>792</v>
      </c>
      <c r="E103">
        <v>900.73504119799998</v>
      </c>
      <c r="F103">
        <v>901.09046547501896</v>
      </c>
      <c r="G103">
        <v>1557.4466560000001</v>
      </c>
    </row>
    <row r="104" spans="1:7" x14ac:dyDescent="0.2">
      <c r="A104">
        <v>3000</v>
      </c>
      <c r="B104">
        <v>4</v>
      </c>
      <c r="C104" t="str">
        <f t="shared" si="1"/>
        <v>3000-04</v>
      </c>
      <c r="D104" t="s">
        <v>792</v>
      </c>
      <c r="E104">
        <v>900.85250902200005</v>
      </c>
      <c r="F104">
        <v>901.16547450900498</v>
      </c>
      <c r="G104">
        <v>2902.851584</v>
      </c>
    </row>
    <row r="105" spans="1:7" x14ac:dyDescent="0.2">
      <c r="A105">
        <v>3000</v>
      </c>
      <c r="B105">
        <v>5</v>
      </c>
      <c r="C105" t="str">
        <f t="shared" si="1"/>
        <v>3000-05</v>
      </c>
      <c r="D105" t="s">
        <v>792</v>
      </c>
      <c r="E105">
        <v>900.81398503100002</v>
      </c>
      <c r="F105">
        <v>901.13217317900796</v>
      </c>
      <c r="G105">
        <v>2231.0625279999999</v>
      </c>
    </row>
    <row r="106" spans="1:7" x14ac:dyDescent="0.2">
      <c r="A106">
        <v>3000</v>
      </c>
      <c r="B106">
        <v>6</v>
      </c>
      <c r="C106" t="str">
        <f t="shared" si="1"/>
        <v>3000-06</v>
      </c>
      <c r="D106" t="s">
        <v>792</v>
      </c>
      <c r="E106">
        <v>900.94025027700002</v>
      </c>
      <c r="F106">
        <v>901.266315846005</v>
      </c>
      <c r="G106">
        <v>4853.8460160000004</v>
      </c>
    </row>
    <row r="107" spans="1:7" x14ac:dyDescent="0.2">
      <c r="A107">
        <v>3000</v>
      </c>
      <c r="B107">
        <v>7</v>
      </c>
      <c r="C107" t="str">
        <f t="shared" si="1"/>
        <v>3000-07</v>
      </c>
      <c r="D107" t="s">
        <v>792</v>
      </c>
      <c r="E107">
        <v>900.85496887399995</v>
      </c>
      <c r="F107">
        <v>901.172081595024</v>
      </c>
      <c r="G107">
        <v>3038.5233920000001</v>
      </c>
    </row>
    <row r="108" spans="1:7" x14ac:dyDescent="0.2">
      <c r="A108">
        <v>3000</v>
      </c>
      <c r="B108">
        <v>8</v>
      </c>
      <c r="C108" t="str">
        <f t="shared" si="1"/>
        <v>3000-08</v>
      </c>
      <c r="D108" t="s">
        <v>792</v>
      </c>
      <c r="E108">
        <v>900.891557326</v>
      </c>
      <c r="F108">
        <v>901.21435389399903</v>
      </c>
      <c r="G108">
        <v>3947.4872319999999</v>
      </c>
    </row>
    <row r="109" spans="1:7" x14ac:dyDescent="0.2">
      <c r="A109">
        <v>3000</v>
      </c>
      <c r="B109">
        <v>9</v>
      </c>
      <c r="C109" t="str">
        <f t="shared" si="1"/>
        <v>3000-09</v>
      </c>
      <c r="D109" t="s">
        <v>792</v>
      </c>
      <c r="E109">
        <v>900.90560273899996</v>
      </c>
      <c r="F109">
        <v>901.23007890500503</v>
      </c>
      <c r="G109">
        <v>3712.917504</v>
      </c>
    </row>
    <row r="110" spans="1:7" x14ac:dyDescent="0.2">
      <c r="A110">
        <v>4000</v>
      </c>
      <c r="B110">
        <v>1</v>
      </c>
      <c r="C110" t="str">
        <f t="shared" si="1"/>
        <v>4000-01</v>
      </c>
      <c r="D110" t="s">
        <v>792</v>
      </c>
      <c r="E110">
        <v>900.74720129599996</v>
      </c>
      <c r="F110">
        <v>901.01044859600302</v>
      </c>
      <c r="G110">
        <v>15.486976</v>
      </c>
    </row>
    <row r="111" spans="1:7" x14ac:dyDescent="0.2">
      <c r="A111">
        <v>4000</v>
      </c>
      <c r="B111">
        <v>2</v>
      </c>
      <c r="C111" t="str">
        <f t="shared" si="1"/>
        <v>4000-02</v>
      </c>
      <c r="D111" t="s">
        <v>792</v>
      </c>
      <c r="E111">
        <v>900.91162946300005</v>
      </c>
      <c r="F111">
        <v>901.20757321600104</v>
      </c>
      <c r="G111">
        <v>3746.6726399999998</v>
      </c>
    </row>
    <row r="112" spans="1:7" x14ac:dyDescent="0.2">
      <c r="A112">
        <v>4000</v>
      </c>
      <c r="B112">
        <v>3</v>
      </c>
      <c r="C112" t="str">
        <f t="shared" si="1"/>
        <v>4000-03</v>
      </c>
      <c r="D112" t="s">
        <v>792</v>
      </c>
      <c r="E112">
        <v>900.93204216399999</v>
      </c>
      <c r="F112">
        <v>901.22591781799497</v>
      </c>
      <c r="G112">
        <v>4217.6962560000002</v>
      </c>
    </row>
    <row r="113" spans="1:7" x14ac:dyDescent="0.2">
      <c r="A113">
        <v>4000</v>
      </c>
      <c r="B113">
        <v>4</v>
      </c>
      <c r="C113" t="str">
        <f t="shared" si="1"/>
        <v>4000-04</v>
      </c>
      <c r="D113" t="s">
        <v>792</v>
      </c>
      <c r="E113">
        <v>900.91771075899999</v>
      </c>
      <c r="F113">
        <v>901.29795832798095</v>
      </c>
      <c r="G113">
        <v>5327.7286400000003</v>
      </c>
    </row>
    <row r="114" spans="1:7" x14ac:dyDescent="0.2">
      <c r="A114">
        <v>4000</v>
      </c>
      <c r="B114">
        <v>5</v>
      </c>
      <c r="C114" t="str">
        <f t="shared" si="1"/>
        <v>4000-05</v>
      </c>
      <c r="D114" t="s">
        <v>792</v>
      </c>
      <c r="E114">
        <v>900.95683289600004</v>
      </c>
      <c r="F114">
        <v>901.25135256000794</v>
      </c>
      <c r="G114">
        <v>4252.3688959999999</v>
      </c>
    </row>
    <row r="115" spans="1:7" x14ac:dyDescent="0.2">
      <c r="A115">
        <v>4000</v>
      </c>
      <c r="B115">
        <v>6</v>
      </c>
      <c r="C115" t="str">
        <f t="shared" si="1"/>
        <v>4000-06</v>
      </c>
      <c r="D115" t="s">
        <v>792</v>
      </c>
      <c r="E115">
        <v>900.87879863299997</v>
      </c>
      <c r="F115">
        <v>901.19232161898901</v>
      </c>
      <c r="G115">
        <v>3076.2311679999998</v>
      </c>
    </row>
    <row r="116" spans="1:7" x14ac:dyDescent="0.2">
      <c r="A116">
        <v>4000</v>
      </c>
      <c r="B116">
        <v>7</v>
      </c>
      <c r="C116" t="str">
        <f t="shared" si="1"/>
        <v>4000-07</v>
      </c>
      <c r="D116" t="s">
        <v>792</v>
      </c>
      <c r="E116">
        <v>900.77825263900002</v>
      </c>
      <c r="F116">
        <v>901.01695820500004</v>
      </c>
      <c r="G116">
        <v>84.107264000000001</v>
      </c>
    </row>
    <row r="117" spans="1:7" x14ac:dyDescent="0.2">
      <c r="A117">
        <v>4000</v>
      </c>
      <c r="B117">
        <v>8</v>
      </c>
      <c r="C117" t="str">
        <f t="shared" si="1"/>
        <v>4000-08</v>
      </c>
      <c r="D117" t="s">
        <v>792</v>
      </c>
      <c r="E117">
        <v>900.99829753999995</v>
      </c>
      <c r="F117">
        <v>901.31777746198304</v>
      </c>
      <c r="G117">
        <v>6641.9752959999996</v>
      </c>
    </row>
    <row r="118" spans="1:7" x14ac:dyDescent="0.2">
      <c r="A118">
        <v>4000</v>
      </c>
      <c r="B118">
        <v>9</v>
      </c>
      <c r="C118" t="str">
        <f t="shared" si="1"/>
        <v>4000-09</v>
      </c>
      <c r="D118" t="s">
        <v>792</v>
      </c>
      <c r="E118">
        <v>900.74121887199999</v>
      </c>
      <c r="F118">
        <v>901.06034482401401</v>
      </c>
      <c r="G118">
        <v>1129.852928</v>
      </c>
    </row>
    <row r="119" spans="1:7" x14ac:dyDescent="0.2">
      <c r="A119">
        <v>5000</v>
      </c>
      <c r="B119">
        <v>1</v>
      </c>
      <c r="C119" t="str">
        <f t="shared" si="1"/>
        <v>5000-01</v>
      </c>
      <c r="D119" t="s">
        <v>792</v>
      </c>
      <c r="E119">
        <v>900.77518786899998</v>
      </c>
      <c r="F119">
        <v>901.14159943698905</v>
      </c>
      <c r="G119">
        <v>2404.499456</v>
      </c>
    </row>
    <row r="120" spans="1:7" x14ac:dyDescent="0.2">
      <c r="A120">
        <v>5000</v>
      </c>
      <c r="B120">
        <v>2</v>
      </c>
      <c r="C120" t="str">
        <f t="shared" si="1"/>
        <v>5000-02</v>
      </c>
      <c r="D120" t="s">
        <v>792</v>
      </c>
      <c r="E120">
        <v>900.80298086100004</v>
      </c>
      <c r="F120">
        <v>901.09208729799104</v>
      </c>
      <c r="G120">
        <v>1564.5655039999999</v>
      </c>
    </row>
    <row r="121" spans="1:7" x14ac:dyDescent="0.2">
      <c r="A121">
        <v>5000</v>
      </c>
      <c r="B121">
        <v>3</v>
      </c>
      <c r="C121" t="str">
        <f t="shared" si="1"/>
        <v>5000-03</v>
      </c>
      <c r="D121" t="s">
        <v>792</v>
      </c>
      <c r="E121">
        <v>900.94090768800004</v>
      </c>
      <c r="F121">
        <v>901.25361856500899</v>
      </c>
      <c r="G121">
        <v>4692.6274560000002</v>
      </c>
    </row>
    <row r="122" spans="1:7" x14ac:dyDescent="0.2">
      <c r="A122">
        <v>5000</v>
      </c>
      <c r="B122">
        <v>4</v>
      </c>
      <c r="C122" t="str">
        <f t="shared" si="1"/>
        <v>5000-04</v>
      </c>
      <c r="D122" t="s">
        <v>792</v>
      </c>
      <c r="E122">
        <v>900.862031602</v>
      </c>
      <c r="F122">
        <v>901.18550727699699</v>
      </c>
      <c r="G122">
        <v>3582.6155520000002</v>
      </c>
    </row>
    <row r="123" spans="1:7" x14ac:dyDescent="0.2">
      <c r="A123">
        <v>5000</v>
      </c>
      <c r="B123">
        <v>5</v>
      </c>
      <c r="C123" t="str">
        <f t="shared" si="1"/>
        <v>5000-05</v>
      </c>
      <c r="D123" t="s">
        <v>792</v>
      </c>
      <c r="E123">
        <v>901.05185324399997</v>
      </c>
      <c r="F123">
        <v>901.37334786000395</v>
      </c>
      <c r="G123">
        <v>7315.8533120000002</v>
      </c>
    </row>
    <row r="124" spans="1:7" x14ac:dyDescent="0.2">
      <c r="A124">
        <v>5000</v>
      </c>
      <c r="B124">
        <v>6</v>
      </c>
      <c r="C124" t="str">
        <f t="shared" si="1"/>
        <v>5000-06</v>
      </c>
      <c r="D124" t="s">
        <v>792</v>
      </c>
      <c r="E124">
        <v>901.00102486699996</v>
      </c>
      <c r="F124">
        <v>901.33566161300405</v>
      </c>
      <c r="G124">
        <v>6307.9915520000004</v>
      </c>
    </row>
    <row r="125" spans="1:7" x14ac:dyDescent="0.2">
      <c r="A125">
        <v>5000</v>
      </c>
      <c r="B125">
        <v>7</v>
      </c>
      <c r="C125" t="str">
        <f t="shared" si="1"/>
        <v>5000-07</v>
      </c>
      <c r="D125" t="s">
        <v>792</v>
      </c>
      <c r="E125">
        <v>900.83618965699998</v>
      </c>
      <c r="F125">
        <v>901.15684803301701</v>
      </c>
      <c r="G125">
        <v>2980.37248</v>
      </c>
    </row>
    <row r="126" spans="1:7" x14ac:dyDescent="0.2">
      <c r="A126">
        <v>5000</v>
      </c>
      <c r="B126">
        <v>8</v>
      </c>
      <c r="C126" t="str">
        <f t="shared" si="1"/>
        <v>5000-08</v>
      </c>
      <c r="D126" t="s">
        <v>792</v>
      </c>
      <c r="E126">
        <v>900.77204757000004</v>
      </c>
      <c r="F126">
        <v>901.09506643400505</v>
      </c>
      <c r="G126">
        <v>1535.9385600000001</v>
      </c>
    </row>
    <row r="127" spans="1:7" x14ac:dyDescent="0.2">
      <c r="A127">
        <v>5000</v>
      </c>
      <c r="B127">
        <v>9</v>
      </c>
      <c r="C127" t="str">
        <f t="shared" si="1"/>
        <v>5000-09</v>
      </c>
      <c r="D127" t="s">
        <v>792</v>
      </c>
      <c r="E127">
        <v>900.81920304100004</v>
      </c>
      <c r="F127">
        <v>901.20542337899599</v>
      </c>
      <c r="G127">
        <v>3890.7903999999999</v>
      </c>
    </row>
    <row r="128" spans="1:7" x14ac:dyDescent="0.2">
      <c r="A128">
        <v>6000</v>
      </c>
      <c r="B128">
        <v>1</v>
      </c>
      <c r="C128" t="str">
        <f t="shared" si="1"/>
        <v>6000-01</v>
      </c>
      <c r="D128" t="s">
        <v>792</v>
      </c>
      <c r="E128">
        <v>900.83901082099999</v>
      </c>
      <c r="F128">
        <v>901.12247526901695</v>
      </c>
      <c r="G128">
        <v>1870.319616</v>
      </c>
    </row>
    <row r="129" spans="1:7" x14ac:dyDescent="0.2">
      <c r="A129">
        <v>6000</v>
      </c>
      <c r="B129">
        <v>2</v>
      </c>
      <c r="C129" t="str">
        <f t="shared" si="1"/>
        <v>6000-02</v>
      </c>
      <c r="D129" t="s">
        <v>792</v>
      </c>
      <c r="E129">
        <v>900.82254214399995</v>
      </c>
      <c r="F129">
        <v>901.10609588798195</v>
      </c>
      <c r="G129">
        <v>1736.0281600000001</v>
      </c>
    </row>
    <row r="130" spans="1:7" x14ac:dyDescent="0.2">
      <c r="A130">
        <v>6000</v>
      </c>
      <c r="B130">
        <v>3</v>
      </c>
      <c r="C130" t="str">
        <f t="shared" si="1"/>
        <v>6000-03</v>
      </c>
      <c r="D130" t="s">
        <v>792</v>
      </c>
      <c r="E130">
        <v>900.83335722599998</v>
      </c>
      <c r="F130">
        <v>901.13441649300501</v>
      </c>
      <c r="G130">
        <v>2342.3549440000002</v>
      </c>
    </row>
    <row r="131" spans="1:7" x14ac:dyDescent="0.2">
      <c r="A131">
        <v>6000</v>
      </c>
      <c r="B131">
        <v>4</v>
      </c>
      <c r="C131" t="str">
        <f t="shared" ref="C131:C171" si="2">A131&amp;"-0"&amp;B131</f>
        <v>6000-04</v>
      </c>
      <c r="D131" t="s">
        <v>792</v>
      </c>
      <c r="E131">
        <v>900.81639956000004</v>
      </c>
      <c r="F131">
        <v>901.11275678998197</v>
      </c>
      <c r="G131">
        <v>2007.9247359999999</v>
      </c>
    </row>
    <row r="132" spans="1:7" x14ac:dyDescent="0.2">
      <c r="A132">
        <v>6000</v>
      </c>
      <c r="B132">
        <v>5</v>
      </c>
      <c r="C132" t="str">
        <f t="shared" si="2"/>
        <v>6000-05</v>
      </c>
      <c r="D132" t="s">
        <v>792</v>
      </c>
      <c r="E132">
        <v>900.98257803199999</v>
      </c>
      <c r="F132">
        <v>901.29773953100005</v>
      </c>
      <c r="G132">
        <v>5538.3736319999998</v>
      </c>
    </row>
    <row r="133" spans="1:7" x14ac:dyDescent="0.2">
      <c r="A133">
        <v>6000</v>
      </c>
      <c r="B133">
        <v>6</v>
      </c>
      <c r="C133" t="str">
        <f t="shared" si="2"/>
        <v>6000-06</v>
      </c>
      <c r="D133" t="s">
        <v>792</v>
      </c>
      <c r="E133">
        <v>900.95274760999996</v>
      </c>
      <c r="F133">
        <v>901.26199128601002</v>
      </c>
      <c r="G133">
        <v>4799.6231680000001</v>
      </c>
    </row>
    <row r="134" spans="1:7" x14ac:dyDescent="0.2">
      <c r="A134">
        <v>6000</v>
      </c>
      <c r="B134">
        <v>7</v>
      </c>
      <c r="C134" t="str">
        <f t="shared" si="2"/>
        <v>6000-07</v>
      </c>
      <c r="D134" t="s">
        <v>792</v>
      </c>
      <c r="E134">
        <v>900.79449045399997</v>
      </c>
      <c r="F134">
        <v>901.11081769599696</v>
      </c>
      <c r="G134">
        <v>1572.245504</v>
      </c>
    </row>
    <row r="135" spans="1:7" x14ac:dyDescent="0.2">
      <c r="A135">
        <v>6000</v>
      </c>
      <c r="B135">
        <v>8</v>
      </c>
      <c r="C135" t="str">
        <f t="shared" si="2"/>
        <v>6000-08</v>
      </c>
      <c r="D135" t="s">
        <v>792</v>
      </c>
      <c r="E135">
        <v>900.69775133600001</v>
      </c>
      <c r="F135">
        <v>901.02881551501901</v>
      </c>
      <c r="G135">
        <v>328.91289599999999</v>
      </c>
    </row>
    <row r="136" spans="1:7" x14ac:dyDescent="0.2">
      <c r="A136">
        <v>6000</v>
      </c>
      <c r="B136">
        <v>9</v>
      </c>
      <c r="C136" t="str">
        <f t="shared" si="2"/>
        <v>6000-09</v>
      </c>
      <c r="D136" t="s">
        <v>792</v>
      </c>
      <c r="E136">
        <v>900.90898924700002</v>
      </c>
      <c r="F136">
        <v>901.20992265597999</v>
      </c>
      <c r="G136">
        <v>3693.0109440000001</v>
      </c>
    </row>
    <row r="137" spans="1:7" x14ac:dyDescent="0.2">
      <c r="A137">
        <v>7000</v>
      </c>
      <c r="B137">
        <v>1</v>
      </c>
      <c r="C137" t="str">
        <f t="shared" si="2"/>
        <v>7000-01</v>
      </c>
      <c r="D137" t="s">
        <v>792</v>
      </c>
      <c r="E137">
        <v>900.94846311200001</v>
      </c>
      <c r="F137">
        <v>901.26384385500501</v>
      </c>
      <c r="G137">
        <v>4932.9438719999998</v>
      </c>
    </row>
    <row r="138" spans="1:7" x14ac:dyDescent="0.2">
      <c r="A138">
        <v>7000</v>
      </c>
      <c r="B138">
        <v>2</v>
      </c>
      <c r="C138" t="str">
        <f t="shared" si="2"/>
        <v>7000-02</v>
      </c>
      <c r="D138" t="s">
        <v>792</v>
      </c>
      <c r="E138">
        <v>900.79068190700002</v>
      </c>
      <c r="F138">
        <v>901.09482679099801</v>
      </c>
      <c r="G138">
        <v>1538.1790719999999</v>
      </c>
    </row>
    <row r="139" spans="1:7" x14ac:dyDescent="0.2">
      <c r="A139">
        <v>7000</v>
      </c>
      <c r="B139">
        <v>3</v>
      </c>
      <c r="C139" t="str">
        <f t="shared" si="2"/>
        <v>7000-03</v>
      </c>
      <c r="D139" t="s">
        <v>792</v>
      </c>
      <c r="E139">
        <v>900.79864279399999</v>
      </c>
      <c r="F139">
        <v>901.11286386399297</v>
      </c>
      <c r="G139">
        <v>1874.5794559999999</v>
      </c>
    </row>
    <row r="140" spans="1:7" x14ac:dyDescent="0.2">
      <c r="A140">
        <v>7000</v>
      </c>
      <c r="B140">
        <v>4</v>
      </c>
      <c r="C140" t="str">
        <f t="shared" si="2"/>
        <v>7000-04</v>
      </c>
      <c r="D140" t="s">
        <v>792</v>
      </c>
      <c r="E140">
        <v>900.90372567300005</v>
      </c>
      <c r="F140">
        <v>901.228056213993</v>
      </c>
      <c r="G140">
        <v>4095.2299520000001</v>
      </c>
    </row>
    <row r="141" spans="1:7" x14ac:dyDescent="0.2">
      <c r="A141">
        <v>7000</v>
      </c>
      <c r="B141">
        <v>5</v>
      </c>
      <c r="C141" t="str">
        <f t="shared" si="2"/>
        <v>7000-05</v>
      </c>
      <c r="D141" t="s">
        <v>792</v>
      </c>
      <c r="E141">
        <v>900.83429346599996</v>
      </c>
      <c r="F141">
        <v>901.14002708298995</v>
      </c>
      <c r="G141">
        <v>2346.8974079999998</v>
      </c>
    </row>
    <row r="142" spans="1:7" x14ac:dyDescent="0.2">
      <c r="A142">
        <v>7000</v>
      </c>
      <c r="B142">
        <v>6</v>
      </c>
      <c r="C142" t="str">
        <f t="shared" si="2"/>
        <v>7000-06</v>
      </c>
      <c r="D142" t="s">
        <v>792</v>
      </c>
      <c r="E142">
        <v>900.93028137299996</v>
      </c>
      <c r="F142">
        <v>901.30928561399901</v>
      </c>
      <c r="G142">
        <v>5206.884352</v>
      </c>
    </row>
    <row r="143" spans="1:7" x14ac:dyDescent="0.2">
      <c r="A143">
        <v>7000</v>
      </c>
      <c r="B143">
        <v>7</v>
      </c>
      <c r="C143" t="str">
        <f t="shared" si="2"/>
        <v>7000-07</v>
      </c>
      <c r="D143" t="s">
        <v>792</v>
      </c>
      <c r="E143">
        <v>900.77986779699995</v>
      </c>
      <c r="F143">
        <v>901.022807264991</v>
      </c>
      <c r="G143">
        <v>231.31750400000001</v>
      </c>
    </row>
    <row r="144" spans="1:7" x14ac:dyDescent="0.2">
      <c r="A144">
        <v>7000</v>
      </c>
      <c r="B144">
        <v>8</v>
      </c>
      <c r="C144" t="str">
        <f t="shared" si="2"/>
        <v>7000-08</v>
      </c>
      <c r="D144" t="s">
        <v>792</v>
      </c>
      <c r="E144">
        <v>900.81806850099997</v>
      </c>
      <c r="F144">
        <v>901.15281052401394</v>
      </c>
      <c r="G144">
        <v>2655.6211199999998</v>
      </c>
    </row>
    <row r="145" spans="1:7" x14ac:dyDescent="0.2">
      <c r="A145">
        <v>7000</v>
      </c>
      <c r="B145">
        <v>9</v>
      </c>
      <c r="C145" t="str">
        <f t="shared" si="2"/>
        <v>7000-09</v>
      </c>
      <c r="D145" t="s">
        <v>792</v>
      </c>
      <c r="E145">
        <v>900.99076471800004</v>
      </c>
      <c r="F145">
        <v>901.33097152400296</v>
      </c>
      <c r="G145">
        <v>5917.2986879999999</v>
      </c>
    </row>
    <row r="146" spans="1:7" x14ac:dyDescent="0.2">
      <c r="A146">
        <v>8000</v>
      </c>
      <c r="B146">
        <v>1</v>
      </c>
      <c r="C146" t="str">
        <f t="shared" si="2"/>
        <v>8000-01</v>
      </c>
      <c r="D146" t="s">
        <v>792</v>
      </c>
      <c r="E146">
        <v>900.932645278</v>
      </c>
      <c r="F146">
        <v>901.24607368800196</v>
      </c>
      <c r="G146">
        <v>4835.8891519999997</v>
      </c>
    </row>
    <row r="147" spans="1:7" x14ac:dyDescent="0.2">
      <c r="A147">
        <v>8000</v>
      </c>
      <c r="B147">
        <v>2</v>
      </c>
      <c r="C147" t="str">
        <f t="shared" si="2"/>
        <v>8000-02</v>
      </c>
      <c r="D147" t="s">
        <v>794</v>
      </c>
      <c r="E147">
        <v>0.31415659299999998</v>
      </c>
      <c r="F147">
        <v>0.49205972501658801</v>
      </c>
      <c r="G147">
        <v>29.888511999999999</v>
      </c>
    </row>
    <row r="148" spans="1:7" x14ac:dyDescent="0.2">
      <c r="A148">
        <v>8000</v>
      </c>
      <c r="B148">
        <v>3</v>
      </c>
      <c r="C148" t="str">
        <f t="shared" si="2"/>
        <v>8000-03</v>
      </c>
      <c r="D148" t="s">
        <v>794</v>
      </c>
      <c r="E148">
        <v>0.33215772599999999</v>
      </c>
      <c r="F148">
        <v>0.51555262200417895</v>
      </c>
      <c r="G148">
        <v>31.117311999999998</v>
      </c>
    </row>
    <row r="149" spans="1:7" x14ac:dyDescent="0.2">
      <c r="A149">
        <v>8000</v>
      </c>
      <c r="B149">
        <v>4</v>
      </c>
      <c r="C149" t="str">
        <f t="shared" si="2"/>
        <v>8000-04</v>
      </c>
      <c r="D149" t="s">
        <v>794</v>
      </c>
      <c r="E149">
        <v>0.34687832800000001</v>
      </c>
      <c r="F149">
        <v>0.52590026200050399</v>
      </c>
      <c r="G149">
        <v>32.247807999999999</v>
      </c>
    </row>
    <row r="150" spans="1:7" x14ac:dyDescent="0.2">
      <c r="A150">
        <v>8000</v>
      </c>
      <c r="B150">
        <v>6</v>
      </c>
      <c r="C150" t="str">
        <f t="shared" si="2"/>
        <v>8000-06</v>
      </c>
      <c r="D150" t="s">
        <v>792</v>
      </c>
      <c r="E150">
        <v>901.00079842299999</v>
      </c>
      <c r="F150">
        <v>901.32848487701199</v>
      </c>
      <c r="G150">
        <v>6354.2067200000001</v>
      </c>
    </row>
    <row r="151" spans="1:7" x14ac:dyDescent="0.2">
      <c r="A151">
        <v>8000</v>
      </c>
      <c r="B151">
        <v>7</v>
      </c>
      <c r="C151" t="str">
        <f t="shared" si="2"/>
        <v>8000-07</v>
      </c>
      <c r="D151" t="s">
        <v>792</v>
      </c>
      <c r="E151">
        <v>900.98803011200005</v>
      </c>
      <c r="F151">
        <v>901.30357799699402</v>
      </c>
      <c r="G151">
        <v>5347.5573759999997</v>
      </c>
    </row>
    <row r="152" spans="1:7" x14ac:dyDescent="0.2">
      <c r="A152">
        <v>8000</v>
      </c>
      <c r="B152">
        <v>8</v>
      </c>
      <c r="C152" t="str">
        <f t="shared" si="2"/>
        <v>8000-08</v>
      </c>
      <c r="D152" t="s">
        <v>792</v>
      </c>
      <c r="E152">
        <v>900.72392840400005</v>
      </c>
      <c r="F152">
        <v>901.11120764599696</v>
      </c>
      <c r="G152">
        <v>1853.407232</v>
      </c>
    </row>
    <row r="153" spans="1:7" x14ac:dyDescent="0.2">
      <c r="A153">
        <v>8000</v>
      </c>
      <c r="B153">
        <v>9</v>
      </c>
      <c r="C153" t="str">
        <f t="shared" si="2"/>
        <v>8000-09</v>
      </c>
      <c r="D153" t="s">
        <v>792</v>
      </c>
      <c r="E153">
        <v>900.81777397200005</v>
      </c>
      <c r="F153">
        <v>901.12722806099896</v>
      </c>
      <c r="G153">
        <v>1954.22208</v>
      </c>
    </row>
    <row r="154" spans="1:7" x14ac:dyDescent="0.2">
      <c r="A154">
        <v>9000</v>
      </c>
      <c r="B154">
        <v>1</v>
      </c>
      <c r="C154" t="str">
        <f t="shared" si="2"/>
        <v>9000-01</v>
      </c>
      <c r="D154" t="s">
        <v>794</v>
      </c>
      <c r="E154">
        <v>0.353304642</v>
      </c>
      <c r="F154">
        <v>0.53095115898759104</v>
      </c>
      <c r="G154">
        <v>33.189888000000003</v>
      </c>
    </row>
    <row r="155" spans="1:7" x14ac:dyDescent="0.2">
      <c r="A155">
        <v>9000</v>
      </c>
      <c r="B155">
        <v>2</v>
      </c>
      <c r="C155" t="str">
        <f t="shared" si="2"/>
        <v>9000-02</v>
      </c>
      <c r="D155" t="s">
        <v>794</v>
      </c>
      <c r="E155">
        <v>0.36328237499999999</v>
      </c>
      <c r="F155">
        <v>0.54205427700071596</v>
      </c>
      <c r="G155">
        <v>33.583103999999999</v>
      </c>
    </row>
    <row r="156" spans="1:7" x14ac:dyDescent="0.2">
      <c r="A156">
        <v>9000</v>
      </c>
      <c r="B156">
        <v>3</v>
      </c>
      <c r="C156" t="str">
        <f t="shared" si="2"/>
        <v>9000-03</v>
      </c>
      <c r="D156" t="s">
        <v>794</v>
      </c>
      <c r="E156">
        <v>0.38816826300000001</v>
      </c>
      <c r="F156">
        <v>0.56659886598936204</v>
      </c>
      <c r="G156">
        <v>34.578431999999999</v>
      </c>
    </row>
    <row r="157" spans="1:7" x14ac:dyDescent="0.2">
      <c r="A157">
        <v>9000</v>
      </c>
      <c r="B157">
        <v>4</v>
      </c>
      <c r="C157" t="str">
        <f t="shared" si="2"/>
        <v>9000-04</v>
      </c>
      <c r="D157" t="s">
        <v>794</v>
      </c>
      <c r="E157">
        <v>0.43550106700000002</v>
      </c>
      <c r="F157">
        <v>0.61537947398028303</v>
      </c>
      <c r="G157">
        <v>36.818944000000002</v>
      </c>
    </row>
    <row r="158" spans="1:7" x14ac:dyDescent="0.2">
      <c r="A158">
        <v>9000</v>
      </c>
      <c r="B158">
        <v>5</v>
      </c>
      <c r="C158" t="str">
        <f t="shared" si="2"/>
        <v>9000-05</v>
      </c>
      <c r="D158" t="s">
        <v>794</v>
      </c>
      <c r="E158">
        <v>0.4269194</v>
      </c>
      <c r="F158">
        <v>0.61591353800031301</v>
      </c>
      <c r="G158">
        <v>37.003264000000001</v>
      </c>
    </row>
    <row r="159" spans="1:7" x14ac:dyDescent="0.2">
      <c r="A159">
        <v>9000</v>
      </c>
      <c r="B159">
        <v>6</v>
      </c>
      <c r="C159" t="str">
        <f t="shared" si="2"/>
        <v>9000-06</v>
      </c>
      <c r="D159" t="s">
        <v>794</v>
      </c>
      <c r="E159">
        <v>0.46312501499999997</v>
      </c>
      <c r="F159">
        <v>0.63833081501070399</v>
      </c>
      <c r="G159">
        <v>38.641663999999999</v>
      </c>
    </row>
    <row r="160" spans="1:7" x14ac:dyDescent="0.2">
      <c r="A160">
        <v>9000</v>
      </c>
      <c r="B160">
        <v>7</v>
      </c>
      <c r="C160" t="str">
        <f t="shared" si="2"/>
        <v>9000-07</v>
      </c>
      <c r="D160" t="s">
        <v>794</v>
      </c>
      <c r="E160">
        <v>0.48315084899999999</v>
      </c>
      <c r="F160">
        <v>0.66079666299629003</v>
      </c>
      <c r="G160">
        <v>39.833599999999997</v>
      </c>
    </row>
    <row r="161" spans="1:7" x14ac:dyDescent="0.2">
      <c r="A161">
        <v>9000</v>
      </c>
      <c r="B161">
        <v>8</v>
      </c>
      <c r="C161" t="str">
        <f t="shared" si="2"/>
        <v>9000-08</v>
      </c>
      <c r="D161" t="s">
        <v>794</v>
      </c>
      <c r="E161">
        <v>0.51285254300000005</v>
      </c>
      <c r="F161">
        <v>0.69132025100407102</v>
      </c>
      <c r="G161">
        <v>41.725951999999999</v>
      </c>
    </row>
    <row r="162" spans="1:7" x14ac:dyDescent="0.2">
      <c r="A162">
        <v>9000</v>
      </c>
      <c r="B162">
        <v>9</v>
      </c>
      <c r="C162" t="str">
        <f t="shared" si="2"/>
        <v>9000-09</v>
      </c>
      <c r="D162" t="s">
        <v>794</v>
      </c>
      <c r="E162">
        <v>0.57100404800000004</v>
      </c>
      <c r="F162">
        <v>0.74906168098095804</v>
      </c>
      <c r="G162">
        <v>44.523519999999998</v>
      </c>
    </row>
    <row r="163" spans="1:7" x14ac:dyDescent="0.2">
      <c r="A163">
        <v>10000</v>
      </c>
      <c r="B163">
        <v>1</v>
      </c>
      <c r="C163" t="str">
        <f t="shared" si="2"/>
        <v>10000-01</v>
      </c>
      <c r="D163" t="s">
        <v>794</v>
      </c>
      <c r="E163">
        <v>0.39714550100000001</v>
      </c>
      <c r="F163">
        <v>0.75363208600901999</v>
      </c>
      <c r="G163">
        <v>36.626432000000001</v>
      </c>
    </row>
    <row r="164" spans="1:7" x14ac:dyDescent="0.2">
      <c r="A164">
        <v>10000</v>
      </c>
      <c r="B164">
        <v>2</v>
      </c>
      <c r="C164" t="str">
        <f t="shared" si="2"/>
        <v>10000-02</v>
      </c>
      <c r="D164" t="s">
        <v>794</v>
      </c>
      <c r="E164">
        <v>0.42563447300000001</v>
      </c>
      <c r="F164">
        <v>0.60211524402257</v>
      </c>
      <c r="G164">
        <v>38.297600000000003</v>
      </c>
    </row>
    <row r="165" spans="1:7" x14ac:dyDescent="0.2">
      <c r="A165">
        <v>10000</v>
      </c>
      <c r="B165">
        <v>3</v>
      </c>
      <c r="C165" t="str">
        <f t="shared" si="2"/>
        <v>10000-03</v>
      </c>
      <c r="D165" t="s">
        <v>794</v>
      </c>
      <c r="E165">
        <v>0.43349689899999999</v>
      </c>
      <c r="F165">
        <v>0.61028375400928703</v>
      </c>
      <c r="G165">
        <v>38.957056000000001</v>
      </c>
    </row>
    <row r="166" spans="1:7" x14ac:dyDescent="0.2">
      <c r="A166">
        <v>10000</v>
      </c>
      <c r="B166">
        <v>4</v>
      </c>
      <c r="C166" t="str">
        <f t="shared" si="2"/>
        <v>10000-04</v>
      </c>
      <c r="D166" t="s">
        <v>794</v>
      </c>
      <c r="E166">
        <v>0.45611652400000002</v>
      </c>
      <c r="F166">
        <v>0.63293353997869395</v>
      </c>
      <c r="G166">
        <v>39.510016</v>
      </c>
    </row>
    <row r="167" spans="1:7" x14ac:dyDescent="0.2">
      <c r="A167">
        <v>10000</v>
      </c>
      <c r="B167">
        <v>5</v>
      </c>
      <c r="C167" t="str">
        <f t="shared" si="2"/>
        <v>10000-05</v>
      </c>
      <c r="D167" t="s">
        <v>794</v>
      </c>
      <c r="E167">
        <v>0.51318612799999996</v>
      </c>
      <c r="F167">
        <v>0.68785531100002095</v>
      </c>
      <c r="G167">
        <v>42.975231999999998</v>
      </c>
    </row>
    <row r="168" spans="1:7" x14ac:dyDescent="0.2">
      <c r="A168">
        <v>10000</v>
      </c>
      <c r="B168">
        <v>6</v>
      </c>
      <c r="C168" t="str">
        <f t="shared" si="2"/>
        <v>10000-06</v>
      </c>
      <c r="D168" t="s">
        <v>794</v>
      </c>
      <c r="E168">
        <v>0.51268309899999998</v>
      </c>
      <c r="F168">
        <v>0.68679569801315599</v>
      </c>
      <c r="G168">
        <v>42.20928</v>
      </c>
    </row>
    <row r="169" spans="1:7" x14ac:dyDescent="0.2">
      <c r="A169">
        <v>10000</v>
      </c>
      <c r="B169">
        <v>7</v>
      </c>
      <c r="C169" t="str">
        <f t="shared" si="2"/>
        <v>10000-07</v>
      </c>
      <c r="D169" t="s">
        <v>794</v>
      </c>
      <c r="E169">
        <v>0.55771033299999995</v>
      </c>
      <c r="F169">
        <v>0.73567221200209998</v>
      </c>
      <c r="G169">
        <v>45.264896</v>
      </c>
    </row>
    <row r="170" spans="1:7" x14ac:dyDescent="0.2">
      <c r="A170">
        <v>10000</v>
      </c>
      <c r="B170">
        <v>8</v>
      </c>
      <c r="C170" t="str">
        <f t="shared" si="2"/>
        <v>10000-08</v>
      </c>
      <c r="D170" t="s">
        <v>794</v>
      </c>
      <c r="E170">
        <v>0.61486386100000001</v>
      </c>
      <c r="F170">
        <v>0.79181457799859301</v>
      </c>
      <c r="G170">
        <v>48.459775999999998</v>
      </c>
    </row>
    <row r="171" spans="1:7" x14ac:dyDescent="0.2">
      <c r="A171">
        <v>10000</v>
      </c>
      <c r="B171">
        <v>9</v>
      </c>
      <c r="C171" t="str">
        <f t="shared" si="2"/>
        <v>10000-09</v>
      </c>
      <c r="D171" t="s">
        <v>794</v>
      </c>
      <c r="E171">
        <v>0.64915046600000004</v>
      </c>
      <c r="F171">
        <v>0.82300089599448201</v>
      </c>
      <c r="G171">
        <v>50.778112</v>
      </c>
    </row>
  </sheetData>
  <sortState xmlns:xlrd2="http://schemas.microsoft.com/office/spreadsheetml/2017/richdata2" ref="A2:G171">
    <sortCondition ref="A2:A171"/>
  </sortState>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1"/>
  <sheetViews>
    <sheetView topLeftCell="A51" workbookViewId="0">
      <selection activeCell="L83" sqref="L83"/>
    </sheetView>
  </sheetViews>
  <sheetFormatPr baseColWidth="10" defaultColWidth="8.83203125" defaultRowHeight="15" x14ac:dyDescent="0.2"/>
  <cols>
    <col min="1" max="1" width="4.5" bestFit="1" customWidth="1"/>
    <col min="2" max="2" width="4.6640625" bestFit="1" customWidth="1"/>
    <col min="3" max="3" width="1.6640625" bestFit="1" customWidth="1"/>
    <col min="4" max="4" width="11.1640625" bestFit="1" customWidth="1"/>
    <col min="5" max="5" width="8.33203125" bestFit="1" customWidth="1"/>
    <col min="6" max="8" width="11.6640625" bestFit="1" customWidth="1"/>
  </cols>
  <sheetData>
    <row r="1" spans="1:11" x14ac:dyDescent="0.2">
      <c r="D1" t="s">
        <v>784</v>
      </c>
      <c r="E1" t="s">
        <v>785</v>
      </c>
      <c r="F1" t="s">
        <v>786</v>
      </c>
      <c r="G1" t="s">
        <v>787</v>
      </c>
      <c r="H1" t="s">
        <v>788</v>
      </c>
      <c r="J1" t="s">
        <v>789</v>
      </c>
      <c r="K1" t="s">
        <v>790</v>
      </c>
    </row>
    <row r="2" spans="1:11" x14ac:dyDescent="0.2">
      <c r="A2" t="s">
        <v>795</v>
      </c>
      <c r="B2">
        <v>100</v>
      </c>
      <c r="C2">
        <v>5</v>
      </c>
      <c r="D2" t="str">
        <f>A2&amp;B2&amp;"-0"&amp;C2</f>
        <v>ccf1-100-05</v>
      </c>
      <c r="E2" t="s">
        <v>791</v>
      </c>
      <c r="F2">
        <v>3.6760888999999998E-2</v>
      </c>
      <c r="G2">
        <v>4.1673626983538201E-2</v>
      </c>
      <c r="H2">
        <v>4.6284799999999997</v>
      </c>
      <c r="J2">
        <v>149</v>
      </c>
      <c r="K2" s="1">
        <v>1.6006200000000001E-6</v>
      </c>
    </row>
    <row r="3" spans="1:11" x14ac:dyDescent="0.2">
      <c r="A3" t="s">
        <v>796</v>
      </c>
      <c r="B3">
        <v>100</v>
      </c>
      <c r="C3">
        <v>5</v>
      </c>
      <c r="D3" t="str">
        <f t="shared" ref="D3:D66" si="0">A3&amp;B3&amp;"-0"&amp;C3</f>
        <v>ccf2-100-05</v>
      </c>
      <c r="E3" t="s">
        <v>791</v>
      </c>
      <c r="F3">
        <v>2.8130930780000001</v>
      </c>
      <c r="G3">
        <v>2.8190037470194498</v>
      </c>
      <c r="H3">
        <v>45.707264000000002</v>
      </c>
      <c r="J3">
        <v>135316</v>
      </c>
      <c r="K3" s="1">
        <v>1.64337E-6</v>
      </c>
    </row>
    <row r="4" spans="1:11" x14ac:dyDescent="0.2">
      <c r="A4" t="s">
        <v>797</v>
      </c>
      <c r="B4">
        <v>100</v>
      </c>
      <c r="C4">
        <v>5</v>
      </c>
      <c r="D4" t="str">
        <f t="shared" si="0"/>
        <v>ccf3-100-05</v>
      </c>
      <c r="E4" t="s">
        <v>791</v>
      </c>
      <c r="F4">
        <v>47.590023115999998</v>
      </c>
      <c r="G4">
        <v>47.628174762998199</v>
      </c>
      <c r="H4">
        <v>415.62521600000002</v>
      </c>
      <c r="J4">
        <v>2166912</v>
      </c>
      <c r="K4" s="1">
        <v>3.3343399999999998E-6</v>
      </c>
    </row>
    <row r="5" spans="1:11" x14ac:dyDescent="0.2">
      <c r="A5" t="s">
        <v>798</v>
      </c>
      <c r="B5">
        <v>100</v>
      </c>
      <c r="C5">
        <v>5</v>
      </c>
      <c r="D5" t="str">
        <f t="shared" si="0"/>
        <v>ccf4-100-05</v>
      </c>
      <c r="E5" t="s">
        <v>792</v>
      </c>
      <c r="F5">
        <v>900.96818929000005</v>
      </c>
      <c r="G5">
        <v>901.33863462199201</v>
      </c>
      <c r="H5">
        <v>5828.9233919999997</v>
      </c>
    </row>
    <row r="6" spans="1:11" x14ac:dyDescent="0.2">
      <c r="A6" t="s">
        <v>799</v>
      </c>
      <c r="B6">
        <v>100</v>
      </c>
      <c r="C6">
        <v>5</v>
      </c>
      <c r="D6" t="str">
        <f t="shared" si="0"/>
        <v>ccf5-100-05</v>
      </c>
      <c r="E6" t="s">
        <v>792</v>
      </c>
      <c r="F6">
        <v>901.00209502099995</v>
      </c>
      <c r="G6">
        <v>901.29127081498098</v>
      </c>
      <c r="H6">
        <v>4755.5993600000002</v>
      </c>
    </row>
    <row r="7" spans="1:11" x14ac:dyDescent="0.2">
      <c r="A7" t="s">
        <v>800</v>
      </c>
      <c r="B7">
        <v>100</v>
      </c>
      <c r="C7">
        <v>5</v>
      </c>
      <c r="D7" t="str">
        <f t="shared" si="0"/>
        <v>ccf6-100-05</v>
      </c>
      <c r="E7" t="s">
        <v>792</v>
      </c>
      <c r="F7">
        <v>900.90026603900003</v>
      </c>
      <c r="G7">
        <v>901.25119804000099</v>
      </c>
      <c r="H7">
        <v>4926.8244480000003</v>
      </c>
    </row>
    <row r="8" spans="1:11" x14ac:dyDescent="0.2">
      <c r="A8" t="s">
        <v>801</v>
      </c>
      <c r="B8">
        <v>100</v>
      </c>
      <c r="C8">
        <v>5</v>
      </c>
      <c r="D8" t="str">
        <f t="shared" si="0"/>
        <v>ccf7-100-05</v>
      </c>
      <c r="E8" t="s">
        <v>792</v>
      </c>
      <c r="F8">
        <v>900.91762509700004</v>
      </c>
      <c r="G8">
        <v>901.25175874101103</v>
      </c>
      <c r="H8">
        <v>4829.175808</v>
      </c>
    </row>
    <row r="9" spans="1:11" x14ac:dyDescent="0.2">
      <c r="A9" t="s">
        <v>802</v>
      </c>
      <c r="B9">
        <v>100</v>
      </c>
      <c r="C9">
        <v>5</v>
      </c>
      <c r="D9" t="str">
        <f t="shared" si="0"/>
        <v>ccf8-100-05</v>
      </c>
      <c r="E9" t="s">
        <v>792</v>
      </c>
      <c r="F9">
        <v>900.85239782899998</v>
      </c>
      <c r="G9">
        <v>901.177843027981</v>
      </c>
      <c r="H9">
        <v>3386.6752000000001</v>
      </c>
    </row>
    <row r="10" spans="1:11" x14ac:dyDescent="0.2">
      <c r="A10" t="s">
        <v>803</v>
      </c>
      <c r="B10">
        <v>100</v>
      </c>
      <c r="C10">
        <v>5</v>
      </c>
      <c r="D10" t="str">
        <f t="shared" si="0"/>
        <v>ccf9-100-05</v>
      </c>
      <c r="E10" t="s">
        <v>792</v>
      </c>
      <c r="F10">
        <v>900.69757861899996</v>
      </c>
      <c r="G10">
        <v>901.00962127299795</v>
      </c>
      <c r="H10">
        <v>29.409279999999999</v>
      </c>
    </row>
    <row r="11" spans="1:11" x14ac:dyDescent="0.2">
      <c r="A11" t="s">
        <v>795</v>
      </c>
      <c r="B11">
        <v>200</v>
      </c>
      <c r="C11">
        <v>5</v>
      </c>
      <c r="D11" t="str">
        <f t="shared" si="0"/>
        <v>ccf1-200-05</v>
      </c>
      <c r="E11" t="s">
        <v>791</v>
      </c>
      <c r="F11">
        <v>1.4992862360000001</v>
      </c>
      <c r="G11">
        <v>1.5041637669782999</v>
      </c>
      <c r="H11">
        <v>13.348864000000001</v>
      </c>
      <c r="J11">
        <v>38595</v>
      </c>
      <c r="K11" s="1">
        <v>2.5712999999999997E-7</v>
      </c>
    </row>
    <row r="12" spans="1:11" x14ac:dyDescent="0.2">
      <c r="A12" t="s">
        <v>796</v>
      </c>
      <c r="B12">
        <v>200</v>
      </c>
      <c r="C12">
        <v>5</v>
      </c>
      <c r="D12" t="str">
        <f t="shared" si="0"/>
        <v>ccf2-200-05</v>
      </c>
      <c r="E12" t="s">
        <v>791</v>
      </c>
      <c r="F12">
        <v>23.549590503000001</v>
      </c>
      <c r="G12">
        <v>23.560699565015899</v>
      </c>
      <c r="H12">
        <v>168.78796800000001</v>
      </c>
      <c r="J12">
        <v>590652</v>
      </c>
      <c r="K12" s="1">
        <v>2.5761500000000002E-7</v>
      </c>
    </row>
    <row r="13" spans="1:11" x14ac:dyDescent="0.2">
      <c r="A13" t="s">
        <v>797</v>
      </c>
      <c r="B13">
        <v>200</v>
      </c>
      <c r="C13">
        <v>5</v>
      </c>
      <c r="D13" t="str">
        <f t="shared" si="0"/>
        <v>ccf3-200-05</v>
      </c>
      <c r="E13" t="s">
        <v>791</v>
      </c>
      <c r="F13">
        <v>213.71024798400001</v>
      </c>
      <c r="G13">
        <v>213.80040917501901</v>
      </c>
      <c r="H13">
        <v>1129.6890880000001</v>
      </c>
      <c r="J13">
        <v>5124571</v>
      </c>
      <c r="K13" s="1">
        <v>2.6479799999999999E-7</v>
      </c>
    </row>
    <row r="14" spans="1:11" x14ac:dyDescent="0.2">
      <c r="A14" t="s">
        <v>798</v>
      </c>
      <c r="B14">
        <v>200</v>
      </c>
      <c r="C14">
        <v>5</v>
      </c>
      <c r="D14" t="str">
        <f t="shared" si="0"/>
        <v>ccf4-200-05</v>
      </c>
      <c r="E14" t="s">
        <v>792</v>
      </c>
      <c r="F14">
        <v>900.72650018100001</v>
      </c>
      <c r="G14">
        <v>901.01652330800403</v>
      </c>
      <c r="H14">
        <v>79.495168000000007</v>
      </c>
    </row>
    <row r="15" spans="1:11" x14ac:dyDescent="0.2">
      <c r="A15" t="s">
        <v>799</v>
      </c>
      <c r="B15">
        <v>200</v>
      </c>
      <c r="C15">
        <v>5</v>
      </c>
      <c r="D15" t="str">
        <f t="shared" si="0"/>
        <v>ccf5-200-05</v>
      </c>
      <c r="E15" t="s">
        <v>792</v>
      </c>
      <c r="F15">
        <v>900.75089162699999</v>
      </c>
      <c r="G15">
        <v>901.01632485300001</v>
      </c>
      <c r="H15">
        <v>116.363264</v>
      </c>
    </row>
    <row r="16" spans="1:11" x14ac:dyDescent="0.2">
      <c r="A16" t="s">
        <v>800</v>
      </c>
      <c r="B16">
        <v>200</v>
      </c>
      <c r="C16">
        <v>5</v>
      </c>
      <c r="D16" t="str">
        <f t="shared" si="0"/>
        <v>ccf6-200-05</v>
      </c>
      <c r="E16" t="s">
        <v>792</v>
      </c>
      <c r="F16">
        <v>900.75763968399997</v>
      </c>
      <c r="G16">
        <v>901.07790356001306</v>
      </c>
      <c r="H16">
        <v>1262.6862080000001</v>
      </c>
    </row>
    <row r="17" spans="1:8" x14ac:dyDescent="0.2">
      <c r="A17" t="s">
        <v>801</v>
      </c>
      <c r="B17">
        <v>200</v>
      </c>
      <c r="C17">
        <v>5</v>
      </c>
      <c r="D17" t="str">
        <f t="shared" si="0"/>
        <v>ccf7-200-05</v>
      </c>
      <c r="E17" t="s">
        <v>792</v>
      </c>
      <c r="F17">
        <v>900.75233026800004</v>
      </c>
      <c r="G17">
        <v>901.04824442899496</v>
      </c>
      <c r="H17">
        <v>761.33990400000005</v>
      </c>
    </row>
    <row r="18" spans="1:8" x14ac:dyDescent="0.2">
      <c r="A18" t="s">
        <v>802</v>
      </c>
      <c r="B18">
        <v>200</v>
      </c>
      <c r="C18">
        <v>5</v>
      </c>
      <c r="D18" t="str">
        <f t="shared" si="0"/>
        <v>ccf8-200-05</v>
      </c>
      <c r="E18" t="s">
        <v>792</v>
      </c>
      <c r="F18">
        <v>900.69345829400004</v>
      </c>
      <c r="G18">
        <v>901.00734123299401</v>
      </c>
      <c r="H18">
        <v>26.296320000000001</v>
      </c>
    </row>
    <row r="19" spans="1:8" x14ac:dyDescent="0.2">
      <c r="A19" t="s">
        <v>803</v>
      </c>
      <c r="B19">
        <v>200</v>
      </c>
      <c r="C19">
        <v>5</v>
      </c>
      <c r="D19" t="str">
        <f t="shared" si="0"/>
        <v>ccf9-200-05</v>
      </c>
      <c r="E19" t="s">
        <v>792</v>
      </c>
      <c r="F19">
        <v>900.78652858299995</v>
      </c>
      <c r="G19">
        <v>901.12189530598698</v>
      </c>
      <c r="H19">
        <v>1808.8714239999999</v>
      </c>
    </row>
    <row r="20" spans="1:8" x14ac:dyDescent="0.2">
      <c r="A20" t="s">
        <v>795</v>
      </c>
      <c r="B20">
        <v>300</v>
      </c>
      <c r="C20">
        <v>5</v>
      </c>
      <c r="D20" t="str">
        <f t="shared" si="0"/>
        <v>ccf1-300-05</v>
      </c>
      <c r="E20" t="s">
        <v>792</v>
      </c>
      <c r="F20">
        <v>900.77013510100005</v>
      </c>
      <c r="G20">
        <v>901.01276198399103</v>
      </c>
      <c r="H20">
        <v>105.435136</v>
      </c>
    </row>
    <row r="21" spans="1:8" x14ac:dyDescent="0.2">
      <c r="A21" t="s">
        <v>796</v>
      </c>
      <c r="B21">
        <v>300</v>
      </c>
      <c r="C21">
        <v>5</v>
      </c>
      <c r="D21" t="str">
        <f t="shared" si="0"/>
        <v>ccf2-300-05</v>
      </c>
      <c r="E21" t="s">
        <v>792</v>
      </c>
      <c r="F21">
        <v>900.74977125400005</v>
      </c>
      <c r="G21">
        <v>901.00775092802303</v>
      </c>
      <c r="H21">
        <v>41.365504000000001</v>
      </c>
    </row>
    <row r="22" spans="1:8" x14ac:dyDescent="0.2">
      <c r="A22" t="s">
        <v>797</v>
      </c>
      <c r="B22">
        <v>300</v>
      </c>
      <c r="C22">
        <v>5</v>
      </c>
      <c r="D22" t="str">
        <f t="shared" si="0"/>
        <v>ccf3-300-05</v>
      </c>
      <c r="E22" t="s">
        <v>792</v>
      </c>
      <c r="F22">
        <v>900.54074981999997</v>
      </c>
      <c r="G22">
        <v>901.00685970301799</v>
      </c>
      <c r="H22">
        <v>12.47232</v>
      </c>
    </row>
    <row r="23" spans="1:8" x14ac:dyDescent="0.2">
      <c r="A23" t="s">
        <v>798</v>
      </c>
      <c r="B23">
        <v>300</v>
      </c>
      <c r="C23">
        <v>5</v>
      </c>
      <c r="D23" t="str">
        <f t="shared" si="0"/>
        <v>ccf4-300-05</v>
      </c>
      <c r="E23" t="s">
        <v>792</v>
      </c>
      <c r="F23">
        <v>900.769289007</v>
      </c>
      <c r="G23">
        <v>901.00699059898</v>
      </c>
      <c r="H23">
        <v>15.736832</v>
      </c>
    </row>
    <row r="24" spans="1:8" x14ac:dyDescent="0.2">
      <c r="A24" t="s">
        <v>799</v>
      </c>
      <c r="B24">
        <v>300</v>
      </c>
      <c r="C24">
        <v>5</v>
      </c>
      <c r="D24" t="str">
        <f t="shared" si="0"/>
        <v>ccf5-300-05</v>
      </c>
      <c r="E24" t="s">
        <v>792</v>
      </c>
      <c r="F24">
        <v>900.78168913699994</v>
      </c>
      <c r="G24">
        <v>901.00914854501002</v>
      </c>
      <c r="H24">
        <v>18.325503999999999</v>
      </c>
    </row>
    <row r="25" spans="1:8" x14ac:dyDescent="0.2">
      <c r="A25" t="s">
        <v>800</v>
      </c>
      <c r="B25">
        <v>300</v>
      </c>
      <c r="C25">
        <v>5</v>
      </c>
      <c r="D25" t="str">
        <f t="shared" si="0"/>
        <v>ccf6-300-05</v>
      </c>
      <c r="E25" t="s">
        <v>792</v>
      </c>
      <c r="F25">
        <v>900.76334058700002</v>
      </c>
      <c r="G25">
        <v>901.00680631099306</v>
      </c>
      <c r="H25">
        <v>20.631551999999999</v>
      </c>
    </row>
    <row r="26" spans="1:8" x14ac:dyDescent="0.2">
      <c r="A26" t="s">
        <v>801</v>
      </c>
      <c r="B26">
        <v>300</v>
      </c>
      <c r="C26">
        <v>5</v>
      </c>
      <c r="D26" t="str">
        <f t="shared" si="0"/>
        <v>ccf7-300-05</v>
      </c>
      <c r="E26" t="s">
        <v>792</v>
      </c>
      <c r="F26">
        <v>900.70047884600001</v>
      </c>
      <c r="G26">
        <v>901.00888611702203</v>
      </c>
      <c r="H26">
        <v>23.670784000000001</v>
      </c>
    </row>
    <row r="27" spans="1:8" x14ac:dyDescent="0.2">
      <c r="A27" t="s">
        <v>802</v>
      </c>
      <c r="B27">
        <v>300</v>
      </c>
      <c r="C27">
        <v>5</v>
      </c>
      <c r="D27" t="str">
        <f t="shared" si="0"/>
        <v>ccf8-300-05</v>
      </c>
      <c r="E27" t="s">
        <v>792</v>
      </c>
      <c r="F27">
        <v>900.74569722800004</v>
      </c>
      <c r="G27">
        <v>901.01025988798904</v>
      </c>
      <c r="H27">
        <v>26.271744000000002</v>
      </c>
    </row>
    <row r="28" spans="1:8" x14ac:dyDescent="0.2">
      <c r="A28" t="s">
        <v>803</v>
      </c>
      <c r="B28">
        <v>300</v>
      </c>
      <c r="C28">
        <v>5</v>
      </c>
      <c r="D28" t="str">
        <f t="shared" si="0"/>
        <v>ccf9-300-05</v>
      </c>
      <c r="E28" t="s">
        <v>792</v>
      </c>
      <c r="F28">
        <v>900.75200207800003</v>
      </c>
      <c r="G28">
        <v>901.018639065005</v>
      </c>
      <c r="H28">
        <v>128.67583999999999</v>
      </c>
    </row>
    <row r="29" spans="1:8" x14ac:dyDescent="0.2">
      <c r="A29" t="s">
        <v>795</v>
      </c>
      <c r="B29">
        <v>400</v>
      </c>
      <c r="C29">
        <v>5</v>
      </c>
      <c r="D29" t="str">
        <f t="shared" si="0"/>
        <v>ccf1-400-05</v>
      </c>
      <c r="E29" t="s">
        <v>792</v>
      </c>
      <c r="F29">
        <v>900.83711838099998</v>
      </c>
      <c r="G29">
        <v>901.13723869799196</v>
      </c>
      <c r="H29">
        <v>2492.7846399999999</v>
      </c>
    </row>
    <row r="30" spans="1:8" x14ac:dyDescent="0.2">
      <c r="A30" t="s">
        <v>796</v>
      </c>
      <c r="B30">
        <v>400</v>
      </c>
      <c r="C30">
        <v>5</v>
      </c>
      <c r="D30" t="str">
        <f t="shared" si="0"/>
        <v>ccf2-400-05</v>
      </c>
      <c r="E30" t="s">
        <v>792</v>
      </c>
      <c r="F30">
        <v>900.76873198600003</v>
      </c>
      <c r="G30">
        <v>901.03297452197796</v>
      </c>
      <c r="H30">
        <v>478.36364800000001</v>
      </c>
    </row>
    <row r="31" spans="1:8" x14ac:dyDescent="0.2">
      <c r="A31" t="s">
        <v>797</v>
      </c>
      <c r="B31">
        <v>400</v>
      </c>
      <c r="C31">
        <v>5</v>
      </c>
      <c r="D31" t="str">
        <f t="shared" si="0"/>
        <v>ccf3-400-05</v>
      </c>
      <c r="E31" t="s">
        <v>792</v>
      </c>
      <c r="F31">
        <v>900.73436756000001</v>
      </c>
      <c r="G31">
        <v>901.11749892801095</v>
      </c>
      <c r="H31">
        <v>1893.597184</v>
      </c>
    </row>
    <row r="32" spans="1:8" x14ac:dyDescent="0.2">
      <c r="A32" t="s">
        <v>798</v>
      </c>
      <c r="B32">
        <v>400</v>
      </c>
      <c r="C32">
        <v>5</v>
      </c>
      <c r="D32" t="str">
        <f t="shared" si="0"/>
        <v>ccf4-400-05</v>
      </c>
      <c r="E32" t="s">
        <v>792</v>
      </c>
      <c r="F32">
        <v>900.757429462</v>
      </c>
      <c r="G32">
        <v>901.10542259700003</v>
      </c>
      <c r="H32">
        <v>1829.1507200000001</v>
      </c>
    </row>
    <row r="33" spans="1:8" x14ac:dyDescent="0.2">
      <c r="A33" t="s">
        <v>799</v>
      </c>
      <c r="B33">
        <v>400</v>
      </c>
      <c r="C33">
        <v>5</v>
      </c>
      <c r="D33" t="str">
        <f t="shared" si="0"/>
        <v>ccf5-400-05</v>
      </c>
      <c r="E33" t="s">
        <v>792</v>
      </c>
      <c r="F33">
        <v>900.79090684400001</v>
      </c>
      <c r="G33">
        <v>901.12389025397704</v>
      </c>
      <c r="H33">
        <v>2269.2126720000001</v>
      </c>
    </row>
    <row r="34" spans="1:8" x14ac:dyDescent="0.2">
      <c r="A34" t="s">
        <v>800</v>
      </c>
      <c r="B34">
        <v>400</v>
      </c>
      <c r="C34">
        <v>5</v>
      </c>
      <c r="D34" t="str">
        <f t="shared" si="0"/>
        <v>ccf6-400-05</v>
      </c>
      <c r="E34" t="s">
        <v>792</v>
      </c>
      <c r="F34">
        <v>900.78473819199996</v>
      </c>
      <c r="G34">
        <v>901.10858766801505</v>
      </c>
      <c r="H34">
        <v>1834.4427519999999</v>
      </c>
    </row>
    <row r="35" spans="1:8" x14ac:dyDescent="0.2">
      <c r="A35" t="s">
        <v>801</v>
      </c>
      <c r="B35">
        <v>400</v>
      </c>
      <c r="C35">
        <v>5</v>
      </c>
      <c r="D35" t="str">
        <f t="shared" si="0"/>
        <v>ccf7-400-05</v>
      </c>
      <c r="E35" t="s">
        <v>792</v>
      </c>
      <c r="F35">
        <v>900.77610190500002</v>
      </c>
      <c r="G35">
        <v>901.10124305001204</v>
      </c>
      <c r="H35">
        <v>1702.3754240000001</v>
      </c>
    </row>
    <row r="36" spans="1:8" x14ac:dyDescent="0.2">
      <c r="A36" t="s">
        <v>802</v>
      </c>
      <c r="B36">
        <v>400</v>
      </c>
      <c r="C36">
        <v>5</v>
      </c>
      <c r="D36" t="str">
        <f t="shared" si="0"/>
        <v>ccf8-400-05</v>
      </c>
      <c r="E36" t="s">
        <v>792</v>
      </c>
      <c r="F36">
        <v>900.75868876699997</v>
      </c>
      <c r="G36">
        <v>901.106612838979</v>
      </c>
      <c r="H36">
        <v>1604.8660480000001</v>
      </c>
    </row>
    <row r="37" spans="1:8" x14ac:dyDescent="0.2">
      <c r="A37" t="s">
        <v>803</v>
      </c>
      <c r="B37">
        <v>400</v>
      </c>
      <c r="C37">
        <v>5</v>
      </c>
      <c r="D37" t="str">
        <f t="shared" si="0"/>
        <v>ccf9-400-05</v>
      </c>
      <c r="E37" t="s">
        <v>792</v>
      </c>
      <c r="F37">
        <v>900.98376791999999</v>
      </c>
      <c r="G37">
        <v>901.30262461100904</v>
      </c>
      <c r="H37">
        <v>5507.7928959999999</v>
      </c>
    </row>
    <row r="38" spans="1:8" x14ac:dyDescent="0.2">
      <c r="A38" t="s">
        <v>795</v>
      </c>
      <c r="B38">
        <v>500</v>
      </c>
      <c r="C38">
        <v>5</v>
      </c>
      <c r="D38" t="str">
        <f t="shared" si="0"/>
        <v>ccf1-500-05</v>
      </c>
      <c r="E38" t="s">
        <v>792</v>
      </c>
      <c r="F38">
        <v>900.80650474699996</v>
      </c>
      <c r="G38">
        <v>901.04662317401301</v>
      </c>
      <c r="H38">
        <v>441.64710400000001</v>
      </c>
    </row>
    <row r="39" spans="1:8" x14ac:dyDescent="0.2">
      <c r="A39" t="s">
        <v>796</v>
      </c>
      <c r="B39">
        <v>500</v>
      </c>
      <c r="C39">
        <v>5</v>
      </c>
      <c r="D39" t="str">
        <f t="shared" si="0"/>
        <v>ccf2-500-05</v>
      </c>
      <c r="E39" t="s">
        <v>792</v>
      </c>
      <c r="F39">
        <v>900.62386793799999</v>
      </c>
      <c r="G39">
        <v>901.15752807501099</v>
      </c>
      <c r="H39">
        <v>2562.7484159999999</v>
      </c>
    </row>
    <row r="40" spans="1:8" x14ac:dyDescent="0.2">
      <c r="A40" t="s">
        <v>797</v>
      </c>
      <c r="B40">
        <v>500</v>
      </c>
      <c r="C40">
        <v>5</v>
      </c>
      <c r="D40" t="str">
        <f t="shared" si="0"/>
        <v>ccf3-500-05</v>
      </c>
      <c r="E40" t="s">
        <v>792</v>
      </c>
      <c r="F40">
        <v>900.84085813299998</v>
      </c>
      <c r="G40">
        <v>901.17235374302197</v>
      </c>
      <c r="H40">
        <v>2767.2371199999998</v>
      </c>
    </row>
    <row r="41" spans="1:8" x14ac:dyDescent="0.2">
      <c r="A41" t="s">
        <v>798</v>
      </c>
      <c r="B41">
        <v>500</v>
      </c>
      <c r="C41">
        <v>5</v>
      </c>
      <c r="D41" t="str">
        <f t="shared" si="0"/>
        <v>ccf4-500-05</v>
      </c>
      <c r="E41" t="s">
        <v>792</v>
      </c>
      <c r="F41">
        <v>901.01944450999997</v>
      </c>
      <c r="G41">
        <v>901.34023501200102</v>
      </c>
      <c r="H41">
        <v>6738.0674559999998</v>
      </c>
    </row>
    <row r="42" spans="1:8" x14ac:dyDescent="0.2">
      <c r="A42" t="s">
        <v>799</v>
      </c>
      <c r="B42">
        <v>500</v>
      </c>
      <c r="C42">
        <v>5</v>
      </c>
      <c r="D42" t="str">
        <f t="shared" si="0"/>
        <v>ccf5-500-05</v>
      </c>
      <c r="E42" t="s">
        <v>792</v>
      </c>
      <c r="F42">
        <v>900.81091344000004</v>
      </c>
      <c r="G42">
        <v>901.080380280996</v>
      </c>
      <c r="H42">
        <v>1058.4227840000001</v>
      </c>
    </row>
    <row r="43" spans="1:8" x14ac:dyDescent="0.2">
      <c r="A43" t="s">
        <v>800</v>
      </c>
      <c r="B43">
        <v>500</v>
      </c>
      <c r="C43">
        <v>5</v>
      </c>
      <c r="D43" t="str">
        <f t="shared" si="0"/>
        <v>ccf6-500-05</v>
      </c>
      <c r="E43" t="s">
        <v>792</v>
      </c>
      <c r="F43">
        <v>900.855011666</v>
      </c>
      <c r="G43">
        <v>901.21987168601402</v>
      </c>
      <c r="H43">
        <v>4087.7588479999999</v>
      </c>
    </row>
    <row r="44" spans="1:8" x14ac:dyDescent="0.2">
      <c r="A44" t="s">
        <v>801</v>
      </c>
      <c r="B44">
        <v>500</v>
      </c>
      <c r="C44">
        <v>5</v>
      </c>
      <c r="D44" t="str">
        <f t="shared" si="0"/>
        <v>ccf7-500-05</v>
      </c>
      <c r="E44" t="s">
        <v>792</v>
      </c>
      <c r="F44">
        <v>900.95517601200004</v>
      </c>
      <c r="G44">
        <v>901.27099497299002</v>
      </c>
      <c r="H44">
        <v>4594.921472</v>
      </c>
    </row>
    <row r="45" spans="1:8" x14ac:dyDescent="0.2">
      <c r="A45" t="s">
        <v>802</v>
      </c>
      <c r="B45">
        <v>500</v>
      </c>
      <c r="C45">
        <v>5</v>
      </c>
      <c r="D45" t="str">
        <f t="shared" si="0"/>
        <v>ccf8-500-05</v>
      </c>
      <c r="E45" t="s">
        <v>792</v>
      </c>
      <c r="F45">
        <v>900.91927556500002</v>
      </c>
      <c r="G45">
        <v>901.26723550699501</v>
      </c>
      <c r="H45">
        <v>4396.2122239999999</v>
      </c>
    </row>
    <row r="46" spans="1:8" x14ac:dyDescent="0.2">
      <c r="A46" t="s">
        <v>803</v>
      </c>
      <c r="B46">
        <v>500</v>
      </c>
      <c r="C46">
        <v>5</v>
      </c>
      <c r="D46" t="str">
        <f t="shared" si="0"/>
        <v>ccf9-500-05</v>
      </c>
      <c r="E46" t="s">
        <v>792</v>
      </c>
      <c r="F46">
        <v>900.79674105100003</v>
      </c>
      <c r="G46">
        <v>901.07100762601397</v>
      </c>
      <c r="H46">
        <v>801.652736</v>
      </c>
    </row>
    <row r="47" spans="1:8" x14ac:dyDescent="0.2">
      <c r="A47" t="s">
        <v>795</v>
      </c>
      <c r="B47">
        <v>600</v>
      </c>
      <c r="C47">
        <v>5</v>
      </c>
      <c r="D47" t="str">
        <f t="shared" si="0"/>
        <v>ccf1-600-05</v>
      </c>
      <c r="E47" t="s">
        <v>792</v>
      </c>
      <c r="F47">
        <v>900.70903408499998</v>
      </c>
      <c r="G47">
        <v>901.27679914599798</v>
      </c>
      <c r="H47">
        <v>5082.2840319999996</v>
      </c>
    </row>
    <row r="48" spans="1:8" x14ac:dyDescent="0.2">
      <c r="A48" t="s">
        <v>796</v>
      </c>
      <c r="B48">
        <v>600</v>
      </c>
      <c r="C48">
        <v>5</v>
      </c>
      <c r="D48" t="str">
        <f t="shared" si="0"/>
        <v>ccf2-600-05</v>
      </c>
      <c r="E48" t="s">
        <v>792</v>
      </c>
      <c r="F48">
        <v>900.88492541899996</v>
      </c>
      <c r="G48">
        <v>901.24900168500596</v>
      </c>
      <c r="H48">
        <v>4345.7699839999996</v>
      </c>
    </row>
    <row r="49" spans="1:8" x14ac:dyDescent="0.2">
      <c r="A49" t="s">
        <v>797</v>
      </c>
      <c r="B49">
        <v>600</v>
      </c>
      <c r="C49">
        <v>5</v>
      </c>
      <c r="D49" t="str">
        <f t="shared" si="0"/>
        <v>ccf3-600-05</v>
      </c>
      <c r="E49" t="s">
        <v>792</v>
      </c>
      <c r="F49">
        <v>900.84600819000002</v>
      </c>
      <c r="G49">
        <v>901.21014388798994</v>
      </c>
      <c r="H49">
        <v>4045.963264</v>
      </c>
    </row>
    <row r="50" spans="1:8" x14ac:dyDescent="0.2">
      <c r="A50" t="s">
        <v>798</v>
      </c>
      <c r="B50">
        <v>600</v>
      </c>
      <c r="C50">
        <v>5</v>
      </c>
      <c r="D50" t="str">
        <f t="shared" si="0"/>
        <v>ccf4-600-05</v>
      </c>
      <c r="E50" t="s">
        <v>792</v>
      </c>
      <c r="F50">
        <v>900.834447125</v>
      </c>
      <c r="G50">
        <v>901.14882309900702</v>
      </c>
      <c r="H50">
        <v>2535.5960319999999</v>
      </c>
    </row>
    <row r="51" spans="1:8" x14ac:dyDescent="0.2">
      <c r="A51" t="s">
        <v>799</v>
      </c>
      <c r="B51">
        <v>600</v>
      </c>
      <c r="C51">
        <v>5</v>
      </c>
      <c r="D51" t="str">
        <f t="shared" si="0"/>
        <v>ccf5-600-05</v>
      </c>
      <c r="E51" t="s">
        <v>792</v>
      </c>
      <c r="F51">
        <v>900.805864681</v>
      </c>
      <c r="G51">
        <v>901.18484142000602</v>
      </c>
      <c r="H51">
        <v>3009.0649600000002</v>
      </c>
    </row>
    <row r="52" spans="1:8" x14ac:dyDescent="0.2">
      <c r="A52" t="s">
        <v>800</v>
      </c>
      <c r="B52">
        <v>600</v>
      </c>
      <c r="C52">
        <v>5</v>
      </c>
      <c r="D52" t="str">
        <f t="shared" si="0"/>
        <v>ccf6-600-05</v>
      </c>
      <c r="E52" t="s">
        <v>792</v>
      </c>
      <c r="F52">
        <v>900.94947806300002</v>
      </c>
      <c r="G52">
        <v>901.28560163298903</v>
      </c>
      <c r="H52">
        <v>5466.2758400000002</v>
      </c>
    </row>
    <row r="53" spans="1:8" x14ac:dyDescent="0.2">
      <c r="A53" t="s">
        <v>801</v>
      </c>
      <c r="B53">
        <v>600</v>
      </c>
      <c r="C53">
        <v>5</v>
      </c>
      <c r="D53" t="str">
        <f t="shared" si="0"/>
        <v>ccf7-600-05</v>
      </c>
      <c r="E53" t="s">
        <v>792</v>
      </c>
      <c r="F53">
        <v>900.94304416199998</v>
      </c>
      <c r="G53">
        <v>901.30463449601598</v>
      </c>
      <c r="H53">
        <v>5503.1070719999998</v>
      </c>
    </row>
    <row r="54" spans="1:8" x14ac:dyDescent="0.2">
      <c r="A54" t="s">
        <v>802</v>
      </c>
      <c r="B54">
        <v>600</v>
      </c>
      <c r="C54">
        <v>5</v>
      </c>
      <c r="D54" t="str">
        <f t="shared" si="0"/>
        <v>ccf8-600-05</v>
      </c>
      <c r="E54" t="s">
        <v>792</v>
      </c>
      <c r="F54">
        <v>900.88539872900003</v>
      </c>
      <c r="G54">
        <v>901.23184249398696</v>
      </c>
      <c r="H54">
        <v>4496.9205760000004</v>
      </c>
    </row>
    <row r="55" spans="1:8" x14ac:dyDescent="0.2">
      <c r="A55" t="s">
        <v>803</v>
      </c>
      <c r="B55">
        <v>600</v>
      </c>
      <c r="C55">
        <v>5</v>
      </c>
      <c r="D55" t="str">
        <f t="shared" si="0"/>
        <v>ccf9-600-05</v>
      </c>
      <c r="E55" t="s">
        <v>792</v>
      </c>
      <c r="F55">
        <v>900.76256523500001</v>
      </c>
      <c r="G55">
        <v>901.01240763498902</v>
      </c>
      <c r="H55">
        <v>94.613504000000006</v>
      </c>
    </row>
    <row r="56" spans="1:8" x14ac:dyDescent="0.2">
      <c r="A56" t="s">
        <v>795</v>
      </c>
      <c r="B56">
        <v>700</v>
      </c>
      <c r="C56">
        <v>5</v>
      </c>
      <c r="D56" t="str">
        <f t="shared" si="0"/>
        <v>ccf1-700-05</v>
      </c>
      <c r="E56" t="s">
        <v>792</v>
      </c>
      <c r="F56">
        <v>900.867815769</v>
      </c>
      <c r="G56">
        <v>901.16428663799798</v>
      </c>
      <c r="H56">
        <v>2291.8635519999998</v>
      </c>
    </row>
    <row r="57" spans="1:8" x14ac:dyDescent="0.2">
      <c r="A57" t="s">
        <v>796</v>
      </c>
      <c r="B57">
        <v>700</v>
      </c>
      <c r="C57">
        <v>5</v>
      </c>
      <c r="D57" t="str">
        <f t="shared" si="0"/>
        <v>ccf2-700-05</v>
      </c>
      <c r="E57" t="s">
        <v>792</v>
      </c>
      <c r="F57">
        <v>900.84368534299995</v>
      </c>
      <c r="G57">
        <v>901.13030800098204</v>
      </c>
      <c r="H57">
        <v>2261.2664319999999</v>
      </c>
    </row>
    <row r="58" spans="1:8" x14ac:dyDescent="0.2">
      <c r="A58" t="s">
        <v>797</v>
      </c>
      <c r="B58">
        <v>700</v>
      </c>
      <c r="C58">
        <v>5</v>
      </c>
      <c r="D58" t="str">
        <f t="shared" si="0"/>
        <v>ccf3-700-05</v>
      </c>
      <c r="E58" t="s">
        <v>792</v>
      </c>
      <c r="F58">
        <v>900.83690600099999</v>
      </c>
      <c r="G58">
        <v>901.10381478100305</v>
      </c>
      <c r="H58">
        <v>1893.9166720000001</v>
      </c>
    </row>
    <row r="59" spans="1:8" x14ac:dyDescent="0.2">
      <c r="A59" t="s">
        <v>798</v>
      </c>
      <c r="B59">
        <v>700</v>
      </c>
      <c r="C59">
        <v>5</v>
      </c>
      <c r="D59" t="str">
        <f t="shared" si="0"/>
        <v>ccf4-700-05</v>
      </c>
      <c r="E59" t="s">
        <v>792</v>
      </c>
      <c r="F59">
        <v>900.825601216</v>
      </c>
      <c r="G59">
        <v>901.11006128898498</v>
      </c>
      <c r="H59">
        <v>1930.391552</v>
      </c>
    </row>
    <row r="60" spans="1:8" x14ac:dyDescent="0.2">
      <c r="A60" t="s">
        <v>799</v>
      </c>
      <c r="B60">
        <v>700</v>
      </c>
      <c r="C60">
        <v>5</v>
      </c>
      <c r="D60" t="str">
        <f t="shared" si="0"/>
        <v>ccf5-700-05</v>
      </c>
      <c r="E60" t="s">
        <v>792</v>
      </c>
      <c r="F60">
        <v>900.87022650400002</v>
      </c>
      <c r="G60">
        <v>901.14746014401305</v>
      </c>
      <c r="H60">
        <v>2403.5532800000001</v>
      </c>
    </row>
    <row r="61" spans="1:8" x14ac:dyDescent="0.2">
      <c r="A61" t="s">
        <v>800</v>
      </c>
      <c r="B61">
        <v>700</v>
      </c>
      <c r="C61">
        <v>5</v>
      </c>
      <c r="D61" t="str">
        <f t="shared" si="0"/>
        <v>ccf6-700-05</v>
      </c>
      <c r="E61" t="s">
        <v>792</v>
      </c>
      <c r="F61">
        <v>900.84096275000002</v>
      </c>
      <c r="G61">
        <v>901.13661000499201</v>
      </c>
      <c r="H61">
        <v>2372.6243840000002</v>
      </c>
    </row>
    <row r="62" spans="1:8" x14ac:dyDescent="0.2">
      <c r="A62" t="s">
        <v>801</v>
      </c>
      <c r="B62">
        <v>700</v>
      </c>
      <c r="C62">
        <v>5</v>
      </c>
      <c r="D62" t="str">
        <f t="shared" si="0"/>
        <v>ccf7-700-05</v>
      </c>
      <c r="E62" t="s">
        <v>792</v>
      </c>
      <c r="F62">
        <v>900.865200792</v>
      </c>
      <c r="G62">
        <v>901.16151009799796</v>
      </c>
      <c r="H62">
        <v>2778.7796480000002</v>
      </c>
    </row>
    <row r="63" spans="1:8" x14ac:dyDescent="0.2">
      <c r="A63" t="s">
        <v>802</v>
      </c>
      <c r="B63">
        <v>700</v>
      </c>
      <c r="C63">
        <v>5</v>
      </c>
      <c r="D63" t="str">
        <f t="shared" si="0"/>
        <v>ccf8-700-05</v>
      </c>
      <c r="E63" t="s">
        <v>792</v>
      </c>
      <c r="F63">
        <v>900.870136065</v>
      </c>
      <c r="G63">
        <v>901.17176905900101</v>
      </c>
      <c r="H63">
        <v>2747.5599360000001</v>
      </c>
    </row>
    <row r="64" spans="1:8" x14ac:dyDescent="0.2">
      <c r="A64" t="s">
        <v>803</v>
      </c>
      <c r="B64">
        <v>700</v>
      </c>
      <c r="C64">
        <v>5</v>
      </c>
      <c r="D64" t="str">
        <f t="shared" si="0"/>
        <v>ccf9-700-05</v>
      </c>
      <c r="E64" t="s">
        <v>792</v>
      </c>
      <c r="F64">
        <v>900.82957704499995</v>
      </c>
      <c r="G64">
        <v>901.18972924101399</v>
      </c>
      <c r="H64">
        <v>2951.5571199999999</v>
      </c>
    </row>
    <row r="65" spans="1:8" x14ac:dyDescent="0.2">
      <c r="A65" t="s">
        <v>795</v>
      </c>
      <c r="B65">
        <v>800</v>
      </c>
      <c r="C65">
        <v>5</v>
      </c>
      <c r="D65" t="str">
        <f t="shared" si="0"/>
        <v>ccf1-800-05</v>
      </c>
      <c r="E65" t="s">
        <v>792</v>
      </c>
      <c r="F65">
        <v>900.75879034000002</v>
      </c>
      <c r="G65">
        <v>901.12695956899495</v>
      </c>
      <c r="H65">
        <v>2191.085568</v>
      </c>
    </row>
    <row r="66" spans="1:8" x14ac:dyDescent="0.2">
      <c r="A66" t="s">
        <v>796</v>
      </c>
      <c r="B66">
        <v>800</v>
      </c>
      <c r="C66">
        <v>5</v>
      </c>
      <c r="D66" t="str">
        <f t="shared" si="0"/>
        <v>ccf2-800-05</v>
      </c>
      <c r="E66" t="s">
        <v>792</v>
      </c>
      <c r="F66">
        <v>900.80690316799996</v>
      </c>
      <c r="G66">
        <v>901.12323934500398</v>
      </c>
      <c r="H66">
        <v>2193.4981120000002</v>
      </c>
    </row>
    <row r="67" spans="1:8" x14ac:dyDescent="0.2">
      <c r="A67" t="s">
        <v>797</v>
      </c>
      <c r="B67">
        <v>800</v>
      </c>
      <c r="C67">
        <v>5</v>
      </c>
      <c r="D67" t="str">
        <f t="shared" ref="D67:D91" si="1">A67&amp;B67&amp;"-0"&amp;C67</f>
        <v>ccf3-800-05</v>
      </c>
      <c r="E67" t="s">
        <v>792</v>
      </c>
      <c r="F67">
        <v>900.817414106</v>
      </c>
      <c r="G67">
        <v>901.11348187099702</v>
      </c>
      <c r="H67">
        <v>1860.3786239999999</v>
      </c>
    </row>
    <row r="68" spans="1:8" x14ac:dyDescent="0.2">
      <c r="A68" t="s">
        <v>798</v>
      </c>
      <c r="B68">
        <v>800</v>
      </c>
      <c r="C68">
        <v>5</v>
      </c>
      <c r="D68" t="str">
        <f t="shared" si="1"/>
        <v>ccf4-800-05</v>
      </c>
      <c r="E68" t="s">
        <v>792</v>
      </c>
      <c r="F68">
        <v>900.76345761300001</v>
      </c>
      <c r="G68">
        <v>901.11170601798199</v>
      </c>
      <c r="H68">
        <v>1997.443072</v>
      </c>
    </row>
    <row r="69" spans="1:8" x14ac:dyDescent="0.2">
      <c r="A69" t="s">
        <v>799</v>
      </c>
      <c r="B69">
        <v>800</v>
      </c>
      <c r="C69">
        <v>5</v>
      </c>
      <c r="D69" t="str">
        <f t="shared" si="1"/>
        <v>ccf5-800-05</v>
      </c>
      <c r="E69" t="s">
        <v>792</v>
      </c>
      <c r="F69">
        <v>900.81797974000006</v>
      </c>
      <c r="G69">
        <v>901.10589264499094</v>
      </c>
      <c r="H69">
        <v>1865.527296</v>
      </c>
    </row>
    <row r="70" spans="1:8" x14ac:dyDescent="0.2">
      <c r="A70" t="s">
        <v>800</v>
      </c>
      <c r="B70">
        <v>800</v>
      </c>
      <c r="C70">
        <v>5</v>
      </c>
      <c r="D70" t="str">
        <f t="shared" si="1"/>
        <v>ccf6-800-05</v>
      </c>
      <c r="E70" t="s">
        <v>792</v>
      </c>
      <c r="F70">
        <v>900.80771134099996</v>
      </c>
      <c r="G70">
        <v>901.13177927699803</v>
      </c>
      <c r="H70">
        <v>2103.5376639999999</v>
      </c>
    </row>
    <row r="71" spans="1:8" x14ac:dyDescent="0.2">
      <c r="A71" t="s">
        <v>801</v>
      </c>
      <c r="B71">
        <v>800</v>
      </c>
      <c r="C71">
        <v>5</v>
      </c>
      <c r="D71" t="str">
        <f t="shared" si="1"/>
        <v>ccf7-800-05</v>
      </c>
      <c r="E71" t="s">
        <v>792</v>
      </c>
      <c r="F71">
        <v>900.82855700599998</v>
      </c>
      <c r="G71">
        <v>901.13441378099299</v>
      </c>
      <c r="H71">
        <v>2106.4704000000002</v>
      </c>
    </row>
    <row r="72" spans="1:8" x14ac:dyDescent="0.2">
      <c r="A72" t="s">
        <v>802</v>
      </c>
      <c r="B72">
        <v>800</v>
      </c>
      <c r="C72">
        <v>5</v>
      </c>
      <c r="D72" t="str">
        <f t="shared" si="1"/>
        <v>ccf8-800-05</v>
      </c>
      <c r="E72" t="s">
        <v>792</v>
      </c>
      <c r="F72">
        <v>900.83635305600001</v>
      </c>
      <c r="G72">
        <v>901.13117441098404</v>
      </c>
      <c r="H72">
        <v>2109.1246080000001</v>
      </c>
    </row>
    <row r="73" spans="1:8" x14ac:dyDescent="0.2">
      <c r="A73" t="s">
        <v>803</v>
      </c>
      <c r="B73">
        <v>800</v>
      </c>
      <c r="C73">
        <v>5</v>
      </c>
      <c r="D73" t="str">
        <f t="shared" si="1"/>
        <v>ccf9-800-05</v>
      </c>
      <c r="E73" t="s">
        <v>792</v>
      </c>
      <c r="F73">
        <v>900.90934356900004</v>
      </c>
      <c r="G73">
        <v>901.23988220700903</v>
      </c>
      <c r="H73">
        <v>4532.7974400000003</v>
      </c>
    </row>
    <row r="74" spans="1:8" x14ac:dyDescent="0.2">
      <c r="A74" t="s">
        <v>795</v>
      </c>
      <c r="B74">
        <v>900</v>
      </c>
      <c r="C74">
        <v>5</v>
      </c>
      <c r="D74" t="str">
        <f t="shared" si="1"/>
        <v>ccf1-900-05</v>
      </c>
      <c r="E74" t="s">
        <v>792</v>
      </c>
      <c r="F74">
        <v>900.80660298600003</v>
      </c>
      <c r="G74">
        <v>901.16642715700402</v>
      </c>
      <c r="H74">
        <v>3166.26944</v>
      </c>
    </row>
    <row r="75" spans="1:8" x14ac:dyDescent="0.2">
      <c r="A75" t="s">
        <v>796</v>
      </c>
      <c r="B75">
        <v>900</v>
      </c>
      <c r="C75">
        <v>5</v>
      </c>
      <c r="D75" t="str">
        <f t="shared" si="1"/>
        <v>ccf2-900-05</v>
      </c>
      <c r="E75" t="s">
        <v>792</v>
      </c>
      <c r="F75">
        <v>900.82142730500004</v>
      </c>
      <c r="G75">
        <v>901.12166636699101</v>
      </c>
      <c r="H75">
        <v>2093.1993600000001</v>
      </c>
    </row>
    <row r="76" spans="1:8" x14ac:dyDescent="0.2">
      <c r="A76" t="s">
        <v>797</v>
      </c>
      <c r="B76">
        <v>900</v>
      </c>
      <c r="C76">
        <v>5</v>
      </c>
      <c r="D76" t="str">
        <f t="shared" si="1"/>
        <v>ccf3-900-05</v>
      </c>
      <c r="E76" t="s">
        <v>792</v>
      </c>
      <c r="F76">
        <v>900.79100047300005</v>
      </c>
      <c r="G76">
        <v>901.11573240000803</v>
      </c>
      <c r="H76">
        <v>2096.1484799999998</v>
      </c>
    </row>
    <row r="77" spans="1:8" x14ac:dyDescent="0.2">
      <c r="A77" t="s">
        <v>798</v>
      </c>
      <c r="B77">
        <v>900</v>
      </c>
      <c r="C77">
        <v>5</v>
      </c>
      <c r="D77" t="str">
        <f t="shared" si="1"/>
        <v>ccf4-900-05</v>
      </c>
      <c r="E77" t="s">
        <v>792</v>
      </c>
      <c r="F77">
        <v>900.75853393700004</v>
      </c>
      <c r="G77">
        <v>901.06117352499803</v>
      </c>
      <c r="H77">
        <v>989.06521599999996</v>
      </c>
    </row>
    <row r="78" spans="1:8" x14ac:dyDescent="0.2">
      <c r="A78" t="s">
        <v>799</v>
      </c>
      <c r="B78">
        <v>900</v>
      </c>
      <c r="C78">
        <v>5</v>
      </c>
      <c r="D78" t="str">
        <f t="shared" si="1"/>
        <v>ccf5-900-05</v>
      </c>
      <c r="E78" t="s">
        <v>792</v>
      </c>
      <c r="F78">
        <v>900.76472361699996</v>
      </c>
      <c r="G78">
        <v>901.07242988998701</v>
      </c>
      <c r="H78">
        <v>1025.3967359999999</v>
      </c>
    </row>
    <row r="79" spans="1:8" x14ac:dyDescent="0.2">
      <c r="A79" t="s">
        <v>800</v>
      </c>
      <c r="B79">
        <v>900</v>
      </c>
      <c r="C79">
        <v>5</v>
      </c>
      <c r="D79" t="str">
        <f t="shared" si="1"/>
        <v>ccf6-900-05</v>
      </c>
      <c r="E79" t="s">
        <v>792</v>
      </c>
      <c r="F79">
        <v>900.77883002900001</v>
      </c>
      <c r="G79">
        <v>901.08313568501001</v>
      </c>
      <c r="H79">
        <v>1431.6134400000001</v>
      </c>
    </row>
    <row r="80" spans="1:8" x14ac:dyDescent="0.2">
      <c r="A80" t="s">
        <v>801</v>
      </c>
      <c r="B80">
        <v>900</v>
      </c>
      <c r="C80">
        <v>5</v>
      </c>
      <c r="D80" t="str">
        <f t="shared" si="1"/>
        <v>ccf7-900-05</v>
      </c>
      <c r="E80" t="s">
        <v>792</v>
      </c>
      <c r="F80">
        <v>900.77204425399998</v>
      </c>
      <c r="G80">
        <v>901.09680130300603</v>
      </c>
      <c r="H80">
        <v>1535.4265600000001</v>
      </c>
    </row>
    <row r="81" spans="1:8" x14ac:dyDescent="0.2">
      <c r="A81" t="s">
        <v>802</v>
      </c>
      <c r="B81">
        <v>900</v>
      </c>
      <c r="C81">
        <v>5</v>
      </c>
      <c r="D81" t="str">
        <f t="shared" si="1"/>
        <v>ccf8-900-05</v>
      </c>
      <c r="E81" t="s">
        <v>792</v>
      </c>
      <c r="F81">
        <v>900.79645935400004</v>
      </c>
      <c r="G81">
        <v>901.10432781500197</v>
      </c>
      <c r="H81">
        <v>1538.1790719999999</v>
      </c>
    </row>
    <row r="82" spans="1:8" x14ac:dyDescent="0.2">
      <c r="A82" t="s">
        <v>803</v>
      </c>
      <c r="B82">
        <v>900</v>
      </c>
      <c r="C82">
        <v>5</v>
      </c>
      <c r="D82" t="str">
        <f t="shared" si="1"/>
        <v>ccf9-900-05</v>
      </c>
      <c r="E82" t="s">
        <v>792</v>
      </c>
      <c r="F82">
        <v>900.81749189799996</v>
      </c>
      <c r="G82">
        <v>901.11593748300197</v>
      </c>
      <c r="H82">
        <v>1742.2909440000001</v>
      </c>
    </row>
    <row r="83" spans="1:8" x14ac:dyDescent="0.2">
      <c r="A83" t="s">
        <v>795</v>
      </c>
      <c r="B83">
        <v>1000</v>
      </c>
      <c r="C83">
        <v>5</v>
      </c>
      <c r="D83" t="str">
        <f t="shared" si="1"/>
        <v>ccf1-1000-05</v>
      </c>
      <c r="E83" t="s">
        <v>792</v>
      </c>
      <c r="F83">
        <v>900.74484856499998</v>
      </c>
      <c r="G83">
        <v>901.01259047602002</v>
      </c>
      <c r="H83">
        <v>73.23648</v>
      </c>
    </row>
    <row r="84" spans="1:8" x14ac:dyDescent="0.2">
      <c r="A84" t="s">
        <v>796</v>
      </c>
      <c r="B84">
        <v>1000</v>
      </c>
      <c r="C84">
        <v>5</v>
      </c>
      <c r="D84" t="str">
        <f t="shared" si="1"/>
        <v>ccf2-1000-05</v>
      </c>
      <c r="E84" t="s">
        <v>792</v>
      </c>
      <c r="F84">
        <v>901.05195798</v>
      </c>
      <c r="G84">
        <v>901.38654021499599</v>
      </c>
      <c r="H84">
        <v>7204.6878720000004</v>
      </c>
    </row>
    <row r="85" spans="1:8" x14ac:dyDescent="0.2">
      <c r="A85" t="s">
        <v>797</v>
      </c>
      <c r="B85">
        <v>1000</v>
      </c>
      <c r="C85">
        <v>5</v>
      </c>
      <c r="D85" t="str">
        <f t="shared" si="1"/>
        <v>ccf3-1000-05</v>
      </c>
      <c r="E85" t="s">
        <v>792</v>
      </c>
      <c r="F85">
        <v>901.05123140499995</v>
      </c>
      <c r="G85">
        <v>901.38408907697794</v>
      </c>
      <c r="H85">
        <v>7342.178304</v>
      </c>
    </row>
    <row r="86" spans="1:8" x14ac:dyDescent="0.2">
      <c r="A86" t="s">
        <v>798</v>
      </c>
      <c r="B86">
        <v>1000</v>
      </c>
      <c r="C86">
        <v>5</v>
      </c>
      <c r="D86" t="str">
        <f t="shared" si="1"/>
        <v>ccf4-1000-05</v>
      </c>
      <c r="E86" t="s">
        <v>792</v>
      </c>
      <c r="F86">
        <v>901.05960575999995</v>
      </c>
      <c r="G86">
        <v>901.39867497800105</v>
      </c>
      <c r="H86">
        <v>7849.6972800000003</v>
      </c>
    </row>
    <row r="87" spans="1:8" x14ac:dyDescent="0.2">
      <c r="A87" t="s">
        <v>799</v>
      </c>
      <c r="B87">
        <v>1000</v>
      </c>
      <c r="C87">
        <v>5</v>
      </c>
      <c r="D87" t="str">
        <f t="shared" si="1"/>
        <v>ccf5-1000-05</v>
      </c>
      <c r="E87" t="s">
        <v>792</v>
      </c>
      <c r="F87">
        <v>901.06978000000004</v>
      </c>
      <c r="G87">
        <v>901.41736936502195</v>
      </c>
      <c r="H87">
        <v>8054.1900800000003</v>
      </c>
    </row>
    <row r="88" spans="1:8" x14ac:dyDescent="0.2">
      <c r="A88" t="s">
        <v>800</v>
      </c>
      <c r="B88">
        <v>1000</v>
      </c>
      <c r="C88">
        <v>5</v>
      </c>
      <c r="D88" t="str">
        <f t="shared" si="1"/>
        <v>ccf6-1000-05</v>
      </c>
      <c r="E88" t="s">
        <v>792</v>
      </c>
      <c r="F88">
        <v>901.12103751200004</v>
      </c>
      <c r="G88">
        <v>901.45394531701402</v>
      </c>
      <c r="H88">
        <v>8830.1568000000007</v>
      </c>
    </row>
    <row r="89" spans="1:8" x14ac:dyDescent="0.2">
      <c r="A89" t="s">
        <v>801</v>
      </c>
      <c r="B89">
        <v>1000</v>
      </c>
      <c r="C89">
        <v>5</v>
      </c>
      <c r="D89" t="str">
        <f t="shared" si="1"/>
        <v>ccf7-1000-05</v>
      </c>
      <c r="E89" t="s">
        <v>792</v>
      </c>
      <c r="F89">
        <v>901.16072678099999</v>
      </c>
      <c r="G89">
        <v>901.51109323499202</v>
      </c>
      <c r="H89">
        <v>10211.606528</v>
      </c>
    </row>
    <row r="90" spans="1:8" x14ac:dyDescent="0.2">
      <c r="A90" t="s">
        <v>802</v>
      </c>
      <c r="B90">
        <v>1000</v>
      </c>
      <c r="C90">
        <v>5</v>
      </c>
      <c r="D90" t="str">
        <f t="shared" si="1"/>
        <v>ccf8-1000-05</v>
      </c>
      <c r="E90" t="s">
        <v>792</v>
      </c>
      <c r="F90">
        <v>901.089346503</v>
      </c>
      <c r="G90">
        <v>901.50234909300298</v>
      </c>
      <c r="H90">
        <v>9911.5171840000003</v>
      </c>
    </row>
    <row r="91" spans="1:8" x14ac:dyDescent="0.2">
      <c r="A91" t="s">
        <v>803</v>
      </c>
      <c r="B91">
        <v>1000</v>
      </c>
      <c r="C91">
        <v>5</v>
      </c>
      <c r="D91" t="str">
        <f t="shared" si="1"/>
        <v>ccf9-1000-05</v>
      </c>
      <c r="E91" t="s">
        <v>792</v>
      </c>
      <c r="F91">
        <v>900.85193613499996</v>
      </c>
      <c r="G91">
        <v>901.15540564502498</v>
      </c>
      <c r="H91">
        <v>2718.4005120000002</v>
      </c>
    </row>
  </sheetData>
  <sortState xmlns:xlrd2="http://schemas.microsoft.com/office/spreadsheetml/2017/richdata2" ref="A2:H91">
    <sortCondition ref="B2:B91"/>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72"/>
  <sheetViews>
    <sheetView topLeftCell="A22" workbookViewId="0">
      <selection activeCell="D12" sqref="A12:XFD12"/>
    </sheetView>
  </sheetViews>
  <sheetFormatPr baseColWidth="10" defaultColWidth="8.83203125" defaultRowHeight="15" x14ac:dyDescent="0.2"/>
  <cols>
    <col min="1" max="1" width="5.6640625" bestFit="1" customWidth="1"/>
    <col min="2" max="2" width="2.5" customWidth="1"/>
    <col min="3" max="3" width="26.83203125" customWidth="1"/>
    <col min="4" max="8" width="15.6640625" customWidth="1"/>
  </cols>
  <sheetData>
    <row r="1" spans="1:15" x14ac:dyDescent="0.2">
      <c r="D1" t="s">
        <v>784</v>
      </c>
      <c r="E1" t="s">
        <v>785</v>
      </c>
      <c r="F1" t="s">
        <v>786</v>
      </c>
      <c r="G1" t="s">
        <v>787</v>
      </c>
      <c r="H1" t="s">
        <v>788</v>
      </c>
      <c r="K1" t="s">
        <v>789</v>
      </c>
      <c r="L1" t="s">
        <v>790</v>
      </c>
    </row>
    <row r="2" spans="1:15" x14ac:dyDescent="0.2">
      <c r="A2">
        <v>100</v>
      </c>
      <c r="B2">
        <v>1</v>
      </c>
      <c r="D2" t="str">
        <f>A2&amp;"-0"&amp;B2</f>
        <v>100-01</v>
      </c>
      <c r="E2" t="s">
        <v>804</v>
      </c>
      <c r="F2">
        <v>0.71710586899999995</v>
      </c>
      <c r="G2">
        <v>0.72104286303510801</v>
      </c>
      <c r="H2">
        <v>4.0960000000000001</v>
      </c>
      <c r="K2">
        <v>490</v>
      </c>
      <c r="L2" s="1">
        <v>1.2908299999999999E-2</v>
      </c>
    </row>
    <row r="3" spans="1:15" x14ac:dyDescent="0.2">
      <c r="A3">
        <v>100</v>
      </c>
      <c r="B3">
        <v>2</v>
      </c>
      <c r="D3" t="str">
        <f t="shared" ref="D3:D66" si="0">A3&amp;"-0"&amp;B3</f>
        <v>100-02</v>
      </c>
      <c r="E3" t="s">
        <v>804</v>
      </c>
      <c r="F3">
        <v>0.77282153899999995</v>
      </c>
      <c r="G3">
        <v>0.77685253397794396</v>
      </c>
      <c r="H3">
        <v>4.4851200000000002</v>
      </c>
      <c r="K3">
        <v>1846</v>
      </c>
      <c r="L3" s="1">
        <v>4.4686499999999998E-13</v>
      </c>
      <c r="O3" s="1"/>
    </row>
    <row r="4" spans="1:15" x14ac:dyDescent="0.2">
      <c r="A4">
        <v>100</v>
      </c>
      <c r="B4">
        <v>3</v>
      </c>
      <c r="D4" t="str">
        <f t="shared" si="0"/>
        <v>100-03</v>
      </c>
      <c r="E4" t="s">
        <v>804</v>
      </c>
      <c r="F4">
        <v>0.69587020300000002</v>
      </c>
      <c r="G4">
        <v>0.69832128199050203</v>
      </c>
      <c r="H4">
        <v>4.0222720000000001</v>
      </c>
      <c r="K4">
        <v>83</v>
      </c>
      <c r="L4" s="1">
        <v>8.4678200000000006E-9</v>
      </c>
      <c r="O4" s="1"/>
    </row>
    <row r="5" spans="1:15" x14ac:dyDescent="0.2">
      <c r="A5">
        <v>100</v>
      </c>
      <c r="B5">
        <v>4</v>
      </c>
      <c r="D5" t="str">
        <f t="shared" si="0"/>
        <v>100-04</v>
      </c>
      <c r="E5" t="s">
        <v>804</v>
      </c>
      <c r="F5">
        <v>0.72679737099999997</v>
      </c>
      <c r="G5">
        <v>0.72898971202084795</v>
      </c>
      <c r="H5">
        <v>4.1451520000000004</v>
      </c>
      <c r="K5">
        <v>276</v>
      </c>
      <c r="L5" s="1">
        <v>2.6775600000000001E-7</v>
      </c>
      <c r="O5" s="1"/>
    </row>
    <row r="6" spans="1:15" x14ac:dyDescent="0.2">
      <c r="A6">
        <v>100</v>
      </c>
      <c r="B6">
        <v>5</v>
      </c>
      <c r="D6" t="str">
        <f t="shared" si="0"/>
        <v>100-05</v>
      </c>
      <c r="E6" t="s">
        <v>804</v>
      </c>
      <c r="F6">
        <v>0.69602752400000001</v>
      </c>
      <c r="G6">
        <v>0.702072107000276</v>
      </c>
      <c r="H6">
        <v>4.0427520000000001</v>
      </c>
      <c r="K6">
        <v>22</v>
      </c>
      <c r="L6" s="1">
        <v>1.6006200000000001E-6</v>
      </c>
      <c r="O6" s="1"/>
    </row>
    <row r="7" spans="1:15" x14ac:dyDescent="0.2">
      <c r="A7">
        <v>100</v>
      </c>
      <c r="B7">
        <v>6</v>
      </c>
      <c r="D7" t="str">
        <f t="shared" si="0"/>
        <v>100-06</v>
      </c>
      <c r="E7" t="s">
        <v>804</v>
      </c>
      <c r="F7">
        <v>0.72603528500000003</v>
      </c>
      <c r="G7">
        <v>0.72800144599750605</v>
      </c>
      <c r="H7">
        <v>4.1041920000000003</v>
      </c>
      <c r="K7">
        <v>255</v>
      </c>
      <c r="L7" s="1">
        <v>9.1679500000000004E-10</v>
      </c>
      <c r="O7" s="1"/>
    </row>
    <row r="8" spans="1:15" x14ac:dyDescent="0.2">
      <c r="A8">
        <v>100</v>
      </c>
      <c r="B8">
        <v>7</v>
      </c>
      <c r="D8" t="str">
        <f t="shared" si="0"/>
        <v>100-07</v>
      </c>
      <c r="E8" t="s">
        <v>804</v>
      </c>
      <c r="F8">
        <v>0.79731789200000003</v>
      </c>
      <c r="G8">
        <v>0.80213187501067296</v>
      </c>
      <c r="H8">
        <v>6.1276159999999997</v>
      </c>
      <c r="K8">
        <v>198</v>
      </c>
      <c r="L8" s="1">
        <v>4.6097999999999999E-4</v>
      </c>
      <c r="O8" s="1"/>
    </row>
    <row r="9" spans="1:15" x14ac:dyDescent="0.2">
      <c r="A9">
        <v>100</v>
      </c>
      <c r="B9">
        <v>8</v>
      </c>
      <c r="D9" t="str">
        <f t="shared" si="0"/>
        <v>100-08</v>
      </c>
      <c r="E9" t="s">
        <v>804</v>
      </c>
      <c r="F9">
        <v>2.0490610810000001</v>
      </c>
      <c r="G9">
        <v>2.0517553230165499</v>
      </c>
      <c r="H9">
        <v>9.1422720000000002</v>
      </c>
      <c r="K9">
        <v>2064</v>
      </c>
      <c r="L9" s="1">
        <v>6.5969500000000005E-13</v>
      </c>
      <c r="O9" s="1"/>
    </row>
    <row r="10" spans="1:15" x14ac:dyDescent="0.2">
      <c r="A10">
        <v>100</v>
      </c>
      <c r="B10">
        <v>9</v>
      </c>
      <c r="D10" t="str">
        <f t="shared" si="0"/>
        <v>100-09</v>
      </c>
      <c r="E10" t="s">
        <v>804</v>
      </c>
      <c r="F10">
        <v>1.100666763</v>
      </c>
      <c r="G10">
        <v>1.10542417899705</v>
      </c>
      <c r="H10">
        <v>5.2142080000000002</v>
      </c>
      <c r="K10">
        <v>3217</v>
      </c>
      <c r="L10" s="1">
        <v>9.3311999999999996E-3</v>
      </c>
      <c r="O10" s="1"/>
    </row>
    <row r="11" spans="1:15" x14ac:dyDescent="0.2">
      <c r="A11">
        <v>200</v>
      </c>
      <c r="B11">
        <v>1</v>
      </c>
      <c r="D11" t="str">
        <f t="shared" si="0"/>
        <v>200-01</v>
      </c>
      <c r="E11" t="s">
        <v>804</v>
      </c>
      <c r="F11">
        <v>43.019294616000003</v>
      </c>
      <c r="G11">
        <v>43.080467893974799</v>
      </c>
      <c r="H11">
        <v>10.944512</v>
      </c>
      <c r="K11">
        <v>663</v>
      </c>
      <c r="L11" s="1">
        <v>7.5665999999999997E-8</v>
      </c>
      <c r="O11" s="1"/>
    </row>
    <row r="12" spans="1:15" x14ac:dyDescent="0.2">
      <c r="A12">
        <v>200</v>
      </c>
      <c r="B12">
        <v>2</v>
      </c>
      <c r="D12" t="str">
        <f t="shared" si="0"/>
        <v>200-02</v>
      </c>
      <c r="E12" t="s">
        <v>804</v>
      </c>
      <c r="F12">
        <v>3.372955159</v>
      </c>
      <c r="G12">
        <v>3.3812520779902102</v>
      </c>
      <c r="H12">
        <v>10.846208000000001</v>
      </c>
    </row>
    <row r="13" spans="1:15" x14ac:dyDescent="0.2">
      <c r="A13">
        <v>200</v>
      </c>
      <c r="B13">
        <v>3</v>
      </c>
      <c r="D13" t="str">
        <f t="shared" si="0"/>
        <v>200-03</v>
      </c>
      <c r="E13" t="s">
        <v>804</v>
      </c>
      <c r="F13">
        <v>1.090108571</v>
      </c>
      <c r="G13">
        <v>1.1008414429961699</v>
      </c>
      <c r="H13">
        <v>7.528448</v>
      </c>
      <c r="K13">
        <v>36256</v>
      </c>
      <c r="L13" s="1">
        <v>5.4551099999999997E-11</v>
      </c>
      <c r="O13" s="1"/>
    </row>
    <row r="14" spans="1:15" x14ac:dyDescent="0.2">
      <c r="A14">
        <v>200</v>
      </c>
      <c r="B14">
        <v>4</v>
      </c>
      <c r="D14" t="str">
        <f t="shared" si="0"/>
        <v>200-04</v>
      </c>
      <c r="E14" t="s">
        <v>804</v>
      </c>
      <c r="F14">
        <v>5.9707260900000003</v>
      </c>
      <c r="G14">
        <v>5.9948818529955998</v>
      </c>
      <c r="H14">
        <v>16.273408</v>
      </c>
      <c r="K14">
        <v>40</v>
      </c>
      <c r="L14" s="1">
        <v>3.1908900000000001E-7</v>
      </c>
      <c r="O14" s="1"/>
    </row>
    <row r="15" spans="1:15" x14ac:dyDescent="0.2">
      <c r="A15">
        <v>200</v>
      </c>
      <c r="B15">
        <v>5</v>
      </c>
      <c r="D15" t="str">
        <f t="shared" si="0"/>
        <v>200-05</v>
      </c>
      <c r="E15" t="s">
        <v>804</v>
      </c>
      <c r="F15">
        <v>1.5522600259999999</v>
      </c>
      <c r="G15">
        <v>1.5590102089918201</v>
      </c>
      <c r="H15">
        <v>9.1709440000000004</v>
      </c>
      <c r="K15">
        <v>1267</v>
      </c>
      <c r="L15" s="1">
        <v>2.8172299999999999E-7</v>
      </c>
      <c r="O15" s="1"/>
    </row>
    <row r="16" spans="1:15" x14ac:dyDescent="0.2">
      <c r="A16">
        <v>200</v>
      </c>
      <c r="B16">
        <v>6</v>
      </c>
      <c r="D16" t="str">
        <f t="shared" si="0"/>
        <v>200-06</v>
      </c>
      <c r="E16" t="s">
        <v>804</v>
      </c>
      <c r="F16">
        <v>3.8128432609999998</v>
      </c>
      <c r="G16">
        <v>3.81966781098162</v>
      </c>
      <c r="H16">
        <v>10.911744000000001</v>
      </c>
      <c r="K16">
        <v>6608</v>
      </c>
      <c r="L16" s="1">
        <v>2.2477300000000001E-6</v>
      </c>
      <c r="O16" s="1"/>
    </row>
    <row r="17" spans="1:15" x14ac:dyDescent="0.2">
      <c r="A17">
        <v>200</v>
      </c>
      <c r="B17">
        <v>7</v>
      </c>
      <c r="D17" t="str">
        <f t="shared" si="0"/>
        <v>200-07</v>
      </c>
      <c r="E17" t="s">
        <v>804</v>
      </c>
      <c r="F17">
        <v>5.0076434150000004</v>
      </c>
      <c r="G17">
        <v>5.0312855970114398</v>
      </c>
      <c r="H17">
        <v>11.20256</v>
      </c>
      <c r="O17" s="1"/>
    </row>
    <row r="18" spans="1:15" x14ac:dyDescent="0.2">
      <c r="A18">
        <v>200</v>
      </c>
      <c r="B18">
        <v>8</v>
      </c>
      <c r="D18" t="str">
        <f t="shared" si="0"/>
        <v>200-08</v>
      </c>
      <c r="E18" t="s">
        <v>804</v>
      </c>
      <c r="F18">
        <v>77.954111585000007</v>
      </c>
      <c r="G18">
        <v>78.006630796007798</v>
      </c>
      <c r="H18">
        <v>16.154623999999998</v>
      </c>
      <c r="O18" s="1"/>
    </row>
    <row r="19" spans="1:15" x14ac:dyDescent="0.2">
      <c r="A19">
        <v>200</v>
      </c>
      <c r="B19">
        <v>9</v>
      </c>
      <c r="D19" t="str">
        <f t="shared" si="0"/>
        <v>200-09</v>
      </c>
      <c r="E19" t="s">
        <v>792</v>
      </c>
      <c r="F19">
        <v>900.95939322699996</v>
      </c>
      <c r="G19">
        <v>904.16231213498395</v>
      </c>
      <c r="H19">
        <v>4.75136</v>
      </c>
      <c r="O19" s="1"/>
    </row>
    <row r="20" spans="1:15" x14ac:dyDescent="0.2">
      <c r="A20">
        <v>300</v>
      </c>
      <c r="B20">
        <v>1</v>
      </c>
      <c r="D20" t="str">
        <f t="shared" si="0"/>
        <v>300-01</v>
      </c>
      <c r="E20" t="s">
        <v>804</v>
      </c>
      <c r="F20">
        <v>386.46762659500001</v>
      </c>
      <c r="G20">
        <v>388.59300407598403</v>
      </c>
      <c r="H20">
        <v>29.216767999999998</v>
      </c>
      <c r="O20" s="1"/>
    </row>
    <row r="21" spans="1:15" x14ac:dyDescent="0.2">
      <c r="A21">
        <v>300</v>
      </c>
      <c r="B21">
        <v>2</v>
      </c>
      <c r="D21" t="str">
        <f t="shared" si="0"/>
        <v>300-02</v>
      </c>
      <c r="E21" t="s">
        <v>804</v>
      </c>
      <c r="F21">
        <v>17.868869549999999</v>
      </c>
      <c r="G21">
        <v>17.8905338160111</v>
      </c>
      <c r="H21">
        <v>19.693567999999999</v>
      </c>
      <c r="O21" s="1"/>
    </row>
    <row r="22" spans="1:15" x14ac:dyDescent="0.2">
      <c r="A22">
        <v>300</v>
      </c>
      <c r="B22">
        <v>3</v>
      </c>
      <c r="D22" t="str">
        <f t="shared" si="0"/>
        <v>300-03</v>
      </c>
      <c r="E22" t="s">
        <v>804</v>
      </c>
      <c r="F22">
        <v>5.0072153869999996</v>
      </c>
      <c r="G22">
        <v>5.0714318029931702</v>
      </c>
      <c r="H22">
        <v>18.571263999999999</v>
      </c>
      <c r="O22" s="1"/>
    </row>
    <row r="23" spans="1:15" x14ac:dyDescent="0.2">
      <c r="A23">
        <v>300</v>
      </c>
      <c r="B23">
        <v>4</v>
      </c>
      <c r="D23" t="str">
        <f t="shared" si="0"/>
        <v>300-04</v>
      </c>
      <c r="E23" t="s">
        <v>804</v>
      </c>
      <c r="F23">
        <v>2.5518123130000001</v>
      </c>
      <c r="G23">
        <v>2.5552479629986902</v>
      </c>
      <c r="H23">
        <v>17.465344000000002</v>
      </c>
      <c r="O23" s="1"/>
    </row>
    <row r="24" spans="1:15" x14ac:dyDescent="0.2">
      <c r="A24">
        <v>300</v>
      </c>
      <c r="B24">
        <v>5</v>
      </c>
      <c r="D24" t="str">
        <f t="shared" si="0"/>
        <v>300-05</v>
      </c>
      <c r="E24" t="s">
        <v>804</v>
      </c>
      <c r="F24">
        <v>2.790646781</v>
      </c>
      <c r="G24">
        <v>2.7932198250200599</v>
      </c>
      <c r="H24">
        <v>18.251776</v>
      </c>
    </row>
    <row r="25" spans="1:15" x14ac:dyDescent="0.2">
      <c r="A25">
        <v>300</v>
      </c>
      <c r="B25">
        <v>6</v>
      </c>
      <c r="D25" t="str">
        <f t="shared" si="0"/>
        <v>300-06</v>
      </c>
      <c r="E25" t="s">
        <v>804</v>
      </c>
      <c r="F25">
        <v>2.9147318680000001</v>
      </c>
      <c r="G25">
        <v>2.9182913310360101</v>
      </c>
      <c r="H25">
        <v>18.407423999999999</v>
      </c>
    </row>
    <row r="26" spans="1:15" x14ac:dyDescent="0.2">
      <c r="A26">
        <v>300</v>
      </c>
      <c r="B26">
        <v>7</v>
      </c>
      <c r="D26" t="str">
        <f t="shared" si="0"/>
        <v>300-07</v>
      </c>
      <c r="E26" t="s">
        <v>804</v>
      </c>
      <c r="F26">
        <v>3.2738033849999999</v>
      </c>
      <c r="G26">
        <v>3.2791469400399298</v>
      </c>
      <c r="H26">
        <v>19.509247999999999</v>
      </c>
    </row>
    <row r="27" spans="1:15" x14ac:dyDescent="0.2">
      <c r="A27">
        <v>300</v>
      </c>
      <c r="B27">
        <v>8</v>
      </c>
      <c r="D27" t="str">
        <f t="shared" si="0"/>
        <v>300-08</v>
      </c>
      <c r="E27" t="s">
        <v>804</v>
      </c>
      <c r="F27">
        <v>3.6128492859999999</v>
      </c>
      <c r="G27">
        <v>3.6195602939696898</v>
      </c>
      <c r="H27">
        <v>20.844543999999999</v>
      </c>
    </row>
    <row r="28" spans="1:15" x14ac:dyDescent="0.2">
      <c r="A28">
        <v>300</v>
      </c>
      <c r="B28">
        <v>9</v>
      </c>
      <c r="D28" t="str">
        <f t="shared" si="0"/>
        <v>300-09</v>
      </c>
      <c r="E28" t="s">
        <v>804</v>
      </c>
      <c r="F28">
        <v>3.9170839059999998</v>
      </c>
      <c r="G28">
        <v>3.9221148780197801</v>
      </c>
      <c r="H28">
        <v>21.270527999999999</v>
      </c>
    </row>
    <row r="29" spans="1:15" x14ac:dyDescent="0.2">
      <c r="A29">
        <v>400</v>
      </c>
      <c r="B29">
        <v>1</v>
      </c>
      <c r="D29" t="str">
        <f t="shared" si="0"/>
        <v>400-01</v>
      </c>
      <c r="E29" t="s">
        <v>804</v>
      </c>
      <c r="F29">
        <v>0.75492707599999997</v>
      </c>
      <c r="G29">
        <v>0.75905835599405602</v>
      </c>
      <c r="H29">
        <v>4.0837120000000002</v>
      </c>
    </row>
    <row r="30" spans="1:15" x14ac:dyDescent="0.2">
      <c r="A30">
        <v>400</v>
      </c>
      <c r="B30">
        <v>2</v>
      </c>
      <c r="D30" t="str">
        <f t="shared" si="0"/>
        <v>400-02</v>
      </c>
      <c r="E30" t="s">
        <v>804</v>
      </c>
      <c r="F30">
        <v>3.3488716709999999</v>
      </c>
      <c r="G30">
        <v>3.3525215930421801</v>
      </c>
      <c r="H30">
        <v>9.3675519999999999</v>
      </c>
    </row>
    <row r="31" spans="1:15" x14ac:dyDescent="0.2">
      <c r="A31">
        <v>400</v>
      </c>
      <c r="B31">
        <v>3</v>
      </c>
      <c r="D31" t="str">
        <f t="shared" si="0"/>
        <v>400-03</v>
      </c>
      <c r="E31" t="s">
        <v>804</v>
      </c>
      <c r="F31">
        <v>9.2423774989999998</v>
      </c>
      <c r="G31">
        <v>9.2533303229720296</v>
      </c>
      <c r="H31">
        <v>11.32544</v>
      </c>
    </row>
    <row r="32" spans="1:15" x14ac:dyDescent="0.2">
      <c r="A32">
        <v>400</v>
      </c>
      <c r="B32">
        <v>4</v>
      </c>
      <c r="D32" t="str">
        <f t="shared" si="0"/>
        <v>400-04</v>
      </c>
      <c r="E32" t="s">
        <v>804</v>
      </c>
      <c r="F32">
        <v>0.73296014499999995</v>
      </c>
      <c r="G32">
        <v>0.73515249998308696</v>
      </c>
      <c r="H32">
        <v>4.3171840000000001</v>
      </c>
    </row>
    <row r="33" spans="1:8" x14ac:dyDescent="0.2">
      <c r="A33">
        <v>400</v>
      </c>
      <c r="B33">
        <v>5</v>
      </c>
      <c r="D33" t="str">
        <f t="shared" si="0"/>
        <v>400-05</v>
      </c>
      <c r="E33" t="s">
        <v>804</v>
      </c>
      <c r="F33">
        <v>4.5841748420000004</v>
      </c>
      <c r="G33">
        <v>4.59333966200938</v>
      </c>
      <c r="H33">
        <v>7.909376</v>
      </c>
    </row>
    <row r="34" spans="1:8" x14ac:dyDescent="0.2">
      <c r="A34">
        <v>400</v>
      </c>
      <c r="B34">
        <v>6</v>
      </c>
      <c r="D34" t="str">
        <f t="shared" si="0"/>
        <v>400-06</v>
      </c>
      <c r="E34" t="s">
        <v>804</v>
      </c>
      <c r="F34">
        <v>10.315676890000001</v>
      </c>
      <c r="G34">
        <v>10.3234839909709</v>
      </c>
      <c r="H34">
        <v>13.729792</v>
      </c>
    </row>
    <row r="35" spans="1:8" x14ac:dyDescent="0.2">
      <c r="A35">
        <v>400</v>
      </c>
      <c r="B35">
        <v>7</v>
      </c>
      <c r="D35" t="str">
        <f t="shared" si="0"/>
        <v>400-07</v>
      </c>
      <c r="E35" t="s">
        <v>804</v>
      </c>
      <c r="F35">
        <v>4.1296645779999999</v>
      </c>
      <c r="G35">
        <v>4.13637385098263</v>
      </c>
      <c r="H35">
        <v>8.9374719999999996</v>
      </c>
    </row>
    <row r="36" spans="1:8" x14ac:dyDescent="0.2">
      <c r="A36">
        <v>400</v>
      </c>
      <c r="B36">
        <v>8</v>
      </c>
      <c r="D36" t="str">
        <f t="shared" si="0"/>
        <v>400-08</v>
      </c>
      <c r="E36" t="s">
        <v>804</v>
      </c>
      <c r="F36">
        <v>2.2318648830000001</v>
      </c>
      <c r="G36">
        <v>2.2353075869614201</v>
      </c>
      <c r="H36">
        <v>8.8432639999999996</v>
      </c>
    </row>
    <row r="37" spans="1:8" x14ac:dyDescent="0.2">
      <c r="A37">
        <v>400</v>
      </c>
      <c r="B37">
        <v>9</v>
      </c>
      <c r="D37" t="str">
        <f t="shared" si="0"/>
        <v>400-09</v>
      </c>
      <c r="E37" t="s">
        <v>804</v>
      </c>
      <c r="F37">
        <v>7.9006030770000004</v>
      </c>
      <c r="G37">
        <v>7.9092825879924904</v>
      </c>
      <c r="H37">
        <v>10.399744</v>
      </c>
    </row>
    <row r="38" spans="1:8" x14ac:dyDescent="0.2">
      <c r="A38">
        <v>500</v>
      </c>
      <c r="B38">
        <v>1</v>
      </c>
      <c r="D38" t="str">
        <f t="shared" si="0"/>
        <v>500-01</v>
      </c>
      <c r="E38" t="s">
        <v>792</v>
      </c>
      <c r="F38">
        <v>901.00262236799995</v>
      </c>
      <c r="G38">
        <v>903.63199636596198</v>
      </c>
      <c r="H38">
        <v>5.5418880000000001</v>
      </c>
    </row>
    <row r="39" spans="1:8" x14ac:dyDescent="0.2">
      <c r="A39">
        <v>500</v>
      </c>
      <c r="B39">
        <v>2</v>
      </c>
      <c r="D39" t="str">
        <f t="shared" si="0"/>
        <v>500-02</v>
      </c>
      <c r="E39" t="s">
        <v>804</v>
      </c>
      <c r="F39">
        <v>19.129095319000001</v>
      </c>
      <c r="G39">
        <v>19.1421818879898</v>
      </c>
      <c r="H39">
        <v>13.74208</v>
      </c>
    </row>
    <row r="40" spans="1:8" x14ac:dyDescent="0.2">
      <c r="A40">
        <v>500</v>
      </c>
      <c r="B40">
        <v>3</v>
      </c>
      <c r="D40" t="str">
        <f t="shared" si="0"/>
        <v>500-03</v>
      </c>
      <c r="E40" t="s">
        <v>804</v>
      </c>
      <c r="F40">
        <v>8.5361171549999995</v>
      </c>
      <c r="G40">
        <v>8.5445036520250106</v>
      </c>
      <c r="H40">
        <v>11.784192000000001</v>
      </c>
    </row>
    <row r="41" spans="1:8" x14ac:dyDescent="0.2">
      <c r="A41">
        <v>500</v>
      </c>
      <c r="B41">
        <v>4</v>
      </c>
      <c r="D41" t="str">
        <f t="shared" si="0"/>
        <v>500-04</v>
      </c>
      <c r="E41" t="s">
        <v>804</v>
      </c>
      <c r="F41">
        <v>3.4232178310000001</v>
      </c>
      <c r="G41">
        <v>3.4589748290018099</v>
      </c>
      <c r="H41">
        <v>9.8877439999999996</v>
      </c>
    </row>
    <row r="42" spans="1:8" x14ac:dyDescent="0.2">
      <c r="A42">
        <v>500</v>
      </c>
      <c r="B42">
        <v>5</v>
      </c>
      <c r="D42" t="str">
        <f t="shared" si="0"/>
        <v>500-05</v>
      </c>
      <c r="E42" t="s">
        <v>804</v>
      </c>
      <c r="F42">
        <v>36.860607317000003</v>
      </c>
      <c r="G42">
        <v>36.8922630199813</v>
      </c>
      <c r="H42">
        <v>14.761984</v>
      </c>
    </row>
    <row r="43" spans="1:8" x14ac:dyDescent="0.2">
      <c r="A43">
        <v>500</v>
      </c>
      <c r="B43">
        <v>6</v>
      </c>
      <c r="D43" t="str">
        <f t="shared" si="0"/>
        <v>500-06</v>
      </c>
      <c r="E43" t="s">
        <v>804</v>
      </c>
      <c r="F43">
        <v>6.6546814369999998</v>
      </c>
      <c r="G43">
        <v>6.6602380209951599</v>
      </c>
      <c r="H43">
        <v>10.014720000000001</v>
      </c>
    </row>
    <row r="44" spans="1:8" x14ac:dyDescent="0.2">
      <c r="A44">
        <v>500</v>
      </c>
      <c r="B44">
        <v>7</v>
      </c>
      <c r="D44" t="str">
        <f t="shared" si="0"/>
        <v>500-07</v>
      </c>
      <c r="E44" t="s">
        <v>804</v>
      </c>
      <c r="F44">
        <v>10.140750429000001</v>
      </c>
      <c r="G44">
        <v>10.1788758030161</v>
      </c>
      <c r="H44">
        <v>11.948032</v>
      </c>
    </row>
    <row r="45" spans="1:8" x14ac:dyDescent="0.2">
      <c r="A45">
        <v>500</v>
      </c>
      <c r="B45">
        <v>8</v>
      </c>
      <c r="D45" t="str">
        <f t="shared" si="0"/>
        <v>500-08</v>
      </c>
      <c r="E45" t="s">
        <v>804</v>
      </c>
      <c r="F45">
        <v>3.3104230970000001</v>
      </c>
      <c r="G45">
        <v>3.3151986239827198</v>
      </c>
      <c r="H45">
        <v>15.798272000000001</v>
      </c>
    </row>
    <row r="46" spans="1:8" x14ac:dyDescent="0.2">
      <c r="A46">
        <v>500</v>
      </c>
      <c r="B46">
        <v>9</v>
      </c>
      <c r="D46" t="str">
        <f t="shared" si="0"/>
        <v>500-09</v>
      </c>
      <c r="E46" t="s">
        <v>804</v>
      </c>
      <c r="F46">
        <v>1.4225499850000001</v>
      </c>
      <c r="G46">
        <v>1.4278421989874901</v>
      </c>
      <c r="H46">
        <v>9.0030079999999995</v>
      </c>
    </row>
    <row r="47" spans="1:8" x14ac:dyDescent="0.2">
      <c r="A47">
        <v>600</v>
      </c>
      <c r="B47">
        <v>1</v>
      </c>
      <c r="D47" t="str">
        <f t="shared" si="0"/>
        <v>600-01</v>
      </c>
      <c r="E47" t="s">
        <v>804</v>
      </c>
      <c r="F47">
        <v>3.0625825660000001</v>
      </c>
      <c r="G47">
        <v>3.0775772069464402</v>
      </c>
      <c r="H47">
        <v>9.2200959999999998</v>
      </c>
    </row>
    <row r="48" spans="1:8" x14ac:dyDescent="0.2">
      <c r="A48">
        <v>600</v>
      </c>
      <c r="B48">
        <v>2</v>
      </c>
      <c r="D48" t="str">
        <f t="shared" si="0"/>
        <v>600-02</v>
      </c>
      <c r="E48" t="s">
        <v>804</v>
      </c>
      <c r="F48">
        <v>17.992092994</v>
      </c>
      <c r="G48">
        <v>18.003174385987201</v>
      </c>
      <c r="H48">
        <v>10.727423999999999</v>
      </c>
    </row>
    <row r="49" spans="1:8" x14ac:dyDescent="0.2">
      <c r="A49">
        <v>600</v>
      </c>
      <c r="B49">
        <v>3</v>
      </c>
      <c r="D49" t="str">
        <f t="shared" si="0"/>
        <v>600-03</v>
      </c>
      <c r="E49" t="s">
        <v>804</v>
      </c>
      <c r="F49">
        <v>4.2657254929999997</v>
      </c>
      <c r="G49">
        <v>4.2719682979513802</v>
      </c>
      <c r="H49">
        <v>9.7361920000000008</v>
      </c>
    </row>
    <row r="50" spans="1:8" x14ac:dyDescent="0.2">
      <c r="A50">
        <v>600</v>
      </c>
      <c r="B50">
        <v>4</v>
      </c>
      <c r="D50" t="str">
        <f t="shared" si="0"/>
        <v>600-04</v>
      </c>
      <c r="E50" t="s">
        <v>804</v>
      </c>
      <c r="F50">
        <v>19.000774070999999</v>
      </c>
      <c r="G50">
        <v>19.0633398089557</v>
      </c>
      <c r="H50">
        <v>11.747328</v>
      </c>
    </row>
    <row r="51" spans="1:8" x14ac:dyDescent="0.2">
      <c r="A51">
        <v>600</v>
      </c>
      <c r="B51">
        <v>5</v>
      </c>
      <c r="D51" t="str">
        <f t="shared" si="0"/>
        <v>600-05</v>
      </c>
      <c r="E51" t="s">
        <v>804</v>
      </c>
      <c r="F51">
        <v>8.1565932839999995</v>
      </c>
      <c r="G51">
        <v>8.18294962501386</v>
      </c>
      <c r="H51">
        <v>10.702847999999999</v>
      </c>
    </row>
    <row r="52" spans="1:8" x14ac:dyDescent="0.2">
      <c r="A52">
        <v>600</v>
      </c>
      <c r="B52">
        <v>6</v>
      </c>
      <c r="D52" t="str">
        <f t="shared" si="0"/>
        <v>600-06</v>
      </c>
      <c r="E52" t="s">
        <v>804</v>
      </c>
      <c r="F52">
        <v>2.3523423960000001</v>
      </c>
      <c r="G52">
        <v>2.3548773090005799</v>
      </c>
      <c r="H52">
        <v>12.091392000000001</v>
      </c>
    </row>
    <row r="53" spans="1:8" x14ac:dyDescent="0.2">
      <c r="A53">
        <v>600</v>
      </c>
      <c r="B53">
        <v>7</v>
      </c>
      <c r="D53" t="str">
        <f t="shared" si="0"/>
        <v>600-07</v>
      </c>
      <c r="E53" t="s">
        <v>804</v>
      </c>
      <c r="F53">
        <v>10.08853263</v>
      </c>
      <c r="G53">
        <v>10.094135874998701</v>
      </c>
      <c r="H53">
        <v>10.526719999999999</v>
      </c>
    </row>
    <row r="54" spans="1:8" x14ac:dyDescent="0.2">
      <c r="A54">
        <v>600</v>
      </c>
      <c r="B54">
        <v>8</v>
      </c>
      <c r="D54" t="str">
        <f t="shared" si="0"/>
        <v>600-08</v>
      </c>
      <c r="E54" t="s">
        <v>804</v>
      </c>
      <c r="F54">
        <v>6.0342137999999998</v>
      </c>
      <c r="G54">
        <v>6.0409942549886102</v>
      </c>
      <c r="H54">
        <v>10.387456</v>
      </c>
    </row>
    <row r="55" spans="1:8" x14ac:dyDescent="0.2">
      <c r="A55">
        <v>600</v>
      </c>
      <c r="B55">
        <v>9</v>
      </c>
      <c r="D55" t="str">
        <f t="shared" si="0"/>
        <v>600-09</v>
      </c>
      <c r="E55" t="s">
        <v>804</v>
      </c>
      <c r="F55">
        <v>9.54085362</v>
      </c>
      <c r="G55">
        <v>9.5492923790006898</v>
      </c>
      <c r="H55">
        <v>8.7244799999999998</v>
      </c>
    </row>
    <row r="56" spans="1:8" x14ac:dyDescent="0.2">
      <c r="A56">
        <v>700</v>
      </c>
      <c r="B56">
        <v>1</v>
      </c>
      <c r="D56" t="str">
        <f t="shared" si="0"/>
        <v>700-01</v>
      </c>
      <c r="E56" t="s">
        <v>804</v>
      </c>
      <c r="F56">
        <v>1.630637753</v>
      </c>
      <c r="G56">
        <v>1.63496997300535</v>
      </c>
      <c r="H56">
        <v>11.206656000000001</v>
      </c>
    </row>
    <row r="57" spans="1:8" x14ac:dyDescent="0.2">
      <c r="A57">
        <v>700</v>
      </c>
      <c r="B57">
        <v>2</v>
      </c>
      <c r="D57" t="str">
        <f t="shared" si="0"/>
        <v>700-02</v>
      </c>
      <c r="E57" t="s">
        <v>804</v>
      </c>
      <c r="F57">
        <v>249.778788058</v>
      </c>
      <c r="G57">
        <v>250.81996195804001</v>
      </c>
      <c r="H57">
        <v>17.702912000000001</v>
      </c>
    </row>
    <row r="58" spans="1:8" x14ac:dyDescent="0.2">
      <c r="A58">
        <v>700</v>
      </c>
      <c r="B58">
        <v>3</v>
      </c>
      <c r="D58" t="str">
        <f t="shared" si="0"/>
        <v>700-03</v>
      </c>
      <c r="E58" t="s">
        <v>792</v>
      </c>
      <c r="F58">
        <v>901.00285766599995</v>
      </c>
      <c r="G58">
        <v>906.90636938100204</v>
      </c>
      <c r="H58">
        <v>26.750976000000001</v>
      </c>
    </row>
    <row r="59" spans="1:8" x14ac:dyDescent="0.2">
      <c r="A59">
        <v>700</v>
      </c>
      <c r="B59">
        <v>4</v>
      </c>
      <c r="D59" t="str">
        <f t="shared" si="0"/>
        <v>700-04</v>
      </c>
      <c r="E59" t="s">
        <v>804</v>
      </c>
      <c r="F59">
        <v>10.600816012999999</v>
      </c>
      <c r="G59">
        <v>10.810652378015201</v>
      </c>
      <c r="H59">
        <v>12.455935999999999</v>
      </c>
    </row>
    <row r="60" spans="1:8" x14ac:dyDescent="0.2">
      <c r="A60">
        <v>700</v>
      </c>
      <c r="B60">
        <v>5</v>
      </c>
      <c r="D60" t="str">
        <f t="shared" si="0"/>
        <v>700-05</v>
      </c>
      <c r="E60" t="s">
        <v>804</v>
      </c>
      <c r="F60">
        <v>379.573301485</v>
      </c>
      <c r="G60">
        <v>392.48726801300597</v>
      </c>
      <c r="H60">
        <v>17.608703999999999</v>
      </c>
    </row>
    <row r="61" spans="1:8" x14ac:dyDescent="0.2">
      <c r="A61">
        <v>700</v>
      </c>
      <c r="B61">
        <v>6</v>
      </c>
      <c r="D61" t="str">
        <f t="shared" si="0"/>
        <v>700-06</v>
      </c>
      <c r="E61" t="s">
        <v>804</v>
      </c>
      <c r="F61">
        <v>3.6487993150000002</v>
      </c>
      <c r="G61">
        <v>3.65220808901358</v>
      </c>
      <c r="H61">
        <v>16.658432000000001</v>
      </c>
    </row>
    <row r="62" spans="1:8" x14ac:dyDescent="0.2">
      <c r="A62">
        <v>700</v>
      </c>
      <c r="B62">
        <v>7</v>
      </c>
      <c r="D62" t="str">
        <f t="shared" si="0"/>
        <v>700-07</v>
      </c>
      <c r="E62" t="s">
        <v>804</v>
      </c>
      <c r="F62">
        <v>175.91233641700001</v>
      </c>
      <c r="G62">
        <v>176.50328013597701</v>
      </c>
      <c r="H62">
        <v>17.174527999999999</v>
      </c>
    </row>
    <row r="63" spans="1:8" x14ac:dyDescent="0.2">
      <c r="A63">
        <v>700</v>
      </c>
      <c r="B63">
        <v>8</v>
      </c>
      <c r="D63" t="str">
        <f t="shared" si="0"/>
        <v>700-08</v>
      </c>
      <c r="E63" t="s">
        <v>804</v>
      </c>
      <c r="F63">
        <v>3.861547474</v>
      </c>
      <c r="G63">
        <v>3.9933756439713699</v>
      </c>
      <c r="H63">
        <v>14.897152</v>
      </c>
    </row>
    <row r="64" spans="1:8" x14ac:dyDescent="0.2">
      <c r="A64">
        <v>700</v>
      </c>
      <c r="B64">
        <v>9</v>
      </c>
      <c r="D64" t="str">
        <f t="shared" si="0"/>
        <v>700-09</v>
      </c>
      <c r="E64" t="s">
        <v>804</v>
      </c>
      <c r="F64">
        <v>1.652311088</v>
      </c>
      <c r="G64">
        <v>1.6547414759988801</v>
      </c>
      <c r="H64">
        <v>8.5196799999999993</v>
      </c>
    </row>
    <row r="65" spans="1:8" x14ac:dyDescent="0.2">
      <c r="A65">
        <v>800</v>
      </c>
      <c r="B65">
        <v>1</v>
      </c>
      <c r="D65" t="str">
        <f t="shared" si="0"/>
        <v>800-01</v>
      </c>
      <c r="E65" t="s">
        <v>804</v>
      </c>
      <c r="F65">
        <v>1.6812013109999999</v>
      </c>
      <c r="G65">
        <v>1.6870703599997701</v>
      </c>
      <c r="H65">
        <v>9.1996160000000007</v>
      </c>
    </row>
    <row r="66" spans="1:8" x14ac:dyDescent="0.2">
      <c r="A66">
        <v>800</v>
      </c>
      <c r="B66">
        <v>2</v>
      </c>
      <c r="D66" t="str">
        <f t="shared" si="0"/>
        <v>800-02</v>
      </c>
      <c r="E66" t="s">
        <v>804</v>
      </c>
      <c r="F66">
        <v>4.0560213410000001</v>
      </c>
      <c r="G66">
        <v>4.1873260840075002</v>
      </c>
      <c r="H66">
        <v>10.633215999999999</v>
      </c>
    </row>
    <row r="67" spans="1:8" x14ac:dyDescent="0.2">
      <c r="A67">
        <v>800</v>
      </c>
      <c r="B67">
        <v>3</v>
      </c>
      <c r="D67" t="str">
        <f t="shared" ref="D67:D130" si="1">A67&amp;"-0"&amp;B67</f>
        <v>800-03</v>
      </c>
      <c r="E67" t="s">
        <v>804</v>
      </c>
      <c r="F67">
        <v>208.61064935600001</v>
      </c>
      <c r="G67">
        <v>209.93985265499199</v>
      </c>
      <c r="H67">
        <v>17.006592000000001</v>
      </c>
    </row>
    <row r="68" spans="1:8" x14ac:dyDescent="0.2">
      <c r="A68">
        <v>800</v>
      </c>
      <c r="B68">
        <v>4</v>
      </c>
      <c r="D68" t="str">
        <f t="shared" si="1"/>
        <v>800-04</v>
      </c>
      <c r="E68" t="s">
        <v>804</v>
      </c>
      <c r="F68">
        <v>8.2636919239999997</v>
      </c>
      <c r="G68">
        <v>8.3281561129842796</v>
      </c>
      <c r="H68">
        <v>10.391552000000001</v>
      </c>
    </row>
    <row r="69" spans="1:8" x14ac:dyDescent="0.2">
      <c r="A69">
        <v>800</v>
      </c>
      <c r="B69">
        <v>5</v>
      </c>
      <c r="D69" t="str">
        <f t="shared" si="1"/>
        <v>800-05</v>
      </c>
      <c r="E69" t="s">
        <v>804</v>
      </c>
      <c r="F69">
        <v>22.167029886000002</v>
      </c>
      <c r="G69">
        <v>22.2873378910007</v>
      </c>
      <c r="H69">
        <v>10.354687999999999</v>
      </c>
    </row>
    <row r="70" spans="1:8" x14ac:dyDescent="0.2">
      <c r="A70">
        <v>800</v>
      </c>
      <c r="B70">
        <v>6</v>
      </c>
      <c r="D70" t="str">
        <f t="shared" si="1"/>
        <v>800-06</v>
      </c>
      <c r="E70" t="s">
        <v>804</v>
      </c>
      <c r="F70">
        <v>23.186125045000001</v>
      </c>
      <c r="G70">
        <v>23.4861043950077</v>
      </c>
      <c r="H70">
        <v>9.2815359999999991</v>
      </c>
    </row>
    <row r="71" spans="1:8" x14ac:dyDescent="0.2">
      <c r="A71">
        <v>800</v>
      </c>
      <c r="B71">
        <v>7</v>
      </c>
      <c r="D71" t="str">
        <f t="shared" si="1"/>
        <v>800-07</v>
      </c>
      <c r="E71" t="s">
        <v>804</v>
      </c>
      <c r="F71">
        <v>11.616902314000001</v>
      </c>
      <c r="G71">
        <v>11.6588638650137</v>
      </c>
      <c r="H71">
        <v>9.1791359999999997</v>
      </c>
    </row>
    <row r="72" spans="1:8" x14ac:dyDescent="0.2">
      <c r="A72">
        <v>800</v>
      </c>
      <c r="B72">
        <v>8</v>
      </c>
      <c r="D72" t="str">
        <f t="shared" si="1"/>
        <v>800-08</v>
      </c>
      <c r="E72" t="s">
        <v>804</v>
      </c>
      <c r="F72">
        <v>1.6724011860000001</v>
      </c>
      <c r="G72">
        <v>1.67744128801859</v>
      </c>
      <c r="H72">
        <v>10.993664000000001</v>
      </c>
    </row>
    <row r="73" spans="1:8" x14ac:dyDescent="0.2">
      <c r="A73">
        <v>800</v>
      </c>
      <c r="B73">
        <v>9</v>
      </c>
      <c r="D73" t="str">
        <f t="shared" si="1"/>
        <v>800-09</v>
      </c>
      <c r="E73" t="s">
        <v>804</v>
      </c>
      <c r="F73">
        <v>7.2030850439999998</v>
      </c>
      <c r="G73">
        <v>7.3924885379965399</v>
      </c>
      <c r="H73">
        <v>10.702847999999999</v>
      </c>
    </row>
    <row r="74" spans="1:8" x14ac:dyDescent="0.2">
      <c r="A74">
        <v>900</v>
      </c>
      <c r="B74">
        <v>1</v>
      </c>
      <c r="D74" t="str">
        <f t="shared" si="1"/>
        <v>900-01</v>
      </c>
      <c r="E74" t="s">
        <v>804</v>
      </c>
      <c r="F74">
        <v>27.915372466000001</v>
      </c>
      <c r="G74">
        <v>28.0850903739919</v>
      </c>
      <c r="H74">
        <v>14.52032</v>
      </c>
    </row>
    <row r="75" spans="1:8" x14ac:dyDescent="0.2">
      <c r="A75">
        <v>900</v>
      </c>
      <c r="B75">
        <v>2</v>
      </c>
      <c r="D75" t="str">
        <f t="shared" si="1"/>
        <v>900-02</v>
      </c>
      <c r="E75" t="s">
        <v>804</v>
      </c>
      <c r="F75">
        <v>1.8467849839999999</v>
      </c>
      <c r="G75">
        <v>1.88344845303799</v>
      </c>
      <c r="H75">
        <v>15.42144</v>
      </c>
    </row>
    <row r="76" spans="1:8" x14ac:dyDescent="0.2">
      <c r="A76">
        <v>900</v>
      </c>
      <c r="B76">
        <v>3</v>
      </c>
      <c r="D76" t="str">
        <f t="shared" si="1"/>
        <v>900-03</v>
      </c>
      <c r="E76" t="s">
        <v>804</v>
      </c>
      <c r="F76">
        <v>2.4202663910000002</v>
      </c>
      <c r="G76">
        <v>2.4254145940067202</v>
      </c>
      <c r="H76">
        <v>13.234176</v>
      </c>
    </row>
    <row r="77" spans="1:8" x14ac:dyDescent="0.2">
      <c r="A77">
        <v>900</v>
      </c>
      <c r="B77">
        <v>4</v>
      </c>
      <c r="D77" t="str">
        <f t="shared" si="1"/>
        <v>900-04</v>
      </c>
      <c r="E77" t="s">
        <v>804</v>
      </c>
      <c r="F77">
        <v>57.051538630000003</v>
      </c>
      <c r="G77">
        <v>63.441032768983803</v>
      </c>
      <c r="H77">
        <v>12.533759999999999</v>
      </c>
    </row>
    <row r="78" spans="1:8" x14ac:dyDescent="0.2">
      <c r="A78">
        <v>900</v>
      </c>
      <c r="B78">
        <v>5</v>
      </c>
      <c r="D78" t="str">
        <f t="shared" si="1"/>
        <v>900-05</v>
      </c>
      <c r="E78" t="s">
        <v>804</v>
      </c>
      <c r="F78">
        <v>103.149447127</v>
      </c>
      <c r="G78">
        <v>104.471353666973</v>
      </c>
      <c r="H78">
        <v>17.653759999999998</v>
      </c>
    </row>
    <row r="79" spans="1:8" x14ac:dyDescent="0.2">
      <c r="A79">
        <v>900</v>
      </c>
      <c r="B79">
        <v>6</v>
      </c>
      <c r="D79" t="str">
        <f t="shared" si="1"/>
        <v>900-06</v>
      </c>
      <c r="E79" t="s">
        <v>804</v>
      </c>
      <c r="F79">
        <v>111.55004038200001</v>
      </c>
      <c r="G79">
        <v>118.981415771995</v>
      </c>
      <c r="H79">
        <v>13.062144</v>
      </c>
    </row>
    <row r="80" spans="1:8" x14ac:dyDescent="0.2">
      <c r="A80">
        <v>900</v>
      </c>
      <c r="B80">
        <v>7</v>
      </c>
      <c r="D80" t="str">
        <f t="shared" si="1"/>
        <v>900-07</v>
      </c>
      <c r="E80" t="s">
        <v>804</v>
      </c>
      <c r="F80">
        <v>24.044454780999999</v>
      </c>
      <c r="G80">
        <v>24.462515902006999</v>
      </c>
      <c r="H80">
        <v>15.147008</v>
      </c>
    </row>
    <row r="81" spans="1:8" x14ac:dyDescent="0.2">
      <c r="A81">
        <v>900</v>
      </c>
      <c r="B81">
        <v>8</v>
      </c>
      <c r="D81" t="str">
        <f t="shared" si="1"/>
        <v>900-08</v>
      </c>
      <c r="E81" t="s">
        <v>804</v>
      </c>
      <c r="F81">
        <v>433.614890538</v>
      </c>
      <c r="G81">
        <v>435.16740042099201</v>
      </c>
      <c r="H81">
        <v>22.020095999999999</v>
      </c>
    </row>
    <row r="82" spans="1:8" x14ac:dyDescent="0.2">
      <c r="A82">
        <v>900</v>
      </c>
      <c r="B82">
        <v>9</v>
      </c>
      <c r="D82" t="str">
        <f t="shared" si="1"/>
        <v>900-09</v>
      </c>
      <c r="E82" t="s">
        <v>804</v>
      </c>
      <c r="F82">
        <v>136.376746465</v>
      </c>
      <c r="G82">
        <v>137.00517641101001</v>
      </c>
      <c r="H82">
        <v>17.125375999999999</v>
      </c>
    </row>
    <row r="83" spans="1:8" x14ac:dyDescent="0.2">
      <c r="A83">
        <v>1000</v>
      </c>
      <c r="B83">
        <v>1</v>
      </c>
      <c r="D83" t="str">
        <f t="shared" si="1"/>
        <v>1000-01</v>
      </c>
      <c r="E83" t="s">
        <v>804</v>
      </c>
      <c r="F83">
        <v>1.289960448</v>
      </c>
      <c r="G83">
        <v>1.33433841000078</v>
      </c>
      <c r="H83">
        <v>7.4752000000000001</v>
      </c>
    </row>
    <row r="84" spans="1:8" x14ac:dyDescent="0.2">
      <c r="A84">
        <v>1000</v>
      </c>
      <c r="B84">
        <v>2</v>
      </c>
      <c r="D84" t="str">
        <f t="shared" si="1"/>
        <v>1000-02</v>
      </c>
      <c r="E84" t="s">
        <v>804</v>
      </c>
      <c r="F84">
        <v>1.376424893</v>
      </c>
      <c r="G84">
        <v>1.3971386990160599</v>
      </c>
      <c r="H84">
        <v>12.013567999999999</v>
      </c>
    </row>
    <row r="85" spans="1:8" x14ac:dyDescent="0.2">
      <c r="A85">
        <v>1000</v>
      </c>
      <c r="B85">
        <v>3</v>
      </c>
      <c r="D85" t="str">
        <f t="shared" si="1"/>
        <v>1000-03</v>
      </c>
      <c r="E85" t="s">
        <v>804</v>
      </c>
      <c r="F85">
        <v>4.4116248149999997</v>
      </c>
      <c r="G85">
        <v>4.4400194530026003</v>
      </c>
      <c r="H85">
        <v>11.083776</v>
      </c>
    </row>
    <row r="86" spans="1:8" x14ac:dyDescent="0.2">
      <c r="A86">
        <v>1000</v>
      </c>
      <c r="B86">
        <v>4</v>
      </c>
      <c r="D86" t="str">
        <f t="shared" si="1"/>
        <v>1000-04</v>
      </c>
      <c r="E86" t="s">
        <v>804</v>
      </c>
      <c r="F86">
        <v>464.110731719</v>
      </c>
      <c r="G86">
        <v>465.920411694969</v>
      </c>
      <c r="H86">
        <v>19.456</v>
      </c>
    </row>
    <row r="87" spans="1:8" x14ac:dyDescent="0.2">
      <c r="A87">
        <v>1000</v>
      </c>
      <c r="B87">
        <v>5</v>
      </c>
      <c r="D87" t="str">
        <f t="shared" si="1"/>
        <v>1000-05</v>
      </c>
      <c r="E87" t="s">
        <v>804</v>
      </c>
      <c r="F87">
        <v>8.4246327500000007</v>
      </c>
      <c r="G87">
        <v>8.6101485149702004</v>
      </c>
      <c r="H87">
        <v>10.887168000000001</v>
      </c>
    </row>
    <row r="88" spans="1:8" x14ac:dyDescent="0.2">
      <c r="A88">
        <v>1000</v>
      </c>
      <c r="B88">
        <v>6</v>
      </c>
      <c r="D88" t="str">
        <f t="shared" si="1"/>
        <v>1000-06</v>
      </c>
      <c r="E88" t="s">
        <v>804</v>
      </c>
      <c r="F88">
        <v>15.632745253</v>
      </c>
      <c r="G88">
        <v>15.7073620250448</v>
      </c>
      <c r="H88">
        <v>12.345344000000001</v>
      </c>
    </row>
    <row r="89" spans="1:8" x14ac:dyDescent="0.2">
      <c r="A89">
        <v>1000</v>
      </c>
      <c r="B89">
        <v>7</v>
      </c>
      <c r="D89" t="str">
        <f t="shared" si="1"/>
        <v>1000-07</v>
      </c>
      <c r="E89" t="s">
        <v>804</v>
      </c>
      <c r="F89">
        <v>35.124774643000002</v>
      </c>
      <c r="G89">
        <v>35.271613413991801</v>
      </c>
      <c r="H89">
        <v>10.719232</v>
      </c>
    </row>
    <row r="90" spans="1:8" x14ac:dyDescent="0.2">
      <c r="A90">
        <v>1000</v>
      </c>
      <c r="B90">
        <v>8</v>
      </c>
      <c r="D90" t="str">
        <f t="shared" si="1"/>
        <v>1000-08</v>
      </c>
      <c r="E90" t="s">
        <v>804</v>
      </c>
      <c r="F90">
        <v>63.292857503</v>
      </c>
      <c r="G90">
        <v>78.550590276019605</v>
      </c>
      <c r="H90">
        <v>12.070912</v>
      </c>
    </row>
    <row r="91" spans="1:8" x14ac:dyDescent="0.2">
      <c r="A91">
        <v>1000</v>
      </c>
      <c r="B91">
        <v>9</v>
      </c>
      <c r="D91" t="str">
        <f t="shared" si="1"/>
        <v>1000-09</v>
      </c>
      <c r="E91" t="s">
        <v>804</v>
      </c>
      <c r="F91">
        <v>13.503172579999999</v>
      </c>
      <c r="G91">
        <v>13.5220833689672</v>
      </c>
      <c r="H91">
        <v>16.130047999999999</v>
      </c>
    </row>
    <row r="92" spans="1:8" x14ac:dyDescent="0.2">
      <c r="A92">
        <v>2000</v>
      </c>
      <c r="B92">
        <v>1</v>
      </c>
      <c r="D92" t="str">
        <f t="shared" si="1"/>
        <v>2000-01</v>
      </c>
      <c r="E92" t="s">
        <v>804</v>
      </c>
      <c r="F92">
        <v>2.597786696</v>
      </c>
      <c r="G92">
        <v>2.60447240999201</v>
      </c>
      <c r="H92">
        <v>12.43136</v>
      </c>
    </row>
    <row r="93" spans="1:8" x14ac:dyDescent="0.2">
      <c r="A93">
        <v>2000</v>
      </c>
      <c r="B93">
        <v>2</v>
      </c>
      <c r="D93" t="str">
        <f t="shared" si="1"/>
        <v>2000-02</v>
      </c>
      <c r="E93" t="s">
        <v>804</v>
      </c>
      <c r="F93">
        <v>22.303463553</v>
      </c>
      <c r="G93">
        <v>34.817748654982999</v>
      </c>
      <c r="H93">
        <v>13.627392</v>
      </c>
    </row>
    <row r="94" spans="1:8" x14ac:dyDescent="0.2">
      <c r="A94">
        <v>2000</v>
      </c>
      <c r="B94">
        <v>3</v>
      </c>
      <c r="D94" t="str">
        <f t="shared" si="1"/>
        <v>2000-03</v>
      </c>
      <c r="E94" t="s">
        <v>804</v>
      </c>
      <c r="F94">
        <v>1.6289573530000001</v>
      </c>
      <c r="G94">
        <v>1.6336250330205</v>
      </c>
      <c r="H94">
        <v>10.620927999999999</v>
      </c>
    </row>
    <row r="95" spans="1:8" x14ac:dyDescent="0.2">
      <c r="A95">
        <v>2000</v>
      </c>
      <c r="B95">
        <v>4</v>
      </c>
      <c r="D95" t="str">
        <f t="shared" si="1"/>
        <v>2000-04</v>
      </c>
      <c r="E95" t="s">
        <v>804</v>
      </c>
      <c r="F95">
        <v>22.267642677000001</v>
      </c>
      <c r="G95">
        <v>22.290236389031602</v>
      </c>
      <c r="H95">
        <v>14.266368</v>
      </c>
    </row>
    <row r="96" spans="1:8" x14ac:dyDescent="0.2">
      <c r="A96">
        <v>2000</v>
      </c>
      <c r="B96">
        <v>5</v>
      </c>
      <c r="D96" t="str">
        <f t="shared" si="1"/>
        <v>2000-05</v>
      </c>
      <c r="E96" t="s">
        <v>804</v>
      </c>
      <c r="F96">
        <v>4.940772173</v>
      </c>
      <c r="G96">
        <v>4.9921925050439304</v>
      </c>
      <c r="H96">
        <v>12.71808</v>
      </c>
    </row>
    <row r="97" spans="1:8" x14ac:dyDescent="0.2">
      <c r="A97">
        <v>2000</v>
      </c>
      <c r="B97">
        <v>6</v>
      </c>
      <c r="D97" t="str">
        <f t="shared" si="1"/>
        <v>2000-06</v>
      </c>
      <c r="E97" t="s">
        <v>804</v>
      </c>
      <c r="F97">
        <v>3.6113394379999999</v>
      </c>
      <c r="G97">
        <v>3.6182891170028499</v>
      </c>
      <c r="H97">
        <v>14.704639999999999</v>
      </c>
    </row>
    <row r="98" spans="1:8" x14ac:dyDescent="0.2">
      <c r="A98">
        <v>2000</v>
      </c>
      <c r="B98">
        <v>7</v>
      </c>
      <c r="D98" t="str">
        <f t="shared" si="1"/>
        <v>2000-07</v>
      </c>
      <c r="E98" t="s">
        <v>804</v>
      </c>
      <c r="F98">
        <v>18.365164542999999</v>
      </c>
      <c r="G98">
        <v>20.502418421965501</v>
      </c>
      <c r="H98">
        <v>15.847424</v>
      </c>
    </row>
    <row r="99" spans="1:8" x14ac:dyDescent="0.2">
      <c r="A99">
        <v>2000</v>
      </c>
      <c r="B99">
        <v>8</v>
      </c>
      <c r="D99" t="str">
        <f t="shared" si="1"/>
        <v>2000-08</v>
      </c>
      <c r="E99" t="s">
        <v>804</v>
      </c>
      <c r="F99">
        <v>2.3857388880000001</v>
      </c>
      <c r="G99">
        <v>2.41696619498543</v>
      </c>
      <c r="H99">
        <v>13.275136</v>
      </c>
    </row>
    <row r="100" spans="1:8" x14ac:dyDescent="0.2">
      <c r="A100">
        <v>2000</v>
      </c>
      <c r="B100">
        <v>9</v>
      </c>
      <c r="D100" t="str">
        <f t="shared" si="1"/>
        <v>2000-09</v>
      </c>
      <c r="E100" t="s">
        <v>804</v>
      </c>
      <c r="F100">
        <v>2.729619005</v>
      </c>
      <c r="G100">
        <v>2.73912769200978</v>
      </c>
      <c r="H100">
        <v>13.443072000000001</v>
      </c>
    </row>
    <row r="101" spans="1:8" x14ac:dyDescent="0.2">
      <c r="A101">
        <v>3000</v>
      </c>
      <c r="B101">
        <v>1</v>
      </c>
      <c r="D101" t="str">
        <f t="shared" si="1"/>
        <v>3000-01</v>
      </c>
      <c r="E101" t="s">
        <v>804</v>
      </c>
      <c r="F101">
        <v>62.037579116000003</v>
      </c>
      <c r="G101">
        <v>66.467481302039204</v>
      </c>
      <c r="H101">
        <v>10.952704000000001</v>
      </c>
    </row>
    <row r="102" spans="1:8" x14ac:dyDescent="0.2">
      <c r="A102">
        <v>3000</v>
      </c>
      <c r="B102">
        <v>2</v>
      </c>
      <c r="D102" t="str">
        <f t="shared" si="1"/>
        <v>3000-02</v>
      </c>
      <c r="E102" t="s">
        <v>804</v>
      </c>
      <c r="F102">
        <v>3.1604067979999999</v>
      </c>
      <c r="G102">
        <v>3.1688190519926098</v>
      </c>
      <c r="H102">
        <v>10.399744</v>
      </c>
    </row>
    <row r="103" spans="1:8" x14ac:dyDescent="0.2">
      <c r="A103">
        <v>3000</v>
      </c>
      <c r="B103">
        <v>3</v>
      </c>
      <c r="D103" t="str">
        <f t="shared" si="1"/>
        <v>3000-03</v>
      </c>
      <c r="E103" t="s">
        <v>804</v>
      </c>
      <c r="F103">
        <v>4.6546636120000002</v>
      </c>
      <c r="G103">
        <v>4.6599199920310603</v>
      </c>
      <c r="H103">
        <v>10.551296000000001</v>
      </c>
    </row>
    <row r="104" spans="1:8" x14ac:dyDescent="0.2">
      <c r="A104">
        <v>3000</v>
      </c>
      <c r="B104">
        <v>4</v>
      </c>
      <c r="D104" t="str">
        <f t="shared" si="1"/>
        <v>3000-04</v>
      </c>
      <c r="E104" t="s">
        <v>804</v>
      </c>
      <c r="F104">
        <v>14.128008455</v>
      </c>
      <c r="G104">
        <v>14.1467862449935</v>
      </c>
      <c r="H104">
        <v>11.423743999999999</v>
      </c>
    </row>
    <row r="105" spans="1:8" x14ac:dyDescent="0.2">
      <c r="A105">
        <v>3000</v>
      </c>
      <c r="B105">
        <v>5</v>
      </c>
      <c r="D105" t="str">
        <f t="shared" si="1"/>
        <v>3000-05</v>
      </c>
      <c r="E105" t="s">
        <v>804</v>
      </c>
      <c r="F105">
        <v>35.649955820999999</v>
      </c>
      <c r="G105">
        <v>35.685119453992201</v>
      </c>
      <c r="H105">
        <v>16.969728</v>
      </c>
    </row>
    <row r="106" spans="1:8" x14ac:dyDescent="0.2">
      <c r="A106">
        <v>3000</v>
      </c>
      <c r="B106">
        <v>6</v>
      </c>
      <c r="D106" t="str">
        <f t="shared" si="1"/>
        <v>3000-06</v>
      </c>
      <c r="E106" t="s">
        <v>804</v>
      </c>
      <c r="F106">
        <v>17.664125491</v>
      </c>
      <c r="G106">
        <v>17.677332671999402</v>
      </c>
      <c r="H106">
        <v>12.427263999999999</v>
      </c>
    </row>
    <row r="107" spans="1:8" x14ac:dyDescent="0.2">
      <c r="A107">
        <v>3000</v>
      </c>
      <c r="B107">
        <v>7</v>
      </c>
      <c r="D107" t="str">
        <f t="shared" si="1"/>
        <v>3000-07</v>
      </c>
      <c r="E107" t="s">
        <v>804</v>
      </c>
      <c r="F107">
        <v>198.69364060699999</v>
      </c>
      <c r="G107">
        <v>208.350642993988</v>
      </c>
      <c r="H107">
        <v>10.67008</v>
      </c>
    </row>
    <row r="108" spans="1:8" x14ac:dyDescent="0.2">
      <c r="A108">
        <v>3000</v>
      </c>
      <c r="B108">
        <v>8</v>
      </c>
      <c r="D108" t="str">
        <f t="shared" si="1"/>
        <v>3000-08</v>
      </c>
      <c r="E108" t="s">
        <v>804</v>
      </c>
      <c r="F108">
        <v>16.291076357000001</v>
      </c>
      <c r="G108">
        <v>20.487988797016399</v>
      </c>
      <c r="H108">
        <v>16.019456000000002</v>
      </c>
    </row>
    <row r="109" spans="1:8" x14ac:dyDescent="0.2">
      <c r="A109">
        <v>3000</v>
      </c>
      <c r="B109">
        <v>9</v>
      </c>
      <c r="D109" t="str">
        <f t="shared" si="1"/>
        <v>3000-09</v>
      </c>
      <c r="E109" t="s">
        <v>804</v>
      </c>
      <c r="F109">
        <v>21.715078884</v>
      </c>
      <c r="G109">
        <v>21.827627120015599</v>
      </c>
      <c r="H109">
        <v>11.558911999999999</v>
      </c>
    </row>
    <row r="110" spans="1:8" x14ac:dyDescent="0.2">
      <c r="A110">
        <v>4000</v>
      </c>
      <c r="B110">
        <v>1</v>
      </c>
      <c r="D110" t="str">
        <f t="shared" si="1"/>
        <v>4000-01</v>
      </c>
      <c r="E110" t="s">
        <v>804</v>
      </c>
      <c r="F110">
        <v>53.898992434999997</v>
      </c>
      <c r="G110">
        <v>54.087946946965502</v>
      </c>
      <c r="H110">
        <v>14.467072</v>
      </c>
    </row>
    <row r="111" spans="1:8" x14ac:dyDescent="0.2">
      <c r="A111">
        <v>4000</v>
      </c>
      <c r="B111">
        <v>2</v>
      </c>
      <c r="D111" t="str">
        <f t="shared" si="1"/>
        <v>4000-02</v>
      </c>
      <c r="E111" t="s">
        <v>804</v>
      </c>
      <c r="F111">
        <v>12.868860476</v>
      </c>
      <c r="G111">
        <v>12.897848166991</v>
      </c>
      <c r="H111">
        <v>15.40096</v>
      </c>
    </row>
    <row r="112" spans="1:8" x14ac:dyDescent="0.2">
      <c r="A112">
        <v>4000</v>
      </c>
      <c r="B112">
        <v>3</v>
      </c>
      <c r="D112" t="str">
        <f t="shared" si="1"/>
        <v>4000-03</v>
      </c>
      <c r="E112" t="s">
        <v>792</v>
      </c>
      <c r="F112">
        <v>900.44184959400002</v>
      </c>
      <c r="G112">
        <v>901.00578978797398</v>
      </c>
      <c r="H112">
        <v>10.50624</v>
      </c>
    </row>
    <row r="113" spans="1:8" x14ac:dyDescent="0.2">
      <c r="A113">
        <v>4000</v>
      </c>
      <c r="B113">
        <v>4</v>
      </c>
      <c r="D113" t="str">
        <f t="shared" si="1"/>
        <v>4000-04</v>
      </c>
      <c r="E113" t="s">
        <v>804</v>
      </c>
      <c r="F113">
        <v>6.0397597459999997</v>
      </c>
      <c r="G113">
        <v>6.0479955750051797</v>
      </c>
      <c r="H113">
        <v>15.335424</v>
      </c>
    </row>
    <row r="114" spans="1:8" x14ac:dyDescent="0.2">
      <c r="A114">
        <v>4000</v>
      </c>
      <c r="B114">
        <v>5</v>
      </c>
      <c r="D114" t="str">
        <f t="shared" si="1"/>
        <v>4000-05</v>
      </c>
      <c r="E114" t="s">
        <v>804</v>
      </c>
      <c r="F114">
        <v>140.63105129600001</v>
      </c>
      <c r="G114">
        <v>140.747374557016</v>
      </c>
      <c r="H114">
        <v>16.674816</v>
      </c>
    </row>
    <row r="115" spans="1:8" x14ac:dyDescent="0.2">
      <c r="A115">
        <v>4000</v>
      </c>
      <c r="B115">
        <v>6</v>
      </c>
      <c r="D115" t="str">
        <f t="shared" si="1"/>
        <v>4000-06</v>
      </c>
      <c r="E115" t="s">
        <v>804</v>
      </c>
      <c r="F115">
        <v>14.773230993</v>
      </c>
      <c r="G115">
        <v>15.291067974991099</v>
      </c>
      <c r="H115">
        <v>16.056319999999999</v>
      </c>
    </row>
    <row r="116" spans="1:8" x14ac:dyDescent="0.2">
      <c r="A116">
        <v>4000</v>
      </c>
      <c r="B116">
        <v>7</v>
      </c>
      <c r="D116" t="str">
        <f t="shared" si="1"/>
        <v>4000-07</v>
      </c>
      <c r="E116" t="s">
        <v>804</v>
      </c>
      <c r="F116">
        <v>26.283063145</v>
      </c>
      <c r="G116">
        <v>26.738623092998701</v>
      </c>
      <c r="H116">
        <v>17.457152000000001</v>
      </c>
    </row>
    <row r="117" spans="1:8" x14ac:dyDescent="0.2">
      <c r="A117">
        <v>4000</v>
      </c>
      <c r="B117">
        <v>8</v>
      </c>
      <c r="D117" t="str">
        <f t="shared" si="1"/>
        <v>4000-08</v>
      </c>
      <c r="E117" t="s">
        <v>804</v>
      </c>
      <c r="F117">
        <v>5.7478327159999996</v>
      </c>
      <c r="G117">
        <v>5.7558561780024302</v>
      </c>
      <c r="H117">
        <v>15.491072000000001</v>
      </c>
    </row>
    <row r="118" spans="1:8" x14ac:dyDescent="0.2">
      <c r="A118">
        <v>4000</v>
      </c>
      <c r="B118">
        <v>9</v>
      </c>
      <c r="D118" t="str">
        <f t="shared" si="1"/>
        <v>4000-09</v>
      </c>
      <c r="E118" t="s">
        <v>804</v>
      </c>
      <c r="F118">
        <v>146.62841387700001</v>
      </c>
      <c r="G118">
        <v>211.036171736021</v>
      </c>
      <c r="H118">
        <v>19.935231999999999</v>
      </c>
    </row>
    <row r="119" spans="1:8" x14ac:dyDescent="0.2">
      <c r="A119">
        <v>5000</v>
      </c>
      <c r="B119">
        <v>1</v>
      </c>
      <c r="D119" t="str">
        <f t="shared" si="1"/>
        <v>5000-01</v>
      </c>
      <c r="E119" t="s">
        <v>804</v>
      </c>
      <c r="F119">
        <v>24.339470887000001</v>
      </c>
      <c r="G119">
        <v>31.878185003006301</v>
      </c>
      <c r="H119">
        <v>9.9942399999999996</v>
      </c>
    </row>
    <row r="120" spans="1:8" x14ac:dyDescent="0.2">
      <c r="A120">
        <v>5000</v>
      </c>
      <c r="B120">
        <v>2</v>
      </c>
      <c r="D120" t="str">
        <f t="shared" si="1"/>
        <v>5000-02</v>
      </c>
      <c r="E120" t="s">
        <v>804</v>
      </c>
      <c r="F120">
        <v>2.8535741489999999</v>
      </c>
      <c r="G120">
        <v>2.8588329809717798</v>
      </c>
      <c r="H120">
        <v>10.752000000000001</v>
      </c>
    </row>
    <row r="121" spans="1:8" x14ac:dyDescent="0.2">
      <c r="A121">
        <v>5000</v>
      </c>
      <c r="B121">
        <v>3</v>
      </c>
      <c r="D121" t="str">
        <f t="shared" si="1"/>
        <v>5000-03</v>
      </c>
      <c r="E121" t="s">
        <v>804</v>
      </c>
      <c r="F121">
        <v>133.571838238</v>
      </c>
      <c r="G121">
        <v>232.43323395703899</v>
      </c>
      <c r="H121">
        <v>11.567104</v>
      </c>
    </row>
    <row r="122" spans="1:8" x14ac:dyDescent="0.2">
      <c r="A122">
        <v>5000</v>
      </c>
      <c r="B122">
        <v>4</v>
      </c>
      <c r="D122" t="str">
        <f t="shared" si="1"/>
        <v>5000-04</v>
      </c>
      <c r="E122" t="s">
        <v>804</v>
      </c>
      <c r="F122">
        <v>1.359579461</v>
      </c>
      <c r="G122">
        <v>2.2147117399726901</v>
      </c>
      <c r="H122">
        <v>9.756672</v>
      </c>
    </row>
    <row r="123" spans="1:8" x14ac:dyDescent="0.2">
      <c r="A123">
        <v>5000</v>
      </c>
      <c r="B123">
        <v>5</v>
      </c>
      <c r="D123" t="str">
        <f t="shared" si="1"/>
        <v>5000-05</v>
      </c>
      <c r="E123" t="s">
        <v>804</v>
      </c>
      <c r="F123">
        <v>43.585745586000002</v>
      </c>
      <c r="G123">
        <v>47.7855700340005</v>
      </c>
      <c r="H123">
        <v>13.082623999999999</v>
      </c>
    </row>
    <row r="124" spans="1:8" x14ac:dyDescent="0.2">
      <c r="A124">
        <v>5000</v>
      </c>
      <c r="B124">
        <v>6</v>
      </c>
      <c r="D124" t="str">
        <f t="shared" si="1"/>
        <v>5000-06</v>
      </c>
      <c r="E124" t="s">
        <v>804</v>
      </c>
      <c r="F124">
        <v>6.7601678649999997</v>
      </c>
      <c r="G124">
        <v>6.7784070959896701</v>
      </c>
      <c r="H124">
        <v>10.964992000000001</v>
      </c>
    </row>
    <row r="125" spans="1:8" x14ac:dyDescent="0.2">
      <c r="A125">
        <v>5000</v>
      </c>
      <c r="B125">
        <v>7</v>
      </c>
      <c r="D125" t="str">
        <f t="shared" si="1"/>
        <v>5000-07</v>
      </c>
      <c r="E125" t="s">
        <v>804</v>
      </c>
      <c r="F125">
        <v>3.047682451</v>
      </c>
      <c r="G125">
        <v>3.0752700699958901</v>
      </c>
      <c r="H125">
        <v>13.512703999999999</v>
      </c>
    </row>
    <row r="126" spans="1:8" x14ac:dyDescent="0.2">
      <c r="A126">
        <v>5000</v>
      </c>
      <c r="B126">
        <v>8</v>
      </c>
      <c r="D126" t="str">
        <f t="shared" si="1"/>
        <v>5000-08</v>
      </c>
      <c r="E126" t="s">
        <v>804</v>
      </c>
      <c r="F126">
        <v>3.8840626669999998</v>
      </c>
      <c r="G126">
        <v>3.92612941400147</v>
      </c>
      <c r="H126">
        <v>12.054527999999999</v>
      </c>
    </row>
    <row r="127" spans="1:8" x14ac:dyDescent="0.2">
      <c r="A127">
        <v>5000</v>
      </c>
      <c r="B127">
        <v>9</v>
      </c>
      <c r="D127" t="str">
        <f t="shared" si="1"/>
        <v>5000-09</v>
      </c>
      <c r="E127" t="s">
        <v>804</v>
      </c>
      <c r="F127">
        <v>4.6231359830000001</v>
      </c>
      <c r="G127">
        <v>4.6468080040067399</v>
      </c>
      <c r="H127">
        <v>10.747904</v>
      </c>
    </row>
    <row r="128" spans="1:8" x14ac:dyDescent="0.2">
      <c r="A128">
        <v>6000</v>
      </c>
      <c r="B128">
        <v>1</v>
      </c>
      <c r="D128" t="str">
        <f t="shared" si="1"/>
        <v>6000-01</v>
      </c>
      <c r="E128" t="s">
        <v>804</v>
      </c>
      <c r="F128">
        <v>23.815116099000001</v>
      </c>
      <c r="G128">
        <v>23.8665980409714</v>
      </c>
      <c r="H128">
        <v>16.285696000000002</v>
      </c>
    </row>
    <row r="129" spans="1:8" x14ac:dyDescent="0.2">
      <c r="A129">
        <v>6000</v>
      </c>
      <c r="B129">
        <v>2</v>
      </c>
      <c r="D129" t="str">
        <f t="shared" si="1"/>
        <v>6000-02</v>
      </c>
      <c r="E129" t="s">
        <v>792</v>
      </c>
      <c r="F129">
        <v>600.803342219</v>
      </c>
      <c r="G129">
        <v>931.75088262802399</v>
      </c>
      <c r="H129">
        <v>28.85632</v>
      </c>
    </row>
    <row r="130" spans="1:8" x14ac:dyDescent="0.2">
      <c r="A130">
        <v>6000</v>
      </c>
      <c r="B130">
        <v>3</v>
      </c>
      <c r="D130" t="str">
        <f t="shared" si="1"/>
        <v>6000-03</v>
      </c>
      <c r="E130" t="s">
        <v>804</v>
      </c>
      <c r="F130">
        <v>10.592432832</v>
      </c>
      <c r="G130">
        <v>12.086524488986401</v>
      </c>
      <c r="H130">
        <v>14.864383999999999</v>
      </c>
    </row>
    <row r="131" spans="1:8" x14ac:dyDescent="0.2">
      <c r="A131">
        <v>6000</v>
      </c>
      <c r="B131">
        <v>4</v>
      </c>
      <c r="D131" t="str">
        <f t="shared" ref="D131:D172" si="2">A131&amp;"-0"&amp;B131</f>
        <v>6000-04</v>
      </c>
      <c r="E131" t="s">
        <v>792</v>
      </c>
      <c r="F131">
        <v>901.003196452</v>
      </c>
      <c r="G131">
        <v>902.64718191098598</v>
      </c>
      <c r="H131">
        <v>11.997184000000001</v>
      </c>
    </row>
    <row r="132" spans="1:8" x14ac:dyDescent="0.2">
      <c r="A132">
        <v>6000</v>
      </c>
      <c r="B132">
        <v>5</v>
      </c>
      <c r="D132" t="str">
        <f t="shared" si="2"/>
        <v>6000-05</v>
      </c>
      <c r="E132" t="s">
        <v>792</v>
      </c>
      <c r="F132">
        <v>900.05046976899996</v>
      </c>
      <c r="G132">
        <v>901.00760478101404</v>
      </c>
      <c r="H132">
        <v>12.34944</v>
      </c>
    </row>
    <row r="133" spans="1:8" x14ac:dyDescent="0.2">
      <c r="A133">
        <v>6000</v>
      </c>
      <c r="B133">
        <v>6</v>
      </c>
      <c r="D133" t="str">
        <f t="shared" si="2"/>
        <v>6000-06</v>
      </c>
      <c r="E133" t="s">
        <v>804</v>
      </c>
      <c r="F133">
        <v>4.4251481720000001</v>
      </c>
      <c r="G133">
        <v>4.8717568379943197</v>
      </c>
      <c r="H133">
        <v>16.73216</v>
      </c>
    </row>
    <row r="134" spans="1:8" x14ac:dyDescent="0.2">
      <c r="A134">
        <v>6000</v>
      </c>
      <c r="B134">
        <v>7</v>
      </c>
      <c r="D134" t="str">
        <f t="shared" si="2"/>
        <v>6000-07</v>
      </c>
      <c r="E134" t="s">
        <v>792</v>
      </c>
      <c r="F134">
        <v>901.00234471800002</v>
      </c>
      <c r="G134">
        <v>902.04586682602496</v>
      </c>
      <c r="H134">
        <v>12.787712000000001</v>
      </c>
    </row>
    <row r="135" spans="1:8" x14ac:dyDescent="0.2">
      <c r="A135">
        <v>6000</v>
      </c>
      <c r="B135">
        <v>8</v>
      </c>
      <c r="D135" t="str">
        <f t="shared" si="2"/>
        <v>6000-08</v>
      </c>
      <c r="E135" t="s">
        <v>792</v>
      </c>
      <c r="F135">
        <v>901.00339124200002</v>
      </c>
      <c r="G135">
        <v>905.12513281899703</v>
      </c>
      <c r="H135">
        <v>13.684735999999999</v>
      </c>
    </row>
    <row r="136" spans="1:8" x14ac:dyDescent="0.2">
      <c r="A136">
        <v>6000</v>
      </c>
      <c r="B136">
        <v>9</v>
      </c>
      <c r="D136" t="str">
        <f t="shared" si="2"/>
        <v>6000-09</v>
      </c>
      <c r="E136" t="s">
        <v>804</v>
      </c>
      <c r="F136">
        <v>13.941323619</v>
      </c>
      <c r="G136">
        <v>19.1320276859914</v>
      </c>
      <c r="H136">
        <v>17.047552</v>
      </c>
    </row>
    <row r="137" spans="1:8" x14ac:dyDescent="0.2">
      <c r="A137">
        <v>7000</v>
      </c>
      <c r="B137">
        <v>1</v>
      </c>
      <c r="D137" t="str">
        <f t="shared" si="2"/>
        <v>7000-01</v>
      </c>
      <c r="E137" t="s">
        <v>804</v>
      </c>
      <c r="F137">
        <v>13.794756867</v>
      </c>
      <c r="G137">
        <v>18.928344154031901</v>
      </c>
      <c r="H137">
        <v>10.964992000000001</v>
      </c>
    </row>
    <row r="138" spans="1:8" x14ac:dyDescent="0.2">
      <c r="A138">
        <v>7000</v>
      </c>
      <c r="B138">
        <v>2</v>
      </c>
      <c r="D138" t="str">
        <f t="shared" si="2"/>
        <v>7000-02</v>
      </c>
      <c r="E138" t="s">
        <v>804</v>
      </c>
      <c r="F138">
        <v>30.972836892</v>
      </c>
      <c r="G138">
        <v>206.11607283598201</v>
      </c>
      <c r="H138">
        <v>10.514431999999999</v>
      </c>
    </row>
    <row r="139" spans="1:8" x14ac:dyDescent="0.2">
      <c r="A139">
        <v>7000</v>
      </c>
      <c r="B139">
        <v>3</v>
      </c>
      <c r="D139" t="str">
        <f t="shared" si="2"/>
        <v>7000-03</v>
      </c>
      <c r="E139" t="s">
        <v>804</v>
      </c>
      <c r="F139">
        <v>5.1756050079999998</v>
      </c>
      <c r="G139">
        <v>10.676059465040399</v>
      </c>
      <c r="H139">
        <v>10.8544</v>
      </c>
    </row>
    <row r="140" spans="1:8" x14ac:dyDescent="0.2">
      <c r="A140">
        <v>7000</v>
      </c>
      <c r="B140">
        <v>4</v>
      </c>
      <c r="D140" t="str">
        <f t="shared" si="2"/>
        <v>7000-04</v>
      </c>
      <c r="E140" t="s">
        <v>804</v>
      </c>
      <c r="F140">
        <v>65.515282455999994</v>
      </c>
      <c r="G140">
        <v>112.453142573009</v>
      </c>
      <c r="H140">
        <v>12.337152</v>
      </c>
    </row>
    <row r="141" spans="1:8" x14ac:dyDescent="0.2">
      <c r="A141">
        <v>7000</v>
      </c>
      <c r="B141">
        <v>5</v>
      </c>
      <c r="D141" t="str">
        <f t="shared" si="2"/>
        <v>7000-05</v>
      </c>
      <c r="E141" t="s">
        <v>804</v>
      </c>
      <c r="F141">
        <v>6.0062686709999999</v>
      </c>
      <c r="G141">
        <v>30.688160289951998</v>
      </c>
      <c r="H141">
        <v>10.928127999999999</v>
      </c>
    </row>
    <row r="142" spans="1:8" x14ac:dyDescent="0.2">
      <c r="A142">
        <v>7000</v>
      </c>
      <c r="B142">
        <v>6</v>
      </c>
      <c r="D142" t="str">
        <f t="shared" si="2"/>
        <v>7000-06</v>
      </c>
      <c r="E142" t="s">
        <v>804</v>
      </c>
      <c r="F142">
        <v>3.7792813179999998</v>
      </c>
      <c r="G142">
        <v>17.252179417002399</v>
      </c>
      <c r="H142">
        <v>10.006527999999999</v>
      </c>
    </row>
    <row r="143" spans="1:8" x14ac:dyDescent="0.2">
      <c r="A143">
        <v>7000</v>
      </c>
      <c r="B143">
        <v>7</v>
      </c>
      <c r="D143" t="str">
        <f t="shared" si="2"/>
        <v>7000-07</v>
      </c>
      <c r="E143" t="s">
        <v>804</v>
      </c>
      <c r="F143">
        <v>107.979159994</v>
      </c>
      <c r="G143">
        <v>275.31893949099998</v>
      </c>
      <c r="H143">
        <v>16.052223999999999</v>
      </c>
    </row>
    <row r="144" spans="1:8" x14ac:dyDescent="0.2">
      <c r="A144">
        <v>7000</v>
      </c>
      <c r="B144">
        <v>8</v>
      </c>
      <c r="D144" t="str">
        <f t="shared" si="2"/>
        <v>7000-08</v>
      </c>
      <c r="E144" t="s">
        <v>804</v>
      </c>
      <c r="F144">
        <v>4.185578317</v>
      </c>
      <c r="G144">
        <v>21.836236255010501</v>
      </c>
      <c r="H144">
        <v>10.0352</v>
      </c>
    </row>
    <row r="145" spans="1:8" x14ac:dyDescent="0.2">
      <c r="A145">
        <v>7000</v>
      </c>
      <c r="B145">
        <v>9</v>
      </c>
      <c r="D145" t="str">
        <f t="shared" si="2"/>
        <v>7000-09</v>
      </c>
      <c r="E145" t="s">
        <v>804</v>
      </c>
      <c r="F145">
        <v>4.0805743440000004</v>
      </c>
      <c r="G145">
        <v>13.7063237960101</v>
      </c>
      <c r="H145">
        <v>10.69056</v>
      </c>
    </row>
    <row r="146" spans="1:8" x14ac:dyDescent="0.2">
      <c r="A146">
        <v>8000</v>
      </c>
      <c r="B146">
        <v>1</v>
      </c>
      <c r="D146" t="str">
        <f t="shared" si="2"/>
        <v>8000-01</v>
      </c>
      <c r="E146" t="s">
        <v>792</v>
      </c>
      <c r="F146">
        <v>6.2135849309999998</v>
      </c>
      <c r="G146">
        <v>931.34219684498305</v>
      </c>
      <c r="H146">
        <v>16.588799999999999</v>
      </c>
    </row>
    <row r="147" spans="1:8" x14ac:dyDescent="0.2">
      <c r="A147">
        <v>8000</v>
      </c>
      <c r="B147">
        <v>2</v>
      </c>
      <c r="D147" t="str">
        <f t="shared" si="2"/>
        <v>8000-02</v>
      </c>
      <c r="E147" t="s">
        <v>792</v>
      </c>
      <c r="F147">
        <v>1.0427747030000001</v>
      </c>
      <c r="G147">
        <v>931.34778231603502</v>
      </c>
      <c r="H147">
        <v>7.4178559999999996</v>
      </c>
    </row>
    <row r="148" spans="1:8" x14ac:dyDescent="0.2">
      <c r="A148">
        <v>8000</v>
      </c>
      <c r="B148">
        <v>3</v>
      </c>
      <c r="D148" t="str">
        <f t="shared" si="2"/>
        <v>8000-03</v>
      </c>
      <c r="E148" t="s">
        <v>792</v>
      </c>
      <c r="F148">
        <v>1.0727561999999999</v>
      </c>
      <c r="G148">
        <v>931.00976563204301</v>
      </c>
      <c r="H148">
        <v>7.4178559999999996</v>
      </c>
    </row>
    <row r="149" spans="1:8" x14ac:dyDescent="0.2">
      <c r="A149">
        <v>8000</v>
      </c>
      <c r="B149">
        <v>4</v>
      </c>
      <c r="D149" t="str">
        <f t="shared" si="2"/>
        <v>8000-04</v>
      </c>
      <c r="E149" t="s">
        <v>792</v>
      </c>
      <c r="F149">
        <v>1.1369246820000001</v>
      </c>
      <c r="G149">
        <v>931.07409420702595</v>
      </c>
      <c r="H149">
        <v>7.4260479999999998</v>
      </c>
    </row>
    <row r="150" spans="1:8" x14ac:dyDescent="0.2">
      <c r="A150">
        <v>8000</v>
      </c>
      <c r="B150">
        <v>5</v>
      </c>
      <c r="D150" t="str">
        <f t="shared" si="2"/>
        <v>8000-05</v>
      </c>
      <c r="E150" t="s">
        <v>792</v>
      </c>
      <c r="F150">
        <v>1.0679179130000001</v>
      </c>
      <c r="G150">
        <v>931.45249365997699</v>
      </c>
      <c r="H150">
        <v>7.507968</v>
      </c>
    </row>
    <row r="151" spans="1:8" x14ac:dyDescent="0.2">
      <c r="A151">
        <v>8000</v>
      </c>
      <c r="B151">
        <v>6</v>
      </c>
      <c r="D151" t="str">
        <f t="shared" si="2"/>
        <v>8000-06</v>
      </c>
      <c r="E151" t="s">
        <v>792</v>
      </c>
      <c r="F151">
        <v>1.1455373950000001</v>
      </c>
      <c r="G151">
        <v>931.23037486796898</v>
      </c>
      <c r="H151">
        <v>7.4711040000000004</v>
      </c>
    </row>
    <row r="152" spans="1:8" x14ac:dyDescent="0.2">
      <c r="A152">
        <v>8000</v>
      </c>
      <c r="B152">
        <v>7</v>
      </c>
      <c r="D152" t="str">
        <f t="shared" si="2"/>
        <v>8000-07</v>
      </c>
      <c r="E152" t="s">
        <v>792</v>
      </c>
      <c r="F152">
        <v>1.145083085</v>
      </c>
      <c r="G152">
        <v>931.141787864035</v>
      </c>
      <c r="H152">
        <v>7.5038720000000003</v>
      </c>
    </row>
    <row r="153" spans="1:8" x14ac:dyDescent="0.2">
      <c r="A153">
        <v>8000</v>
      </c>
      <c r="B153">
        <v>8</v>
      </c>
      <c r="D153" t="str">
        <f t="shared" si="2"/>
        <v>8000-08</v>
      </c>
      <c r="E153" t="s">
        <v>792</v>
      </c>
      <c r="F153">
        <v>1.2227891280000001</v>
      </c>
      <c r="G153">
        <v>931.02904753002804</v>
      </c>
      <c r="H153">
        <v>7.5120639999999996</v>
      </c>
    </row>
    <row r="154" spans="1:8" x14ac:dyDescent="0.2">
      <c r="A154">
        <v>8000</v>
      </c>
      <c r="B154">
        <v>9</v>
      </c>
      <c r="D154" t="str">
        <f t="shared" si="2"/>
        <v>8000-09</v>
      </c>
      <c r="E154" t="s">
        <v>792</v>
      </c>
      <c r="F154">
        <v>1.2415517599999999</v>
      </c>
      <c r="G154">
        <v>931.16858332301399</v>
      </c>
      <c r="H154">
        <v>7.4997759999999998</v>
      </c>
    </row>
    <row r="155" spans="1:8" x14ac:dyDescent="0.2">
      <c r="A155">
        <v>9000</v>
      </c>
      <c r="B155">
        <v>1</v>
      </c>
      <c r="D155" t="str">
        <f t="shared" si="2"/>
        <v>9000-01</v>
      </c>
      <c r="E155" t="s">
        <v>792</v>
      </c>
      <c r="F155">
        <v>0.61179676900000002</v>
      </c>
      <c r="G155">
        <v>931.54928323999002</v>
      </c>
      <c r="H155">
        <v>3.1825920000000001</v>
      </c>
    </row>
    <row r="156" spans="1:8" x14ac:dyDescent="0.2">
      <c r="A156">
        <v>9000</v>
      </c>
      <c r="B156">
        <v>2</v>
      </c>
      <c r="D156" t="str">
        <f t="shared" si="2"/>
        <v>9000-02</v>
      </c>
      <c r="E156" t="s">
        <v>792</v>
      </c>
      <c r="F156">
        <v>0.59930124699999998</v>
      </c>
      <c r="G156">
        <v>931.11815519898596</v>
      </c>
      <c r="H156">
        <v>3.1866880000000002</v>
      </c>
    </row>
    <row r="157" spans="1:8" x14ac:dyDescent="0.2">
      <c r="A157">
        <v>9000</v>
      </c>
      <c r="B157">
        <v>3</v>
      </c>
      <c r="D157" t="str">
        <f t="shared" si="2"/>
        <v>9000-03</v>
      </c>
      <c r="E157" t="s">
        <v>792</v>
      </c>
      <c r="F157">
        <v>0.64983621199999997</v>
      </c>
      <c r="G157">
        <v>931.57957965799096</v>
      </c>
      <c r="H157">
        <v>3.1743999999999999</v>
      </c>
    </row>
    <row r="158" spans="1:8" x14ac:dyDescent="0.2">
      <c r="A158">
        <v>9000</v>
      </c>
      <c r="B158">
        <v>4</v>
      </c>
      <c r="D158" t="str">
        <f t="shared" si="2"/>
        <v>9000-04</v>
      </c>
      <c r="E158" t="s">
        <v>792</v>
      </c>
      <c r="F158">
        <v>0.59855913299999997</v>
      </c>
      <c r="G158">
        <v>931.04348857200205</v>
      </c>
      <c r="H158">
        <v>3.1825920000000001</v>
      </c>
    </row>
    <row r="159" spans="1:8" x14ac:dyDescent="0.2">
      <c r="A159">
        <v>9000</v>
      </c>
      <c r="B159">
        <v>5</v>
      </c>
      <c r="D159" t="str">
        <f t="shared" si="2"/>
        <v>9000-05</v>
      </c>
      <c r="E159" t="s">
        <v>792</v>
      </c>
      <c r="F159">
        <v>0.58014813799999998</v>
      </c>
      <c r="G159">
        <v>931.02589994703806</v>
      </c>
      <c r="H159">
        <v>3.1825920000000001</v>
      </c>
    </row>
    <row r="160" spans="1:8" x14ac:dyDescent="0.2">
      <c r="A160">
        <v>9000</v>
      </c>
      <c r="B160">
        <v>6</v>
      </c>
      <c r="D160" t="str">
        <f t="shared" si="2"/>
        <v>9000-06</v>
      </c>
      <c r="E160" t="s">
        <v>792</v>
      </c>
      <c r="F160">
        <v>0.56506208400000002</v>
      </c>
      <c r="G160">
        <v>931.16621306701495</v>
      </c>
      <c r="H160">
        <v>3.162112</v>
      </c>
    </row>
    <row r="161" spans="1:8" x14ac:dyDescent="0.2">
      <c r="A161">
        <v>9000</v>
      </c>
      <c r="B161">
        <v>7</v>
      </c>
      <c r="D161" t="str">
        <f t="shared" si="2"/>
        <v>9000-07</v>
      </c>
      <c r="E161" t="s">
        <v>792</v>
      </c>
      <c r="F161">
        <v>0.568825303</v>
      </c>
      <c r="G161">
        <v>931.05851781798901</v>
      </c>
      <c r="H161">
        <v>3.1580159999999999</v>
      </c>
    </row>
    <row r="162" spans="1:8" x14ac:dyDescent="0.2">
      <c r="A162">
        <v>9000</v>
      </c>
      <c r="B162">
        <v>8</v>
      </c>
      <c r="D162" t="str">
        <f t="shared" si="2"/>
        <v>9000-08</v>
      </c>
      <c r="E162" t="s">
        <v>792</v>
      </c>
      <c r="F162">
        <v>0.55977568700000002</v>
      </c>
      <c r="G162">
        <v>931.49377726495698</v>
      </c>
      <c r="H162">
        <v>3.1825920000000001</v>
      </c>
    </row>
    <row r="163" spans="1:8" x14ac:dyDescent="0.2">
      <c r="A163">
        <v>9000</v>
      </c>
      <c r="B163">
        <v>9</v>
      </c>
      <c r="D163" t="str">
        <f t="shared" si="2"/>
        <v>9000-09</v>
      </c>
      <c r="E163" t="s">
        <v>792</v>
      </c>
      <c r="F163">
        <v>0.65452885199999999</v>
      </c>
      <c r="G163">
        <v>931.367420391005</v>
      </c>
      <c r="H163">
        <v>3.1662080000000001</v>
      </c>
    </row>
    <row r="164" spans="1:8" x14ac:dyDescent="0.2">
      <c r="A164">
        <v>10000</v>
      </c>
      <c r="B164">
        <v>1</v>
      </c>
      <c r="D164" t="str">
        <f t="shared" si="2"/>
        <v>10000-01</v>
      </c>
      <c r="E164" t="s">
        <v>792</v>
      </c>
      <c r="F164">
        <v>1.2533375659999999</v>
      </c>
      <c r="G164">
        <v>931.01951157499502</v>
      </c>
      <c r="H164">
        <v>8.0281599999999997</v>
      </c>
    </row>
    <row r="165" spans="1:8" x14ac:dyDescent="0.2">
      <c r="A165">
        <v>10000</v>
      </c>
      <c r="B165">
        <v>2</v>
      </c>
      <c r="D165" t="str">
        <f t="shared" si="2"/>
        <v>10000-02</v>
      </c>
      <c r="E165" t="s">
        <v>792</v>
      </c>
      <c r="F165">
        <v>1.2205416280000001</v>
      </c>
      <c r="G165">
        <v>931.06428180501098</v>
      </c>
      <c r="H165">
        <v>7.9544319999999997</v>
      </c>
    </row>
    <row r="166" spans="1:8" x14ac:dyDescent="0.2">
      <c r="A166">
        <v>10000</v>
      </c>
      <c r="B166">
        <v>3</v>
      </c>
      <c r="D166" t="str">
        <f t="shared" si="2"/>
        <v>10000-03</v>
      </c>
      <c r="E166" t="s">
        <v>792</v>
      </c>
      <c r="F166">
        <v>1.2508747259999999</v>
      </c>
      <c r="G166">
        <v>931.06938574195306</v>
      </c>
      <c r="H166">
        <v>8.0322560000000003</v>
      </c>
    </row>
    <row r="167" spans="1:8" x14ac:dyDescent="0.2">
      <c r="A167">
        <v>10000</v>
      </c>
      <c r="B167">
        <v>4</v>
      </c>
      <c r="D167" t="str">
        <f t="shared" si="2"/>
        <v>10000-04</v>
      </c>
      <c r="E167" t="s">
        <v>792</v>
      </c>
      <c r="F167">
        <v>1.2764500759999999</v>
      </c>
      <c r="G167">
        <v>931.09569063194795</v>
      </c>
      <c r="H167">
        <v>7.9994880000000004</v>
      </c>
    </row>
    <row r="168" spans="1:8" x14ac:dyDescent="0.2">
      <c r="A168">
        <v>10000</v>
      </c>
      <c r="B168">
        <v>5</v>
      </c>
      <c r="D168" t="str">
        <f t="shared" si="2"/>
        <v>10000-05</v>
      </c>
      <c r="E168" t="s">
        <v>792</v>
      </c>
      <c r="F168">
        <v>1.260143163</v>
      </c>
      <c r="G168">
        <v>931.27583938999999</v>
      </c>
      <c r="H168">
        <v>8.0240639999999992</v>
      </c>
    </row>
    <row r="169" spans="1:8" x14ac:dyDescent="0.2">
      <c r="A169">
        <v>10000</v>
      </c>
      <c r="B169">
        <v>6</v>
      </c>
      <c r="D169" t="str">
        <f t="shared" si="2"/>
        <v>10000-06</v>
      </c>
      <c r="E169" t="s">
        <v>792</v>
      </c>
      <c r="F169">
        <v>1.345610129</v>
      </c>
      <c r="G169">
        <v>931.12067686900195</v>
      </c>
      <c r="H169">
        <v>8.0281599999999997</v>
      </c>
    </row>
    <row r="170" spans="1:8" x14ac:dyDescent="0.2">
      <c r="A170">
        <v>10000</v>
      </c>
      <c r="B170">
        <v>7</v>
      </c>
      <c r="D170" t="str">
        <f t="shared" si="2"/>
        <v>10000-07</v>
      </c>
      <c r="E170" t="s">
        <v>792</v>
      </c>
      <c r="F170">
        <v>1.3474661489999999</v>
      </c>
      <c r="G170">
        <v>931.06665165902803</v>
      </c>
      <c r="H170">
        <v>8.0486400000000007</v>
      </c>
    </row>
    <row r="171" spans="1:8" x14ac:dyDescent="0.2">
      <c r="A171">
        <v>10000</v>
      </c>
      <c r="B171">
        <v>8</v>
      </c>
      <c r="D171" t="str">
        <f t="shared" si="2"/>
        <v>10000-08</v>
      </c>
      <c r="E171" t="s">
        <v>804</v>
      </c>
      <c r="F171">
        <v>3.3874837100000001</v>
      </c>
      <c r="G171">
        <v>783.70260508399201</v>
      </c>
      <c r="H171">
        <v>17.457152000000001</v>
      </c>
    </row>
    <row r="172" spans="1:8" x14ac:dyDescent="0.2">
      <c r="A172">
        <v>10000</v>
      </c>
      <c r="B172">
        <v>9</v>
      </c>
      <c r="D172" t="str">
        <f t="shared" si="2"/>
        <v>10000-09</v>
      </c>
      <c r="E172" t="s">
        <v>804</v>
      </c>
      <c r="F172">
        <v>3.3978079609999998</v>
      </c>
      <c r="G172">
        <v>748.11429194803304</v>
      </c>
      <c r="H172">
        <v>17.477632</v>
      </c>
    </row>
  </sheetData>
  <sortState xmlns:xlrd2="http://schemas.microsoft.com/office/spreadsheetml/2017/richdata2" ref="A2:B261">
    <sortCondition ref="A2:A261"/>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90"/>
  <sheetViews>
    <sheetView topLeftCell="D27" zoomScale="63" workbookViewId="0">
      <selection activeCell="S74" sqref="S74"/>
    </sheetView>
  </sheetViews>
  <sheetFormatPr baseColWidth="10" defaultColWidth="8.83203125" defaultRowHeight="15" x14ac:dyDescent="0.2"/>
  <cols>
    <col min="1" max="1" width="4" bestFit="1" customWidth="1"/>
    <col min="2" max="2" width="4.6640625" bestFit="1" customWidth="1"/>
    <col min="3" max="3" width="1.6640625" bestFit="1" customWidth="1"/>
    <col min="4" max="4" width="22.6640625" customWidth="1"/>
    <col min="5" max="5" width="13.33203125" bestFit="1" customWidth="1"/>
  </cols>
  <sheetData>
    <row r="1" spans="1:16" x14ac:dyDescent="0.2">
      <c r="E1" t="s">
        <v>784</v>
      </c>
      <c r="F1" t="s">
        <v>785</v>
      </c>
      <c r="G1" t="s">
        <v>786</v>
      </c>
      <c r="H1" t="s">
        <v>787</v>
      </c>
      <c r="I1" t="s">
        <v>788</v>
      </c>
    </row>
    <row r="2" spans="1:16" x14ac:dyDescent="0.2">
      <c r="A2" t="s">
        <v>805</v>
      </c>
      <c r="B2">
        <v>100</v>
      </c>
      <c r="C2">
        <v>5</v>
      </c>
      <c r="E2" t="str">
        <f t="shared" ref="E2:E33" si="0">A2&amp;"-"&amp;B2&amp;"-0"&amp;C2</f>
        <v>ccf1-100-05</v>
      </c>
      <c r="F2" t="s">
        <v>804</v>
      </c>
      <c r="G2">
        <v>1.3500669970000001</v>
      </c>
      <c r="H2">
        <v>1.37262922502122</v>
      </c>
      <c r="I2">
        <v>4.5219839999999998</v>
      </c>
      <c r="L2">
        <v>22</v>
      </c>
      <c r="M2" s="1">
        <v>1.6006200000000001E-6</v>
      </c>
      <c r="P2" s="1"/>
    </row>
    <row r="3" spans="1:16" x14ac:dyDescent="0.2">
      <c r="A3" t="s">
        <v>806</v>
      </c>
      <c r="B3">
        <v>100</v>
      </c>
      <c r="C3">
        <v>5</v>
      </c>
      <c r="E3" t="str">
        <f t="shared" si="0"/>
        <v>ccf2-100-05</v>
      </c>
      <c r="F3" t="s">
        <v>804</v>
      </c>
      <c r="G3">
        <v>0.69035540699999998</v>
      </c>
      <c r="H3">
        <v>0.69987427501473498</v>
      </c>
      <c r="I3">
        <v>4.0304640000000003</v>
      </c>
      <c r="L3">
        <v>22</v>
      </c>
      <c r="M3" s="1">
        <v>1.83886E-6</v>
      </c>
      <c r="P3" s="1"/>
    </row>
    <row r="4" spans="1:16" x14ac:dyDescent="0.2">
      <c r="A4" t="s">
        <v>807</v>
      </c>
      <c r="B4">
        <v>100</v>
      </c>
      <c r="C4">
        <v>5</v>
      </c>
      <c r="E4" t="str">
        <f t="shared" si="0"/>
        <v>ccf3-100-05</v>
      </c>
      <c r="F4" t="s">
        <v>804</v>
      </c>
      <c r="G4">
        <v>0.69037317499999995</v>
      </c>
      <c r="H4">
        <v>0.69233206199714903</v>
      </c>
      <c r="I4">
        <v>4.0960000000000001</v>
      </c>
      <c r="P4" s="1"/>
    </row>
    <row r="5" spans="1:16" x14ac:dyDescent="0.2">
      <c r="A5" t="s">
        <v>808</v>
      </c>
      <c r="B5">
        <v>100</v>
      </c>
      <c r="C5">
        <v>5</v>
      </c>
      <c r="E5" t="str">
        <f t="shared" si="0"/>
        <v>ccf4-100-05</v>
      </c>
      <c r="F5" t="s">
        <v>804</v>
      </c>
      <c r="G5">
        <v>0.69506425599999999</v>
      </c>
      <c r="H5">
        <v>0.71277465095045001</v>
      </c>
      <c r="I5">
        <v>4.0222720000000001</v>
      </c>
    </row>
    <row r="6" spans="1:16" x14ac:dyDescent="0.2">
      <c r="A6" t="s">
        <v>809</v>
      </c>
      <c r="B6">
        <v>100</v>
      </c>
      <c r="C6">
        <v>5</v>
      </c>
      <c r="E6" t="str">
        <f t="shared" si="0"/>
        <v>ccf5-100-05</v>
      </c>
      <c r="F6" t="s">
        <v>804</v>
      </c>
      <c r="G6">
        <v>0.69999036800000003</v>
      </c>
      <c r="H6">
        <v>0.70482676802203004</v>
      </c>
      <c r="I6">
        <v>4.0386559999999996</v>
      </c>
    </row>
    <row r="7" spans="1:16" x14ac:dyDescent="0.2">
      <c r="A7" t="s">
        <v>810</v>
      </c>
      <c r="B7">
        <v>100</v>
      </c>
      <c r="C7">
        <v>5</v>
      </c>
      <c r="E7" t="str">
        <f t="shared" si="0"/>
        <v>ccf6-100-05</v>
      </c>
      <c r="F7" t="s">
        <v>804</v>
      </c>
      <c r="G7">
        <v>0.69704843900000002</v>
      </c>
      <c r="H7">
        <v>0.70148370100650903</v>
      </c>
      <c r="I7">
        <v>4.1615359999999999</v>
      </c>
    </row>
    <row r="8" spans="1:16" x14ac:dyDescent="0.2">
      <c r="A8" t="s">
        <v>811</v>
      </c>
      <c r="B8">
        <v>100</v>
      </c>
      <c r="C8">
        <v>5</v>
      </c>
      <c r="E8" t="str">
        <f t="shared" si="0"/>
        <v>ccf7-100-05</v>
      </c>
      <c r="F8" t="s">
        <v>804</v>
      </c>
      <c r="G8">
        <v>0.68926343999999995</v>
      </c>
      <c r="H8">
        <v>0.69542825600365099</v>
      </c>
      <c r="I8">
        <v>4.0345599999999999</v>
      </c>
    </row>
    <row r="9" spans="1:16" x14ac:dyDescent="0.2">
      <c r="A9" t="s">
        <v>812</v>
      </c>
      <c r="B9">
        <v>100</v>
      </c>
      <c r="C9">
        <v>5</v>
      </c>
      <c r="E9" t="str">
        <f t="shared" si="0"/>
        <v>ccf8-100-05</v>
      </c>
      <c r="F9" t="s">
        <v>804</v>
      </c>
      <c r="G9">
        <v>0.69785540800000001</v>
      </c>
      <c r="H9">
        <v>0.70266209298279103</v>
      </c>
      <c r="I9">
        <v>4.1123839999999996</v>
      </c>
    </row>
    <row r="10" spans="1:16" x14ac:dyDescent="0.2">
      <c r="A10" t="s">
        <v>813</v>
      </c>
      <c r="B10">
        <v>100</v>
      </c>
      <c r="C10">
        <v>5</v>
      </c>
      <c r="E10" t="str">
        <f t="shared" si="0"/>
        <v>ccf9-100-05</v>
      </c>
      <c r="F10" t="s">
        <v>804</v>
      </c>
      <c r="G10">
        <v>0.69706136100000005</v>
      </c>
      <c r="H10">
        <v>0.70355452800868001</v>
      </c>
      <c r="I10">
        <v>4.0263679999999997</v>
      </c>
    </row>
    <row r="11" spans="1:16" x14ac:dyDescent="0.2">
      <c r="A11" t="s">
        <v>805</v>
      </c>
      <c r="B11">
        <v>200</v>
      </c>
      <c r="C11">
        <v>5</v>
      </c>
      <c r="E11" t="str">
        <f t="shared" si="0"/>
        <v>ccf1-200-05</v>
      </c>
      <c r="F11" t="s">
        <v>804</v>
      </c>
      <c r="G11">
        <v>5.2055731280000002</v>
      </c>
      <c r="H11">
        <v>5.2184080940205604</v>
      </c>
      <c r="I11">
        <v>7.8151679999999999</v>
      </c>
      <c r="L11">
        <v>75</v>
      </c>
      <c r="M11" s="1">
        <v>2.5965599999999998E-7</v>
      </c>
      <c r="P11" s="1"/>
    </row>
    <row r="12" spans="1:16" x14ac:dyDescent="0.2">
      <c r="A12" t="s">
        <v>806</v>
      </c>
      <c r="B12">
        <v>200</v>
      </c>
      <c r="C12">
        <v>5</v>
      </c>
      <c r="E12" t="str">
        <f t="shared" si="0"/>
        <v>ccf2-200-05</v>
      </c>
      <c r="F12" t="s">
        <v>804</v>
      </c>
      <c r="G12">
        <v>4.505479759</v>
      </c>
      <c r="H12">
        <v>4.51137721800478</v>
      </c>
      <c r="I12">
        <v>7.8397439999999996</v>
      </c>
      <c r="L12">
        <v>75</v>
      </c>
      <c r="M12" s="1">
        <v>2.6110999999999999E-7</v>
      </c>
      <c r="P12" s="1"/>
    </row>
    <row r="13" spans="1:16" x14ac:dyDescent="0.2">
      <c r="A13" t="s">
        <v>807</v>
      </c>
      <c r="B13">
        <v>200</v>
      </c>
      <c r="C13">
        <v>5</v>
      </c>
      <c r="E13" t="str">
        <f t="shared" si="0"/>
        <v>ccf3-200-05</v>
      </c>
      <c r="F13" t="s">
        <v>804</v>
      </c>
      <c r="G13">
        <v>4.1700678900000003</v>
      </c>
      <c r="H13">
        <v>4.1764681089552997</v>
      </c>
      <c r="I13">
        <v>7.6595199999999997</v>
      </c>
      <c r="L13">
        <v>76</v>
      </c>
      <c r="M13" s="1">
        <v>3.0952500000000001E-7</v>
      </c>
      <c r="P13" s="1"/>
    </row>
    <row r="14" spans="1:16" x14ac:dyDescent="0.2">
      <c r="A14" t="s">
        <v>808</v>
      </c>
      <c r="B14">
        <v>200</v>
      </c>
      <c r="C14">
        <v>5</v>
      </c>
      <c r="E14" t="str">
        <f t="shared" si="0"/>
        <v>ccf4-200-05</v>
      </c>
      <c r="F14" t="s">
        <v>804</v>
      </c>
      <c r="G14">
        <v>4.3989832780000002</v>
      </c>
      <c r="H14">
        <v>4.4127230999874802</v>
      </c>
      <c r="I14">
        <v>7.4874879999999999</v>
      </c>
      <c r="L14">
        <v>76</v>
      </c>
      <c r="M14" s="1">
        <v>3.0952500000000001E-7</v>
      </c>
    </row>
    <row r="15" spans="1:16" x14ac:dyDescent="0.2">
      <c r="A15" t="s">
        <v>809</v>
      </c>
      <c r="B15">
        <v>200</v>
      </c>
      <c r="C15">
        <v>5</v>
      </c>
      <c r="E15" t="str">
        <f t="shared" si="0"/>
        <v>ccf5-200-05</v>
      </c>
      <c r="F15" t="s">
        <v>804</v>
      </c>
      <c r="G15">
        <v>5.3829933179999996</v>
      </c>
      <c r="H15">
        <v>5.3869964350014898</v>
      </c>
      <c r="I15">
        <v>7.7701120000000001</v>
      </c>
      <c r="L15">
        <v>77</v>
      </c>
      <c r="M15" s="1">
        <v>3.1609000000000002E-7</v>
      </c>
    </row>
    <row r="16" spans="1:16" x14ac:dyDescent="0.2">
      <c r="A16" t="s">
        <v>810</v>
      </c>
      <c r="B16">
        <v>200</v>
      </c>
      <c r="C16">
        <v>5</v>
      </c>
      <c r="E16" t="str">
        <f t="shared" si="0"/>
        <v>ccf6-200-05</v>
      </c>
      <c r="F16" t="s">
        <v>804</v>
      </c>
      <c r="G16">
        <v>2.3162434890000001</v>
      </c>
      <c r="H16">
        <v>2.3219472570344801</v>
      </c>
      <c r="I16">
        <v>7.3646079999999996</v>
      </c>
      <c r="L16">
        <v>23</v>
      </c>
      <c r="M16" s="1">
        <v>3.67334E-7</v>
      </c>
    </row>
    <row r="17" spans="1:13" x14ac:dyDescent="0.2">
      <c r="A17" t="s">
        <v>811</v>
      </c>
      <c r="B17">
        <v>200</v>
      </c>
      <c r="C17">
        <v>5</v>
      </c>
      <c r="E17" t="str">
        <f t="shared" si="0"/>
        <v>ccf7-200-05</v>
      </c>
      <c r="F17" t="s">
        <v>804</v>
      </c>
      <c r="G17">
        <v>0.84457325900000002</v>
      </c>
      <c r="H17">
        <v>0.84667842095950596</v>
      </c>
      <c r="I17">
        <v>5.6238080000000004</v>
      </c>
      <c r="L17">
        <v>23</v>
      </c>
      <c r="M17" s="1">
        <v>6.3703899999999994E-8</v>
      </c>
    </row>
    <row r="18" spans="1:13" x14ac:dyDescent="0.2">
      <c r="A18" t="s">
        <v>812</v>
      </c>
      <c r="B18">
        <v>200</v>
      </c>
      <c r="C18">
        <v>5</v>
      </c>
      <c r="E18" t="str">
        <f t="shared" si="0"/>
        <v>ccf8-200-05</v>
      </c>
      <c r="F18" t="s">
        <v>804</v>
      </c>
      <c r="G18">
        <v>0.82696074200000003</v>
      </c>
      <c r="H18">
        <v>0.83032418502261796</v>
      </c>
      <c r="I18">
        <v>9.0112000000000005</v>
      </c>
      <c r="L18">
        <v>23</v>
      </c>
      <c r="M18" s="1">
        <v>5.82573E-8</v>
      </c>
    </row>
    <row r="19" spans="1:13" x14ac:dyDescent="0.2">
      <c r="A19" t="s">
        <v>813</v>
      </c>
      <c r="B19">
        <v>200</v>
      </c>
      <c r="C19">
        <v>5</v>
      </c>
      <c r="E19" t="str">
        <f t="shared" si="0"/>
        <v>ccf9-200-05</v>
      </c>
      <c r="F19" t="s">
        <v>804</v>
      </c>
      <c r="G19">
        <v>0.72581151300000002</v>
      </c>
      <c r="H19">
        <v>0.72786006302339901</v>
      </c>
      <c r="I19">
        <v>4.2311680000000003</v>
      </c>
      <c r="L19">
        <v>24</v>
      </c>
      <c r="M19" s="1">
        <v>5.9550199999999998E-8</v>
      </c>
    </row>
    <row r="20" spans="1:13" x14ac:dyDescent="0.2">
      <c r="A20" t="s">
        <v>805</v>
      </c>
      <c r="B20">
        <v>300</v>
      </c>
      <c r="C20">
        <v>5</v>
      </c>
      <c r="E20" t="str">
        <f t="shared" si="0"/>
        <v>ccf1-300-05</v>
      </c>
      <c r="F20" t="s">
        <v>804</v>
      </c>
      <c r="G20">
        <v>10.465808414</v>
      </c>
      <c r="H20">
        <v>10.5065630750032</v>
      </c>
      <c r="I20">
        <v>10.829824</v>
      </c>
    </row>
    <row r="21" spans="1:13" x14ac:dyDescent="0.2">
      <c r="A21" t="s">
        <v>806</v>
      </c>
      <c r="B21">
        <v>300</v>
      </c>
      <c r="C21">
        <v>5</v>
      </c>
      <c r="E21" t="str">
        <f t="shared" si="0"/>
        <v>ccf2-300-05</v>
      </c>
      <c r="F21" t="s">
        <v>804</v>
      </c>
      <c r="G21">
        <v>237.321831116</v>
      </c>
      <c r="H21">
        <v>238.382721488014</v>
      </c>
      <c r="I21">
        <v>20.787199999999999</v>
      </c>
    </row>
    <row r="22" spans="1:13" x14ac:dyDescent="0.2">
      <c r="A22" t="s">
        <v>807</v>
      </c>
      <c r="B22">
        <v>300</v>
      </c>
      <c r="C22">
        <v>5</v>
      </c>
      <c r="E22" t="str">
        <f t="shared" si="0"/>
        <v>ccf3-300-05</v>
      </c>
      <c r="F22" t="s">
        <v>804</v>
      </c>
      <c r="G22">
        <v>22.431120881999998</v>
      </c>
      <c r="H22">
        <v>22.4604376759962</v>
      </c>
      <c r="I22">
        <v>10.563584000000001</v>
      </c>
    </row>
    <row r="23" spans="1:13" x14ac:dyDescent="0.2">
      <c r="A23" t="s">
        <v>808</v>
      </c>
      <c r="B23">
        <v>300</v>
      </c>
      <c r="C23">
        <v>5</v>
      </c>
      <c r="E23" t="str">
        <f t="shared" si="0"/>
        <v>ccf4-300-05</v>
      </c>
      <c r="F23" t="s">
        <v>804</v>
      </c>
      <c r="G23">
        <v>7.9663161999999996</v>
      </c>
      <c r="H23">
        <v>7.9739507209742397</v>
      </c>
      <c r="I23">
        <v>10.6496</v>
      </c>
    </row>
    <row r="24" spans="1:13" x14ac:dyDescent="0.2">
      <c r="A24" t="s">
        <v>809</v>
      </c>
      <c r="B24">
        <v>300</v>
      </c>
      <c r="C24">
        <v>5</v>
      </c>
      <c r="E24" t="str">
        <f t="shared" si="0"/>
        <v>ccf5-300-05</v>
      </c>
      <c r="F24" t="s">
        <v>804</v>
      </c>
      <c r="G24">
        <v>8.2008451979999997</v>
      </c>
      <c r="H24">
        <v>8.2394044040120207</v>
      </c>
      <c r="I24">
        <v>10.645504000000001</v>
      </c>
    </row>
    <row r="25" spans="1:13" x14ac:dyDescent="0.2">
      <c r="A25" t="s">
        <v>810</v>
      </c>
      <c r="B25">
        <v>300</v>
      </c>
      <c r="C25">
        <v>5</v>
      </c>
      <c r="E25" t="str">
        <f t="shared" si="0"/>
        <v>ccf6-300-05</v>
      </c>
      <c r="F25" t="s">
        <v>804</v>
      </c>
      <c r="G25">
        <v>8.9767814169999998</v>
      </c>
      <c r="H25">
        <v>8.9847425839980097</v>
      </c>
      <c r="I25">
        <v>9.3757439999999992</v>
      </c>
    </row>
    <row r="26" spans="1:13" x14ac:dyDescent="0.2">
      <c r="A26" t="s">
        <v>811</v>
      </c>
      <c r="B26">
        <v>300</v>
      </c>
      <c r="C26">
        <v>5</v>
      </c>
      <c r="E26" t="str">
        <f t="shared" si="0"/>
        <v>ccf7-300-05</v>
      </c>
      <c r="F26" t="s">
        <v>804</v>
      </c>
      <c r="G26">
        <v>2.6882832919999999</v>
      </c>
      <c r="H26">
        <v>2.69375873694662</v>
      </c>
      <c r="I26">
        <v>9.4986239999999995</v>
      </c>
    </row>
    <row r="27" spans="1:13" x14ac:dyDescent="0.2">
      <c r="A27" t="s">
        <v>812</v>
      </c>
      <c r="B27">
        <v>300</v>
      </c>
      <c r="C27">
        <v>5</v>
      </c>
      <c r="E27" t="str">
        <f t="shared" si="0"/>
        <v>ccf8-300-05</v>
      </c>
      <c r="F27" t="s">
        <v>804</v>
      </c>
      <c r="G27">
        <v>2.7828299150000002</v>
      </c>
      <c r="H27">
        <v>2.7860067559522501</v>
      </c>
      <c r="I27">
        <v>9.5518719999999995</v>
      </c>
    </row>
    <row r="28" spans="1:13" x14ac:dyDescent="0.2">
      <c r="A28" t="s">
        <v>813</v>
      </c>
      <c r="B28">
        <v>300</v>
      </c>
      <c r="C28">
        <v>5</v>
      </c>
      <c r="E28" t="str">
        <f t="shared" si="0"/>
        <v>ccf9-300-05</v>
      </c>
      <c r="F28" t="s">
        <v>804</v>
      </c>
      <c r="G28">
        <v>4.4427802920000001</v>
      </c>
      <c r="H28">
        <v>4.4467243849648996</v>
      </c>
      <c r="I28">
        <v>10.534912</v>
      </c>
      <c r="L28">
        <v>36</v>
      </c>
      <c r="M28" s="1">
        <v>3.3606899999999998E-4</v>
      </c>
    </row>
    <row r="29" spans="1:13" x14ac:dyDescent="0.2">
      <c r="A29" t="s">
        <v>805</v>
      </c>
      <c r="B29">
        <v>400</v>
      </c>
      <c r="C29">
        <v>5</v>
      </c>
      <c r="E29" t="str">
        <f t="shared" si="0"/>
        <v>ccf1-400-05</v>
      </c>
      <c r="F29" t="s">
        <v>804</v>
      </c>
      <c r="G29">
        <v>23.950073409000002</v>
      </c>
      <c r="H29">
        <v>24.207743499020498</v>
      </c>
      <c r="I29">
        <v>10.379263999999999</v>
      </c>
    </row>
    <row r="30" spans="1:13" x14ac:dyDescent="0.2">
      <c r="A30" t="s">
        <v>806</v>
      </c>
      <c r="B30">
        <v>400</v>
      </c>
      <c r="C30">
        <v>5</v>
      </c>
      <c r="E30" t="str">
        <f t="shared" si="0"/>
        <v>ccf2-400-05</v>
      </c>
      <c r="F30" t="s">
        <v>804</v>
      </c>
      <c r="G30">
        <v>7.1756226920000001</v>
      </c>
      <c r="H30">
        <v>7.4040945849847004</v>
      </c>
      <c r="I30">
        <v>9.1791359999999997</v>
      </c>
    </row>
    <row r="31" spans="1:13" x14ac:dyDescent="0.2">
      <c r="A31" t="s">
        <v>807</v>
      </c>
      <c r="B31">
        <v>400</v>
      </c>
      <c r="C31">
        <v>5</v>
      </c>
      <c r="E31" t="str">
        <f t="shared" si="0"/>
        <v>ccf3-400-05</v>
      </c>
      <c r="F31" t="s">
        <v>804</v>
      </c>
      <c r="G31">
        <v>2.7962630819999998</v>
      </c>
      <c r="H31">
        <v>2.8033906709752001</v>
      </c>
      <c r="I31">
        <v>8.7818240000000003</v>
      </c>
    </row>
    <row r="32" spans="1:13" x14ac:dyDescent="0.2">
      <c r="A32" t="s">
        <v>808</v>
      </c>
      <c r="B32">
        <v>400</v>
      </c>
      <c r="C32">
        <v>5</v>
      </c>
      <c r="E32" t="str">
        <f t="shared" si="0"/>
        <v>ccf4-400-05</v>
      </c>
      <c r="F32" t="s">
        <v>804</v>
      </c>
      <c r="G32">
        <v>3.0994193619999999</v>
      </c>
      <c r="H32">
        <v>3.1049021449871299</v>
      </c>
      <c r="I32">
        <v>8.8637440000000005</v>
      </c>
    </row>
    <row r="33" spans="1:9" x14ac:dyDescent="0.2">
      <c r="A33" t="s">
        <v>809</v>
      </c>
      <c r="B33">
        <v>400</v>
      </c>
      <c r="C33">
        <v>5</v>
      </c>
      <c r="E33" t="str">
        <f t="shared" si="0"/>
        <v>ccf5-400-05</v>
      </c>
      <c r="F33" t="s">
        <v>804</v>
      </c>
      <c r="G33">
        <v>394.12494129200002</v>
      </c>
      <c r="H33">
        <v>394.89694636501298</v>
      </c>
      <c r="I33">
        <v>19.460096</v>
      </c>
    </row>
    <row r="34" spans="1:9" x14ac:dyDescent="0.2">
      <c r="A34" t="s">
        <v>810</v>
      </c>
      <c r="B34">
        <v>400</v>
      </c>
      <c r="C34">
        <v>5</v>
      </c>
      <c r="E34" t="str">
        <f t="shared" ref="E34:E65" si="1">A34&amp;"-"&amp;B34&amp;"-0"&amp;C34</f>
        <v>ccf6-400-05</v>
      </c>
      <c r="F34" t="s">
        <v>804</v>
      </c>
      <c r="G34">
        <v>1.820336612</v>
      </c>
      <c r="H34">
        <v>1.82489592098863</v>
      </c>
      <c r="I34">
        <v>8.6958079999999995</v>
      </c>
    </row>
    <row r="35" spans="1:9" x14ac:dyDescent="0.2">
      <c r="A35" t="s">
        <v>811</v>
      </c>
      <c r="B35">
        <v>400</v>
      </c>
      <c r="C35">
        <v>5</v>
      </c>
      <c r="E35" t="str">
        <f t="shared" si="1"/>
        <v>ccf7-400-05</v>
      </c>
      <c r="F35" t="s">
        <v>804</v>
      </c>
      <c r="G35">
        <v>1.0951011070000001</v>
      </c>
      <c r="H35">
        <v>1.10578292398713</v>
      </c>
      <c r="I35">
        <v>7.5939839999999998</v>
      </c>
    </row>
    <row r="36" spans="1:9" x14ac:dyDescent="0.2">
      <c r="A36" t="s">
        <v>812</v>
      </c>
      <c r="B36">
        <v>400</v>
      </c>
      <c r="C36">
        <v>5</v>
      </c>
      <c r="E36" t="str">
        <f t="shared" si="1"/>
        <v>ccf8-400-05</v>
      </c>
      <c r="F36" t="s">
        <v>804</v>
      </c>
      <c r="G36">
        <v>1.146465979</v>
      </c>
      <c r="H36">
        <v>1.1511724239680901</v>
      </c>
      <c r="I36">
        <v>7.7987840000000004</v>
      </c>
    </row>
    <row r="37" spans="1:9" x14ac:dyDescent="0.2">
      <c r="A37" t="s">
        <v>813</v>
      </c>
      <c r="B37">
        <v>400</v>
      </c>
      <c r="C37">
        <v>5</v>
      </c>
      <c r="E37" t="str">
        <f t="shared" si="1"/>
        <v>ccf9-400-05</v>
      </c>
      <c r="F37" t="s">
        <v>804</v>
      </c>
      <c r="G37">
        <v>1.2266385310000001</v>
      </c>
      <c r="H37">
        <v>1.2317353350226701</v>
      </c>
      <c r="I37">
        <v>7.7660159999999996</v>
      </c>
    </row>
    <row r="38" spans="1:9" x14ac:dyDescent="0.2">
      <c r="A38" t="s">
        <v>805</v>
      </c>
      <c r="B38">
        <v>500</v>
      </c>
      <c r="C38">
        <v>5</v>
      </c>
      <c r="E38" t="str">
        <f t="shared" si="1"/>
        <v>ccf1-500-05</v>
      </c>
      <c r="F38" t="s">
        <v>804</v>
      </c>
      <c r="G38">
        <v>2.5971272179999998</v>
      </c>
      <c r="H38">
        <v>2.6047659959876901</v>
      </c>
      <c r="I38">
        <v>10.752000000000001</v>
      </c>
    </row>
    <row r="39" spans="1:9" x14ac:dyDescent="0.2">
      <c r="A39" t="s">
        <v>806</v>
      </c>
      <c r="B39">
        <v>500</v>
      </c>
      <c r="C39">
        <v>5</v>
      </c>
      <c r="E39" t="str">
        <f t="shared" si="1"/>
        <v>ccf2-500-05</v>
      </c>
      <c r="F39" t="s">
        <v>804</v>
      </c>
      <c r="G39">
        <v>1.9241600599999999</v>
      </c>
      <c r="H39">
        <v>1.9288836279883901</v>
      </c>
      <c r="I39">
        <v>10.752000000000001</v>
      </c>
    </row>
    <row r="40" spans="1:9" x14ac:dyDescent="0.2">
      <c r="A40" t="s">
        <v>807</v>
      </c>
      <c r="B40">
        <v>500</v>
      </c>
      <c r="C40">
        <v>5</v>
      </c>
      <c r="E40" t="str">
        <f t="shared" si="1"/>
        <v>ccf3-500-05</v>
      </c>
      <c r="F40" t="s">
        <v>804</v>
      </c>
      <c r="G40">
        <v>12.335172748</v>
      </c>
      <c r="H40">
        <v>12.354027540946801</v>
      </c>
      <c r="I40">
        <v>11.263999999999999</v>
      </c>
    </row>
    <row r="41" spans="1:9" x14ac:dyDescent="0.2">
      <c r="A41" t="s">
        <v>808</v>
      </c>
      <c r="B41">
        <v>500</v>
      </c>
      <c r="C41">
        <v>5</v>
      </c>
      <c r="E41" t="str">
        <f t="shared" si="1"/>
        <v>ccf4-500-05</v>
      </c>
      <c r="F41" t="s">
        <v>804</v>
      </c>
      <c r="G41">
        <v>21.613704549000001</v>
      </c>
      <c r="H41">
        <v>21.653108582948299</v>
      </c>
      <c r="I41">
        <v>13.299712</v>
      </c>
    </row>
    <row r="42" spans="1:9" x14ac:dyDescent="0.2">
      <c r="A42" t="s">
        <v>809</v>
      </c>
      <c r="B42">
        <v>500</v>
      </c>
      <c r="C42">
        <v>5</v>
      </c>
      <c r="E42" t="str">
        <f t="shared" si="1"/>
        <v>ccf5-500-05</v>
      </c>
      <c r="F42" t="s">
        <v>804</v>
      </c>
      <c r="G42">
        <v>22.382690664999998</v>
      </c>
      <c r="H42">
        <v>22.540329126000799</v>
      </c>
      <c r="I42">
        <v>16.859135999999999</v>
      </c>
    </row>
    <row r="43" spans="1:9" x14ac:dyDescent="0.2">
      <c r="A43" t="s">
        <v>810</v>
      </c>
      <c r="B43">
        <v>500</v>
      </c>
      <c r="C43">
        <v>5</v>
      </c>
      <c r="E43" t="str">
        <f t="shared" si="1"/>
        <v>ccf6-500-05</v>
      </c>
      <c r="F43" t="s">
        <v>804</v>
      </c>
      <c r="G43">
        <v>42.038208922999999</v>
      </c>
      <c r="H43">
        <v>42.060437645995897</v>
      </c>
      <c r="I43">
        <v>17.231871999999999</v>
      </c>
    </row>
    <row r="44" spans="1:9" x14ac:dyDescent="0.2">
      <c r="A44" t="s">
        <v>811</v>
      </c>
      <c r="B44">
        <v>500</v>
      </c>
      <c r="C44">
        <v>5</v>
      </c>
      <c r="E44" t="str">
        <f t="shared" si="1"/>
        <v>ccf7-500-05</v>
      </c>
      <c r="F44" t="s">
        <v>804</v>
      </c>
      <c r="G44">
        <v>42.485472497000004</v>
      </c>
      <c r="H44">
        <v>42.519384382991099</v>
      </c>
      <c r="I44">
        <v>17.334271999999999</v>
      </c>
    </row>
    <row r="45" spans="1:9" x14ac:dyDescent="0.2">
      <c r="A45" t="s">
        <v>812</v>
      </c>
      <c r="B45">
        <v>500</v>
      </c>
      <c r="C45">
        <v>5</v>
      </c>
      <c r="E45" t="str">
        <f t="shared" si="1"/>
        <v>ccf8-500-05</v>
      </c>
      <c r="F45" t="s">
        <v>804</v>
      </c>
      <c r="G45">
        <v>42.251910942999999</v>
      </c>
      <c r="H45">
        <v>42.2710825490066</v>
      </c>
      <c r="I45">
        <v>17.34656</v>
      </c>
    </row>
    <row r="46" spans="1:9" x14ac:dyDescent="0.2">
      <c r="A46" t="s">
        <v>813</v>
      </c>
      <c r="B46">
        <v>500</v>
      </c>
      <c r="C46">
        <v>5</v>
      </c>
      <c r="E46" t="str">
        <f t="shared" si="1"/>
        <v>ccf9-500-05</v>
      </c>
      <c r="F46" t="s">
        <v>804</v>
      </c>
      <c r="G46">
        <v>50.481164560000003</v>
      </c>
      <c r="H46">
        <v>50.506113896030001</v>
      </c>
      <c r="I46">
        <v>12.775423999999999</v>
      </c>
    </row>
    <row r="47" spans="1:9" x14ac:dyDescent="0.2">
      <c r="A47" t="s">
        <v>805</v>
      </c>
      <c r="B47">
        <v>600</v>
      </c>
      <c r="C47">
        <v>5</v>
      </c>
      <c r="E47" t="str">
        <f t="shared" si="1"/>
        <v>ccf1-600-05</v>
      </c>
      <c r="F47" t="s">
        <v>804</v>
      </c>
      <c r="G47">
        <v>38.828188828000002</v>
      </c>
      <c r="H47">
        <v>38.996786465053397</v>
      </c>
      <c r="I47">
        <v>18.7392</v>
      </c>
    </row>
    <row r="48" spans="1:9" x14ac:dyDescent="0.2">
      <c r="A48" t="s">
        <v>806</v>
      </c>
      <c r="B48">
        <v>600</v>
      </c>
      <c r="C48">
        <v>5</v>
      </c>
      <c r="E48" t="str">
        <f t="shared" si="1"/>
        <v>ccf2-600-05</v>
      </c>
      <c r="F48" t="s">
        <v>804</v>
      </c>
      <c r="G48">
        <v>6.912212426</v>
      </c>
      <c r="H48">
        <v>7.2547724989708504</v>
      </c>
      <c r="I48">
        <v>10.862591999999999</v>
      </c>
    </row>
    <row r="49" spans="1:9" x14ac:dyDescent="0.2">
      <c r="A49" t="s">
        <v>807</v>
      </c>
      <c r="B49">
        <v>600</v>
      </c>
      <c r="C49">
        <v>5</v>
      </c>
      <c r="E49" t="str">
        <f t="shared" si="1"/>
        <v>ccf3-600-05</v>
      </c>
      <c r="F49" t="s">
        <v>804</v>
      </c>
      <c r="G49">
        <v>4.5376078240000002</v>
      </c>
      <c r="H49">
        <v>4.5431600779993397</v>
      </c>
      <c r="I49">
        <v>10.645504000000001</v>
      </c>
    </row>
    <row r="50" spans="1:9" x14ac:dyDescent="0.2">
      <c r="A50" t="s">
        <v>808</v>
      </c>
      <c r="B50">
        <v>600</v>
      </c>
      <c r="C50">
        <v>5</v>
      </c>
      <c r="E50" t="str">
        <f t="shared" si="1"/>
        <v>ccf4-600-05</v>
      </c>
      <c r="F50" t="s">
        <v>804</v>
      </c>
      <c r="G50">
        <v>4.611081671</v>
      </c>
      <c r="H50">
        <v>4.6196347060031204</v>
      </c>
      <c r="I50">
        <v>10.702847999999999</v>
      </c>
    </row>
    <row r="51" spans="1:9" x14ac:dyDescent="0.2">
      <c r="A51" t="s">
        <v>809</v>
      </c>
      <c r="B51">
        <v>600</v>
      </c>
      <c r="C51">
        <v>5</v>
      </c>
      <c r="E51" t="str">
        <f t="shared" si="1"/>
        <v>ccf5-600-05</v>
      </c>
      <c r="F51" t="s">
        <v>804</v>
      </c>
      <c r="G51">
        <v>5.5514072829999996</v>
      </c>
      <c r="H51">
        <v>5.5634068599901996</v>
      </c>
      <c r="I51">
        <v>10.821631999999999</v>
      </c>
    </row>
    <row r="52" spans="1:9" x14ac:dyDescent="0.2">
      <c r="A52" t="s">
        <v>811</v>
      </c>
      <c r="B52">
        <v>600</v>
      </c>
      <c r="C52">
        <v>5</v>
      </c>
      <c r="E52" t="str">
        <f t="shared" si="1"/>
        <v>ccf7-600-05</v>
      </c>
      <c r="F52" t="s">
        <v>804</v>
      </c>
      <c r="G52">
        <v>5.5454174490000003</v>
      </c>
      <c r="H52">
        <v>5.5934422789723603</v>
      </c>
      <c r="I52">
        <v>10.809343999999999</v>
      </c>
    </row>
    <row r="53" spans="1:9" x14ac:dyDescent="0.2">
      <c r="A53" t="s">
        <v>812</v>
      </c>
      <c r="B53">
        <v>600</v>
      </c>
      <c r="C53">
        <v>5</v>
      </c>
      <c r="E53" t="str">
        <f t="shared" si="1"/>
        <v>ccf8-600-05</v>
      </c>
      <c r="F53" t="s">
        <v>804</v>
      </c>
      <c r="G53">
        <v>7.5289793129999998</v>
      </c>
      <c r="H53">
        <v>7.5437291859998297</v>
      </c>
      <c r="I53">
        <v>10.81344</v>
      </c>
    </row>
    <row r="54" spans="1:9" x14ac:dyDescent="0.2">
      <c r="A54" t="s">
        <v>813</v>
      </c>
      <c r="B54">
        <v>600</v>
      </c>
      <c r="C54">
        <v>5</v>
      </c>
      <c r="E54" t="str">
        <f t="shared" si="1"/>
        <v>ccf9-600-05</v>
      </c>
      <c r="F54" t="s">
        <v>804</v>
      </c>
      <c r="G54">
        <v>9.2376000190000003</v>
      </c>
      <c r="H54">
        <v>9.2959916350082494</v>
      </c>
      <c r="I54">
        <v>10.973184</v>
      </c>
    </row>
    <row r="55" spans="1:9" x14ac:dyDescent="0.2">
      <c r="A55" t="s">
        <v>805</v>
      </c>
      <c r="B55">
        <v>700</v>
      </c>
      <c r="C55">
        <v>5</v>
      </c>
      <c r="E55" t="str">
        <f t="shared" si="1"/>
        <v>ccf1-700-05</v>
      </c>
      <c r="F55" t="s">
        <v>804</v>
      </c>
      <c r="G55">
        <v>51.214838632000003</v>
      </c>
      <c r="H55">
        <v>51.410558970994302</v>
      </c>
      <c r="I55">
        <v>13.33248</v>
      </c>
    </row>
    <row r="56" spans="1:9" x14ac:dyDescent="0.2">
      <c r="A56" t="s">
        <v>806</v>
      </c>
      <c r="B56">
        <v>700</v>
      </c>
      <c r="C56">
        <v>5</v>
      </c>
      <c r="E56" t="str">
        <f t="shared" si="1"/>
        <v>ccf2-700-05</v>
      </c>
      <c r="F56" t="s">
        <v>804</v>
      </c>
      <c r="G56">
        <v>50.399141475999997</v>
      </c>
      <c r="H56">
        <v>50.459283118019798</v>
      </c>
      <c r="I56">
        <v>13.365247999999999</v>
      </c>
    </row>
    <row r="57" spans="1:9" x14ac:dyDescent="0.2">
      <c r="A57" t="s">
        <v>807</v>
      </c>
      <c r="B57">
        <v>700</v>
      </c>
      <c r="C57">
        <v>5</v>
      </c>
      <c r="E57" t="str">
        <f t="shared" si="1"/>
        <v>ccf3-700-05</v>
      </c>
      <c r="F57" t="s">
        <v>804</v>
      </c>
      <c r="G57">
        <v>77.210103330999999</v>
      </c>
      <c r="H57">
        <v>77.4105003119912</v>
      </c>
      <c r="I57">
        <v>14.008319999999999</v>
      </c>
    </row>
    <row r="58" spans="1:9" x14ac:dyDescent="0.2">
      <c r="A58" t="s">
        <v>808</v>
      </c>
      <c r="B58">
        <v>700</v>
      </c>
      <c r="C58">
        <v>5</v>
      </c>
      <c r="E58" t="str">
        <f t="shared" si="1"/>
        <v>ccf4-700-05</v>
      </c>
      <c r="F58" t="s">
        <v>804</v>
      </c>
      <c r="G58">
        <v>77.044158796999994</v>
      </c>
      <c r="H58">
        <v>77.0811824880074</v>
      </c>
      <c r="I58">
        <v>13.901824</v>
      </c>
    </row>
    <row r="59" spans="1:9" x14ac:dyDescent="0.2">
      <c r="A59" t="s">
        <v>809</v>
      </c>
      <c r="B59">
        <v>700</v>
      </c>
      <c r="C59">
        <v>5</v>
      </c>
      <c r="E59" t="str">
        <f t="shared" si="1"/>
        <v>ccf5-700-05</v>
      </c>
      <c r="F59" t="s">
        <v>804</v>
      </c>
      <c r="G59">
        <v>92.537275596000001</v>
      </c>
      <c r="H59">
        <v>92.714033242024001</v>
      </c>
      <c r="I59">
        <v>14.409727999999999</v>
      </c>
    </row>
    <row r="60" spans="1:9" x14ac:dyDescent="0.2">
      <c r="A60" t="s">
        <v>810</v>
      </c>
      <c r="B60">
        <v>700</v>
      </c>
      <c r="C60">
        <v>5</v>
      </c>
      <c r="E60" t="str">
        <f t="shared" si="1"/>
        <v>ccf6-700-05</v>
      </c>
      <c r="F60" t="s">
        <v>804</v>
      </c>
      <c r="G60">
        <v>98.781555151000006</v>
      </c>
      <c r="H60">
        <v>98.863255834032302</v>
      </c>
      <c r="I60">
        <v>14.385152</v>
      </c>
    </row>
    <row r="61" spans="1:9" x14ac:dyDescent="0.2">
      <c r="A61" t="s">
        <v>811</v>
      </c>
      <c r="B61">
        <v>700</v>
      </c>
      <c r="C61">
        <v>5</v>
      </c>
      <c r="E61" t="str">
        <f t="shared" si="1"/>
        <v>ccf7-700-05</v>
      </c>
      <c r="F61" t="s">
        <v>804</v>
      </c>
      <c r="G61">
        <v>103.653996487</v>
      </c>
      <c r="H61">
        <v>103.80836080998399</v>
      </c>
      <c r="I61">
        <v>14.52032</v>
      </c>
    </row>
    <row r="62" spans="1:9" x14ac:dyDescent="0.2">
      <c r="A62" t="s">
        <v>812</v>
      </c>
      <c r="B62">
        <v>700</v>
      </c>
      <c r="C62">
        <v>5</v>
      </c>
      <c r="E62" t="str">
        <f t="shared" si="1"/>
        <v>ccf8-700-05</v>
      </c>
      <c r="F62" t="s">
        <v>804</v>
      </c>
      <c r="G62">
        <v>113.14174282499999</v>
      </c>
      <c r="H62">
        <v>113.279472502996</v>
      </c>
      <c r="I62">
        <v>14.548992</v>
      </c>
    </row>
    <row r="63" spans="1:9" x14ac:dyDescent="0.2">
      <c r="A63" t="s">
        <v>813</v>
      </c>
      <c r="B63">
        <v>700</v>
      </c>
      <c r="C63">
        <v>5</v>
      </c>
      <c r="E63" t="str">
        <f t="shared" si="1"/>
        <v>ccf9-700-05</v>
      </c>
      <c r="F63" t="s">
        <v>804</v>
      </c>
      <c r="G63">
        <v>115.955700725</v>
      </c>
      <c r="H63">
        <v>116.10921351797801</v>
      </c>
      <c r="I63">
        <v>14.536704</v>
      </c>
    </row>
    <row r="64" spans="1:9" x14ac:dyDescent="0.2">
      <c r="A64" t="s">
        <v>805</v>
      </c>
      <c r="B64">
        <v>800</v>
      </c>
      <c r="C64">
        <v>5</v>
      </c>
      <c r="E64" t="str">
        <f t="shared" si="1"/>
        <v>ccf1-800-05</v>
      </c>
      <c r="F64" t="s">
        <v>804</v>
      </c>
      <c r="G64">
        <v>5.9463646160000003</v>
      </c>
      <c r="H64">
        <v>5.9655263100285003</v>
      </c>
      <c r="I64">
        <v>10.891264</v>
      </c>
    </row>
    <row r="65" spans="1:9" x14ac:dyDescent="0.2">
      <c r="A65" t="s">
        <v>806</v>
      </c>
      <c r="B65">
        <v>800</v>
      </c>
      <c r="C65">
        <v>5</v>
      </c>
      <c r="E65" t="str">
        <f t="shared" si="1"/>
        <v>ccf2-800-05</v>
      </c>
      <c r="F65" t="s">
        <v>804</v>
      </c>
      <c r="G65">
        <v>14.646586884</v>
      </c>
      <c r="H65">
        <v>14.7433157569612</v>
      </c>
      <c r="I65">
        <v>11.567104</v>
      </c>
    </row>
    <row r="66" spans="1:9" x14ac:dyDescent="0.2">
      <c r="A66" t="s">
        <v>807</v>
      </c>
      <c r="B66">
        <v>800</v>
      </c>
      <c r="C66">
        <v>5</v>
      </c>
      <c r="E66" t="str">
        <f t="shared" ref="E66:E90" si="2">A66&amp;"-"&amp;B66&amp;"-0"&amp;C66</f>
        <v>ccf3-800-05</v>
      </c>
      <c r="F66" t="s">
        <v>804</v>
      </c>
      <c r="G66">
        <v>13.721919348</v>
      </c>
      <c r="H66">
        <v>13.751078562985599</v>
      </c>
      <c r="I66">
        <v>11.370495999999999</v>
      </c>
    </row>
    <row r="67" spans="1:9" x14ac:dyDescent="0.2">
      <c r="A67" t="s">
        <v>808</v>
      </c>
      <c r="B67">
        <v>800</v>
      </c>
      <c r="C67">
        <v>5</v>
      </c>
      <c r="E67" t="str">
        <f t="shared" si="2"/>
        <v>ccf4-800-05</v>
      </c>
      <c r="F67" t="s">
        <v>804</v>
      </c>
      <c r="G67">
        <v>13.760245812000001</v>
      </c>
      <c r="H67">
        <v>13.791633448039599</v>
      </c>
      <c r="I67">
        <v>11.390976</v>
      </c>
    </row>
    <row r="68" spans="1:9" x14ac:dyDescent="0.2">
      <c r="A68" t="s">
        <v>809</v>
      </c>
      <c r="B68">
        <v>800</v>
      </c>
      <c r="C68">
        <v>5</v>
      </c>
      <c r="E68" t="str">
        <f t="shared" si="2"/>
        <v>ccf5-800-05</v>
      </c>
      <c r="F68" t="s">
        <v>804</v>
      </c>
      <c r="G68">
        <v>13.733131704</v>
      </c>
      <c r="H68">
        <v>13.8420195259968</v>
      </c>
      <c r="I68">
        <v>11.378688</v>
      </c>
    </row>
    <row r="69" spans="1:9" x14ac:dyDescent="0.2">
      <c r="A69" t="s">
        <v>810</v>
      </c>
      <c r="B69">
        <v>800</v>
      </c>
      <c r="C69">
        <v>5</v>
      </c>
      <c r="E69" t="str">
        <f t="shared" si="2"/>
        <v>ccf6-800-05</v>
      </c>
      <c r="F69" t="s">
        <v>804</v>
      </c>
      <c r="G69">
        <v>27.834757359000001</v>
      </c>
      <c r="H69">
        <v>27.875401110970401</v>
      </c>
      <c r="I69">
        <v>12.439552000000001</v>
      </c>
    </row>
    <row r="70" spans="1:9" x14ac:dyDescent="0.2">
      <c r="A70" t="s">
        <v>811</v>
      </c>
      <c r="B70">
        <v>800</v>
      </c>
      <c r="C70">
        <v>5</v>
      </c>
      <c r="E70" t="str">
        <f t="shared" si="2"/>
        <v>ccf7-800-05</v>
      </c>
      <c r="F70" t="s">
        <v>804</v>
      </c>
      <c r="G70">
        <v>32.362873270000001</v>
      </c>
      <c r="H70">
        <v>32.404669848969199</v>
      </c>
      <c r="I70">
        <v>12.9024</v>
      </c>
    </row>
    <row r="71" spans="1:9" x14ac:dyDescent="0.2">
      <c r="A71" t="s">
        <v>812</v>
      </c>
      <c r="B71">
        <v>800</v>
      </c>
      <c r="C71">
        <v>5</v>
      </c>
      <c r="E71" t="str">
        <f t="shared" si="2"/>
        <v>ccf8-800-05</v>
      </c>
      <c r="F71" t="s">
        <v>804</v>
      </c>
      <c r="G71">
        <v>33.084457843000003</v>
      </c>
      <c r="H71">
        <v>33.126314143999402</v>
      </c>
      <c r="I71">
        <v>12.959744000000001</v>
      </c>
    </row>
    <row r="72" spans="1:9" x14ac:dyDescent="0.2">
      <c r="A72" t="s">
        <v>813</v>
      </c>
      <c r="B72">
        <v>800</v>
      </c>
      <c r="C72">
        <v>5</v>
      </c>
      <c r="E72" t="str">
        <f t="shared" si="2"/>
        <v>ccf9-800-05</v>
      </c>
      <c r="F72" t="s">
        <v>804</v>
      </c>
      <c r="G72">
        <v>1.629985668</v>
      </c>
      <c r="H72">
        <v>1.63607304502511</v>
      </c>
      <c r="I72">
        <v>10.493952</v>
      </c>
    </row>
    <row r="73" spans="1:9" x14ac:dyDescent="0.2">
      <c r="A73" t="s">
        <v>805</v>
      </c>
      <c r="B73">
        <v>900</v>
      </c>
      <c r="C73">
        <v>5</v>
      </c>
      <c r="E73" t="str">
        <f t="shared" si="2"/>
        <v>ccf1-900-05</v>
      </c>
      <c r="F73" t="s">
        <v>804</v>
      </c>
      <c r="G73">
        <v>24.343804406</v>
      </c>
      <c r="H73">
        <v>24.374561531992999</v>
      </c>
      <c r="I73">
        <v>11.530239999999999</v>
      </c>
    </row>
    <row r="74" spans="1:9" x14ac:dyDescent="0.2">
      <c r="A74" t="s">
        <v>806</v>
      </c>
      <c r="B74">
        <v>900</v>
      </c>
      <c r="C74">
        <v>5</v>
      </c>
      <c r="E74" t="str">
        <f t="shared" si="2"/>
        <v>ccf2-900-05</v>
      </c>
      <c r="F74" t="s">
        <v>804</v>
      </c>
      <c r="G74">
        <v>24.604588065000002</v>
      </c>
      <c r="H74">
        <v>24.6265808150055</v>
      </c>
      <c r="I74">
        <v>11.575296</v>
      </c>
    </row>
    <row r="75" spans="1:9" x14ac:dyDescent="0.2">
      <c r="A75" t="s">
        <v>807</v>
      </c>
      <c r="B75">
        <v>900</v>
      </c>
      <c r="C75">
        <v>5</v>
      </c>
      <c r="E75" t="str">
        <f t="shared" si="2"/>
        <v>ccf3-900-05</v>
      </c>
      <c r="F75" t="s">
        <v>804</v>
      </c>
      <c r="G75">
        <v>28.292409703000001</v>
      </c>
      <c r="H75">
        <v>28.436983908002698</v>
      </c>
      <c r="I75">
        <v>12.136448</v>
      </c>
    </row>
    <row r="76" spans="1:9" x14ac:dyDescent="0.2">
      <c r="A76" t="s">
        <v>808</v>
      </c>
      <c r="B76">
        <v>900</v>
      </c>
      <c r="C76">
        <v>5</v>
      </c>
      <c r="E76" t="str">
        <f t="shared" si="2"/>
        <v>ccf4-900-05</v>
      </c>
      <c r="F76" t="s">
        <v>804</v>
      </c>
      <c r="G76">
        <v>30.861425057000002</v>
      </c>
      <c r="H76">
        <v>31.1062858999939</v>
      </c>
      <c r="I76">
        <v>12.234752</v>
      </c>
    </row>
    <row r="77" spans="1:9" x14ac:dyDescent="0.2">
      <c r="A77" t="s">
        <v>809</v>
      </c>
      <c r="B77">
        <v>900</v>
      </c>
      <c r="C77">
        <v>5</v>
      </c>
      <c r="E77" t="str">
        <f t="shared" si="2"/>
        <v>ccf5-900-05</v>
      </c>
      <c r="F77" t="s">
        <v>804</v>
      </c>
      <c r="G77">
        <v>33.385571097000003</v>
      </c>
      <c r="H77">
        <v>33.518775943026398</v>
      </c>
      <c r="I77">
        <v>12.267519999999999</v>
      </c>
    </row>
    <row r="78" spans="1:9" x14ac:dyDescent="0.2">
      <c r="A78" t="s">
        <v>810</v>
      </c>
      <c r="B78">
        <v>900</v>
      </c>
      <c r="C78">
        <v>5</v>
      </c>
      <c r="E78" t="str">
        <f t="shared" si="2"/>
        <v>ccf6-900-05</v>
      </c>
      <c r="F78" t="s">
        <v>804</v>
      </c>
      <c r="G78">
        <v>23.801319678999999</v>
      </c>
      <c r="H78">
        <v>23.8153351709479</v>
      </c>
      <c r="I78">
        <v>11.231232</v>
      </c>
    </row>
    <row r="79" spans="1:9" x14ac:dyDescent="0.2">
      <c r="A79" t="s">
        <v>811</v>
      </c>
      <c r="B79">
        <v>900</v>
      </c>
      <c r="C79">
        <v>5</v>
      </c>
      <c r="E79" t="str">
        <f t="shared" si="2"/>
        <v>ccf7-900-05</v>
      </c>
      <c r="F79" t="s">
        <v>804</v>
      </c>
      <c r="G79">
        <v>26.540617234999999</v>
      </c>
      <c r="H79">
        <v>26.6897559950011</v>
      </c>
      <c r="I79">
        <v>11.698176</v>
      </c>
    </row>
    <row r="80" spans="1:9" x14ac:dyDescent="0.2">
      <c r="A80" t="s">
        <v>812</v>
      </c>
      <c r="B80">
        <v>900</v>
      </c>
      <c r="C80">
        <v>5</v>
      </c>
      <c r="E80" t="str">
        <f t="shared" si="2"/>
        <v>ccf8-900-05</v>
      </c>
      <c r="F80" t="s">
        <v>804</v>
      </c>
      <c r="G80">
        <v>30.277475823</v>
      </c>
      <c r="H80">
        <v>30.360799921967502</v>
      </c>
      <c r="I80">
        <v>12.079103999999999</v>
      </c>
    </row>
    <row r="81" spans="1:9" x14ac:dyDescent="0.2">
      <c r="A81" t="s">
        <v>813</v>
      </c>
      <c r="B81">
        <v>900</v>
      </c>
      <c r="C81">
        <v>5</v>
      </c>
      <c r="E81" t="str">
        <f t="shared" si="2"/>
        <v>ccf9-900-05</v>
      </c>
      <c r="F81" t="s">
        <v>804</v>
      </c>
      <c r="G81">
        <v>30.354565747999999</v>
      </c>
      <c r="H81">
        <v>30.401441651978502</v>
      </c>
      <c r="I81">
        <v>12.054527999999999</v>
      </c>
    </row>
    <row r="82" spans="1:9" x14ac:dyDescent="0.2">
      <c r="A82" t="s">
        <v>805</v>
      </c>
      <c r="B82">
        <v>1000</v>
      </c>
      <c r="C82">
        <v>5</v>
      </c>
      <c r="E82" t="str">
        <f t="shared" si="2"/>
        <v>ccf1-1000-05</v>
      </c>
      <c r="F82" t="s">
        <v>804</v>
      </c>
      <c r="G82">
        <v>1.8959334269999999</v>
      </c>
      <c r="H82">
        <v>1.9215558169525999</v>
      </c>
      <c r="I82">
        <v>9.1709440000000004</v>
      </c>
    </row>
    <row r="83" spans="1:9" x14ac:dyDescent="0.2">
      <c r="A83" t="s">
        <v>806</v>
      </c>
      <c r="B83">
        <v>1000</v>
      </c>
      <c r="C83">
        <v>5</v>
      </c>
      <c r="E83" t="str">
        <f t="shared" si="2"/>
        <v>ccf2-1000-05</v>
      </c>
      <c r="F83" t="s">
        <v>804</v>
      </c>
      <c r="G83">
        <v>1.218303192</v>
      </c>
      <c r="H83">
        <v>1.2634284190134999</v>
      </c>
      <c r="I83">
        <v>8.7203839999999992</v>
      </c>
    </row>
    <row r="84" spans="1:9" x14ac:dyDescent="0.2">
      <c r="A84" t="s">
        <v>807</v>
      </c>
      <c r="B84">
        <v>1000</v>
      </c>
      <c r="C84">
        <v>5</v>
      </c>
      <c r="E84" t="str">
        <f t="shared" si="2"/>
        <v>ccf3-1000-05</v>
      </c>
      <c r="F84" t="s">
        <v>804</v>
      </c>
      <c r="G84">
        <v>1.2208236939999999</v>
      </c>
      <c r="H84">
        <v>1.2232317900052201</v>
      </c>
      <c r="I84">
        <v>8.753152</v>
      </c>
    </row>
    <row r="85" spans="1:9" x14ac:dyDescent="0.2">
      <c r="A85" t="s">
        <v>808</v>
      </c>
      <c r="B85">
        <v>1000</v>
      </c>
      <c r="C85">
        <v>5</v>
      </c>
      <c r="E85" t="str">
        <f t="shared" si="2"/>
        <v>ccf4-1000-05</v>
      </c>
      <c r="F85" t="s">
        <v>804</v>
      </c>
      <c r="G85">
        <v>3.098758728</v>
      </c>
      <c r="H85">
        <v>3.1472243639873301</v>
      </c>
      <c r="I85">
        <v>11.108352</v>
      </c>
    </row>
    <row r="86" spans="1:9" x14ac:dyDescent="0.2">
      <c r="A86" t="s">
        <v>809</v>
      </c>
      <c r="B86">
        <v>1000</v>
      </c>
      <c r="C86">
        <v>5</v>
      </c>
      <c r="E86" t="str">
        <f t="shared" si="2"/>
        <v>ccf5-1000-05</v>
      </c>
      <c r="F86" t="s">
        <v>804</v>
      </c>
      <c r="G86">
        <v>3.0694220240000001</v>
      </c>
      <c r="H86">
        <v>3.0919737470103401</v>
      </c>
      <c r="I86">
        <v>11.177984</v>
      </c>
    </row>
    <row r="87" spans="1:9" x14ac:dyDescent="0.2">
      <c r="A87" t="s">
        <v>810</v>
      </c>
      <c r="B87">
        <v>1000</v>
      </c>
      <c r="C87">
        <v>5</v>
      </c>
      <c r="E87" t="str">
        <f t="shared" si="2"/>
        <v>ccf6-1000-05</v>
      </c>
      <c r="F87" t="s">
        <v>804</v>
      </c>
      <c r="G87">
        <v>3.0860809499999999</v>
      </c>
      <c r="H87">
        <v>3.0921608069911599</v>
      </c>
      <c r="I87">
        <v>11.169791999999999</v>
      </c>
    </row>
    <row r="88" spans="1:9" x14ac:dyDescent="0.2">
      <c r="A88" t="s">
        <v>811</v>
      </c>
      <c r="B88">
        <v>1000</v>
      </c>
      <c r="C88">
        <v>5</v>
      </c>
      <c r="E88" t="str">
        <f t="shared" si="2"/>
        <v>ccf7-1000-05</v>
      </c>
      <c r="F88" t="s">
        <v>804</v>
      </c>
      <c r="G88">
        <v>3.184357264</v>
      </c>
      <c r="H88">
        <v>3.1922830239636801</v>
      </c>
      <c r="I88">
        <v>11.20256</v>
      </c>
    </row>
    <row r="89" spans="1:9" x14ac:dyDescent="0.2">
      <c r="A89" t="s">
        <v>812</v>
      </c>
      <c r="B89">
        <v>1000</v>
      </c>
      <c r="C89">
        <v>5</v>
      </c>
      <c r="E89" t="str">
        <f t="shared" si="2"/>
        <v>ccf8-1000-05</v>
      </c>
      <c r="F89" t="s">
        <v>804</v>
      </c>
      <c r="G89">
        <v>4.5833263100000003</v>
      </c>
      <c r="H89">
        <v>4.5872895920183501</v>
      </c>
      <c r="I89">
        <v>11.603968</v>
      </c>
    </row>
    <row r="90" spans="1:9" x14ac:dyDescent="0.2">
      <c r="A90" t="s">
        <v>813</v>
      </c>
      <c r="B90">
        <v>1000</v>
      </c>
      <c r="C90">
        <v>5</v>
      </c>
      <c r="E90" t="str">
        <f t="shared" si="2"/>
        <v>ccf9-1000-05</v>
      </c>
      <c r="F90" t="s">
        <v>804</v>
      </c>
      <c r="G90">
        <v>4.62892992</v>
      </c>
      <c r="H90">
        <v>4.6358374870033003</v>
      </c>
      <c r="I90">
        <v>11.579392</v>
      </c>
    </row>
  </sheetData>
  <sortState xmlns:xlrd2="http://schemas.microsoft.com/office/spreadsheetml/2017/richdata2" ref="A2:I90">
    <sortCondition ref="B2:B90"/>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Q173"/>
  <sheetViews>
    <sheetView zoomScale="85" zoomScaleNormal="85" workbookViewId="0">
      <selection activeCell="DA1" sqref="DA1:DH1"/>
    </sheetView>
  </sheetViews>
  <sheetFormatPr baseColWidth="10" defaultColWidth="8.83203125" defaultRowHeight="15" x14ac:dyDescent="0.2"/>
  <cols>
    <col min="3" max="3" width="13.33203125" bestFit="1" customWidth="1"/>
    <col min="31" max="31" width="13.6640625" bestFit="1" customWidth="1"/>
    <col min="35" max="35" width="10.6640625" bestFit="1" customWidth="1"/>
    <col min="45" max="45" width="9.6640625" bestFit="1" customWidth="1"/>
    <col min="57" max="57" width="9.6640625" bestFit="1" customWidth="1"/>
    <col min="74" max="95" width="9.33203125" customWidth="1"/>
  </cols>
  <sheetData>
    <row r="1" spans="1:121" x14ac:dyDescent="0.2">
      <c r="F1" s="18" t="s">
        <v>814</v>
      </c>
      <c r="G1" s="18"/>
      <c r="H1" s="18"/>
      <c r="I1" s="18"/>
      <c r="J1" s="18"/>
      <c r="K1" s="18"/>
      <c r="L1" s="18"/>
      <c r="N1" s="20" t="s">
        <v>815</v>
      </c>
      <c r="O1" s="20"/>
      <c r="P1" s="20"/>
      <c r="Q1" s="20"/>
      <c r="R1" s="20"/>
      <c r="S1" s="20"/>
      <c r="T1" s="20"/>
      <c r="V1" s="21" t="s">
        <v>816</v>
      </c>
      <c r="W1" s="21"/>
      <c r="X1" s="21"/>
      <c r="Y1" s="21"/>
      <c r="Z1" s="21"/>
      <c r="AA1" s="21"/>
      <c r="AB1" s="21"/>
      <c r="AD1" s="8" t="s">
        <v>817</v>
      </c>
      <c r="AE1" s="8"/>
      <c r="AF1" s="8"/>
      <c r="AG1" s="8"/>
      <c r="AH1" s="8"/>
      <c r="AI1" s="8"/>
      <c r="AJ1" s="8"/>
      <c r="AN1" s="9" t="s">
        <v>818</v>
      </c>
      <c r="AO1" s="9"/>
      <c r="AP1" s="9"/>
      <c r="AQ1" s="9"/>
      <c r="AR1" s="9"/>
      <c r="AS1" s="9"/>
      <c r="AT1" s="9"/>
      <c r="AY1" s="10" t="s">
        <v>819</v>
      </c>
      <c r="AZ1" s="10"/>
      <c r="BA1" s="10"/>
      <c r="BB1" s="10"/>
      <c r="BC1" s="10"/>
      <c r="BD1" s="10"/>
      <c r="BE1" s="10"/>
      <c r="BF1" s="10"/>
      <c r="BO1" s="18" t="s">
        <v>820</v>
      </c>
      <c r="BP1" s="18"/>
      <c r="BQ1" s="18"/>
      <c r="BR1" s="18"/>
      <c r="BS1" s="18"/>
      <c r="BT1" s="18"/>
      <c r="BU1" s="18"/>
      <c r="BV1" s="18"/>
      <c r="CR1" s="19" t="s">
        <v>821</v>
      </c>
      <c r="CS1" s="19"/>
      <c r="CT1" s="19"/>
      <c r="CU1" s="19"/>
      <c r="CV1" s="19"/>
      <c r="CW1" s="19"/>
      <c r="CX1" s="19"/>
      <c r="CY1" s="19"/>
      <c r="DA1" s="20" t="s">
        <v>822</v>
      </c>
      <c r="DB1" s="20"/>
      <c r="DC1" s="20"/>
      <c r="DD1" s="20"/>
      <c r="DE1" s="20"/>
      <c r="DF1" s="20"/>
      <c r="DG1" s="20"/>
      <c r="DH1" s="20"/>
      <c r="DJ1" s="20" t="s">
        <v>823</v>
      </c>
      <c r="DK1" s="20"/>
      <c r="DL1" s="20"/>
      <c r="DM1" s="20"/>
      <c r="DN1" s="20"/>
      <c r="DO1" s="20"/>
      <c r="DP1" s="20"/>
      <c r="DQ1" s="20"/>
    </row>
    <row r="2" spans="1:121" x14ac:dyDescent="0.2">
      <c r="C2" t="s">
        <v>784</v>
      </c>
      <c r="F2" t="s">
        <v>785</v>
      </c>
      <c r="G2" t="s">
        <v>786</v>
      </c>
      <c r="H2" t="s">
        <v>787</v>
      </c>
      <c r="I2" t="s">
        <v>788</v>
      </c>
      <c r="K2" t="s">
        <v>824</v>
      </c>
      <c r="L2" t="s">
        <v>825</v>
      </c>
      <c r="N2" t="s">
        <v>785</v>
      </c>
      <c r="O2" t="s">
        <v>786</v>
      </c>
      <c r="P2" t="s">
        <v>787</v>
      </c>
      <c r="Q2" t="s">
        <v>788</v>
      </c>
      <c r="S2" t="s">
        <v>824</v>
      </c>
      <c r="T2" t="s">
        <v>826</v>
      </c>
      <c r="V2" t="s">
        <v>785</v>
      </c>
      <c r="W2" t="s">
        <v>786</v>
      </c>
      <c r="X2" t="s">
        <v>787</v>
      </c>
      <c r="Y2" t="s">
        <v>788</v>
      </c>
      <c r="AA2" t="s">
        <v>824</v>
      </c>
      <c r="AB2" t="s">
        <v>826</v>
      </c>
      <c r="AC2" t="s">
        <v>784</v>
      </c>
      <c r="AD2" t="s">
        <v>785</v>
      </c>
      <c r="AE2" t="s">
        <v>827</v>
      </c>
      <c r="AF2" t="s">
        <v>787</v>
      </c>
      <c r="AG2" t="s">
        <v>828</v>
      </c>
      <c r="AI2" t="s">
        <v>824</v>
      </c>
      <c r="AJ2" t="s">
        <v>826</v>
      </c>
      <c r="AM2" t="s">
        <v>784</v>
      </c>
      <c r="AN2" t="s">
        <v>785</v>
      </c>
      <c r="AO2" t="s">
        <v>829</v>
      </c>
      <c r="AP2" t="s">
        <v>787</v>
      </c>
      <c r="AQ2" t="s">
        <v>830</v>
      </c>
      <c r="AS2" t="s">
        <v>824</v>
      </c>
      <c r="AT2" t="s">
        <v>826</v>
      </c>
      <c r="AX2" t="s">
        <v>784</v>
      </c>
      <c r="AY2" t="s">
        <v>785</v>
      </c>
      <c r="AZ2" t="s">
        <v>831</v>
      </c>
      <c r="BA2" t="s">
        <v>787</v>
      </c>
      <c r="BB2" t="s">
        <v>832</v>
      </c>
      <c r="BE2" t="s">
        <v>824</v>
      </c>
      <c r="BF2" t="s">
        <v>826</v>
      </c>
      <c r="BO2" t="s">
        <v>785</v>
      </c>
      <c r="BP2" t="s">
        <v>786</v>
      </c>
      <c r="BQ2" t="s">
        <v>787</v>
      </c>
      <c r="BR2" t="s">
        <v>788</v>
      </c>
      <c r="BU2" t="s">
        <v>824</v>
      </c>
      <c r="BV2" t="s">
        <v>826</v>
      </c>
      <c r="CR2" t="s">
        <v>785</v>
      </c>
      <c r="CS2" t="s">
        <v>786</v>
      </c>
      <c r="CT2" t="s">
        <v>787</v>
      </c>
      <c r="CU2" t="s">
        <v>788</v>
      </c>
      <c r="CX2" t="s">
        <v>824</v>
      </c>
      <c r="CY2" t="s">
        <v>826</v>
      </c>
      <c r="DA2" t="s">
        <v>785</v>
      </c>
      <c r="DB2" t="s">
        <v>786</v>
      </c>
      <c r="DC2" t="s">
        <v>787</v>
      </c>
      <c r="DD2" t="s">
        <v>788</v>
      </c>
      <c r="DG2" t="s">
        <v>824</v>
      </c>
      <c r="DH2" t="s">
        <v>826</v>
      </c>
    </row>
    <row r="3" spans="1:121" ht="16" x14ac:dyDescent="0.2">
      <c r="A3">
        <v>100</v>
      </c>
      <c r="B3">
        <v>1</v>
      </c>
      <c r="C3" t="str">
        <f>A3&amp;"-0"&amp;B3</f>
        <v>100-01</v>
      </c>
      <c r="F3" t="s">
        <v>833</v>
      </c>
      <c r="G3">
        <v>9.5788566000000006E-2</v>
      </c>
      <c r="H3">
        <v>0.113531048002187</v>
      </c>
      <c r="I3">
        <v>6.3406079999999996</v>
      </c>
      <c r="K3">
        <v>490</v>
      </c>
      <c r="N3" t="s">
        <v>833</v>
      </c>
      <c r="O3">
        <v>0.11024463700000001</v>
      </c>
      <c r="P3">
        <v>0.14126959198620101</v>
      </c>
      <c r="Q3">
        <v>6.2750719999999998</v>
      </c>
      <c r="S3">
        <v>490</v>
      </c>
      <c r="V3" t="s">
        <v>833</v>
      </c>
      <c r="W3">
        <v>8.7176162000000001E-2</v>
      </c>
      <c r="X3">
        <v>9.6683059993665596E-2</v>
      </c>
      <c r="Y3">
        <v>6.2259200000000003</v>
      </c>
      <c r="AC3" t="s">
        <v>834</v>
      </c>
      <c r="AD3" t="s">
        <v>833</v>
      </c>
      <c r="AE3">
        <v>0.11244756</v>
      </c>
      <c r="AF3">
        <v>0.143246715975692</v>
      </c>
      <c r="AG3">
        <v>6.3324160000000003</v>
      </c>
      <c r="AI3">
        <v>490</v>
      </c>
      <c r="AJ3" s="4">
        <v>7.7400000000000004E-6</v>
      </c>
      <c r="AK3" s="5">
        <v>1.15222E-2</v>
      </c>
      <c r="AL3" s="5"/>
      <c r="AM3" s="5" t="s">
        <v>834</v>
      </c>
      <c r="AN3" t="s">
        <v>833</v>
      </c>
      <c r="AO3">
        <v>0.118721988</v>
      </c>
      <c r="AP3">
        <v>0.155261888983659</v>
      </c>
      <c r="AQ3">
        <v>6.2177280000000001</v>
      </c>
      <c r="AS3">
        <v>490</v>
      </c>
      <c r="AT3">
        <v>2.6601899999999999E-4</v>
      </c>
      <c r="AU3">
        <v>1.2970499999999999E-2</v>
      </c>
      <c r="AX3" s="5" t="s">
        <v>834</v>
      </c>
      <c r="AY3" t="s">
        <v>833</v>
      </c>
      <c r="AZ3">
        <v>0.113772972</v>
      </c>
      <c r="BA3">
        <v>0.146533915016334</v>
      </c>
      <c r="BB3">
        <v>6.2709760000000001</v>
      </c>
      <c r="BE3">
        <v>490</v>
      </c>
      <c r="BF3">
        <v>2.6805600000000002E-4</v>
      </c>
      <c r="BG3">
        <v>1.2970499999999999E-2</v>
      </c>
      <c r="BO3" t="s">
        <v>833</v>
      </c>
      <c r="BP3">
        <v>7.7879643999999998E-2</v>
      </c>
      <c r="BQ3">
        <v>0.12178778299130499</v>
      </c>
      <c r="BR3">
        <v>6.3610879999999996</v>
      </c>
      <c r="CR3" t="s">
        <v>833</v>
      </c>
      <c r="CS3">
        <v>8.0534037000000003E-2</v>
      </c>
      <c r="CT3">
        <v>0.408448694972321</v>
      </c>
      <c r="CU3">
        <v>6.2382080000000002</v>
      </c>
      <c r="DA3" t="s">
        <v>833</v>
      </c>
      <c r="DB3">
        <v>8.4538066999999995E-2</v>
      </c>
      <c r="DC3">
        <v>0.45632517302874398</v>
      </c>
      <c r="DD3">
        <v>6.1931520000000004</v>
      </c>
      <c r="DJ3" t="s">
        <v>833</v>
      </c>
      <c r="DK3">
        <v>8.1982503999999998E-2</v>
      </c>
      <c r="DL3">
        <v>0.39197534392587802</v>
      </c>
      <c r="DM3">
        <v>6.2709760000000001</v>
      </c>
    </row>
    <row r="4" spans="1:121" ht="16" x14ac:dyDescent="0.2">
      <c r="A4">
        <v>100</v>
      </c>
      <c r="B4">
        <v>2</v>
      </c>
      <c r="C4" t="str">
        <f t="shared" ref="C4:C67" si="0">A4&amp;"-0"&amp;B4</f>
        <v>100-02</v>
      </c>
      <c r="F4" t="s">
        <v>833</v>
      </c>
      <c r="G4">
        <v>0.19784918900000001</v>
      </c>
      <c r="H4">
        <v>0.21667600999353401</v>
      </c>
      <c r="I4">
        <v>6.2054400000000003</v>
      </c>
      <c r="K4">
        <v>1846</v>
      </c>
      <c r="N4" t="s">
        <v>833</v>
      </c>
      <c r="O4">
        <v>0.21163089199999999</v>
      </c>
      <c r="P4">
        <v>0.24092006799764901</v>
      </c>
      <c r="Q4">
        <v>6.2054400000000003</v>
      </c>
      <c r="S4">
        <v>1846</v>
      </c>
      <c r="V4" t="s">
        <v>833</v>
      </c>
      <c r="W4">
        <v>0.187464732</v>
      </c>
      <c r="X4">
        <v>0.19758713900228</v>
      </c>
      <c r="Y4">
        <v>6.156288</v>
      </c>
      <c r="AC4" t="s">
        <v>835</v>
      </c>
      <c r="AD4" t="s">
        <v>833</v>
      </c>
      <c r="AE4">
        <v>0.21960044500000001</v>
      </c>
      <c r="AF4">
        <v>0.24881187602295499</v>
      </c>
      <c r="AG4">
        <v>6.303744</v>
      </c>
      <c r="AI4" s="5">
        <v>1846</v>
      </c>
      <c r="AJ4" s="4">
        <v>7.3579999999999997E-6</v>
      </c>
      <c r="AK4" s="6">
        <v>4.1836199999999999E-13</v>
      </c>
      <c r="AL4" s="6"/>
      <c r="AM4" s="6" t="s">
        <v>835</v>
      </c>
      <c r="AN4" t="s">
        <v>833</v>
      </c>
      <c r="AO4">
        <v>0.226832702</v>
      </c>
      <c r="AP4">
        <v>0.26017879700521002</v>
      </c>
      <c r="AQ4">
        <v>6.2136319999999996</v>
      </c>
      <c r="AS4">
        <v>1846</v>
      </c>
      <c r="AT4">
        <v>4.2398000000000002E-4</v>
      </c>
      <c r="AU4" s="1">
        <v>4.4793399999999998E-13</v>
      </c>
      <c r="AV4" s="1"/>
      <c r="AW4" s="1"/>
      <c r="AX4" s="6" t="s">
        <v>835</v>
      </c>
      <c r="AY4" t="s">
        <v>833</v>
      </c>
      <c r="AZ4">
        <v>0.221840754</v>
      </c>
      <c r="BA4">
        <v>0.25136268298956499</v>
      </c>
      <c r="BB4">
        <v>6.1521920000000003</v>
      </c>
      <c r="BE4">
        <v>1846</v>
      </c>
      <c r="BF4">
        <v>4.2792900000000002E-4</v>
      </c>
      <c r="BG4" s="1">
        <v>4.4793399999999998E-13</v>
      </c>
      <c r="BO4" t="s">
        <v>833</v>
      </c>
      <c r="BP4">
        <v>0.18515496000000001</v>
      </c>
      <c r="BQ4">
        <v>4.4730525939958099</v>
      </c>
      <c r="BR4">
        <v>6.1071359999999997</v>
      </c>
      <c r="CR4" t="s">
        <v>833</v>
      </c>
      <c r="CS4">
        <v>0.180586158</v>
      </c>
      <c r="CT4">
        <v>1.59497077099513</v>
      </c>
      <c r="CU4">
        <v>6.0948479999999998</v>
      </c>
      <c r="DA4" t="s">
        <v>833</v>
      </c>
      <c r="DB4">
        <v>0.19227797299999999</v>
      </c>
      <c r="DC4">
        <v>4.0604733190266398</v>
      </c>
      <c r="DD4">
        <v>6.1972480000000001</v>
      </c>
      <c r="DJ4" t="s">
        <v>833</v>
      </c>
      <c r="DK4">
        <v>0.191638538</v>
      </c>
      <c r="DL4">
        <v>3.5494305019965302</v>
      </c>
      <c r="DM4">
        <v>6.1521920000000003</v>
      </c>
    </row>
    <row r="5" spans="1:121" ht="16" x14ac:dyDescent="0.2">
      <c r="A5">
        <v>100</v>
      </c>
      <c r="B5">
        <v>3</v>
      </c>
      <c r="C5" t="str">
        <f t="shared" si="0"/>
        <v>100-03</v>
      </c>
      <c r="F5" t="s">
        <v>833</v>
      </c>
      <c r="G5">
        <v>8.1930659000000003E-2</v>
      </c>
      <c r="H5">
        <v>0.100791150995064</v>
      </c>
      <c r="I5">
        <v>6.0784640000000003</v>
      </c>
      <c r="K5">
        <v>83</v>
      </c>
      <c r="N5" t="s">
        <v>833</v>
      </c>
      <c r="O5">
        <v>9.6154159000000003E-2</v>
      </c>
      <c r="P5">
        <v>0.126509984984295</v>
      </c>
      <c r="Q5">
        <v>6.1071359999999997</v>
      </c>
      <c r="S5">
        <v>83</v>
      </c>
      <c r="V5" t="s">
        <v>833</v>
      </c>
      <c r="W5">
        <v>7.4867435999999996E-2</v>
      </c>
      <c r="X5">
        <v>8.3744670002488406E-2</v>
      </c>
      <c r="Y5">
        <v>6.1112320000000002</v>
      </c>
      <c r="AC5" t="s">
        <v>836</v>
      </c>
      <c r="AD5" t="s">
        <v>833</v>
      </c>
      <c r="AE5">
        <v>9.7503664000000004E-2</v>
      </c>
      <c r="AF5">
        <v>0.126694776990916</v>
      </c>
      <c r="AG5">
        <v>6.2054400000000003</v>
      </c>
      <c r="AI5" s="5">
        <v>83</v>
      </c>
      <c r="AJ5" s="4">
        <v>4.7210000000000002E-6</v>
      </c>
      <c r="AK5" s="6">
        <v>7.8260800000000008E-9</v>
      </c>
      <c r="AL5" s="6"/>
      <c r="AM5" s="6" t="s">
        <v>836</v>
      </c>
      <c r="AN5" t="s">
        <v>833</v>
      </c>
      <c r="AO5">
        <v>0.102652994</v>
      </c>
      <c r="AP5">
        <v>0.13896545401075799</v>
      </c>
      <c r="AQ5">
        <v>6.1235200000000001</v>
      </c>
      <c r="AS5" s="5">
        <v>83</v>
      </c>
      <c r="AT5" s="1">
        <v>6.3021999999999994E-5</v>
      </c>
      <c r="AU5" s="1">
        <v>8.4678200000000006E-9</v>
      </c>
      <c r="AV5" s="1"/>
      <c r="AW5" s="1"/>
      <c r="AX5" s="6" t="s">
        <v>836</v>
      </c>
      <c r="AY5" t="s">
        <v>833</v>
      </c>
      <c r="AZ5">
        <v>0.100072827</v>
      </c>
      <c r="BA5">
        <v>0.12921052597812299</v>
      </c>
      <c r="BB5">
        <v>6.0784640000000003</v>
      </c>
      <c r="BE5">
        <v>83</v>
      </c>
      <c r="BF5" s="1">
        <v>6.5149999999999998E-5</v>
      </c>
      <c r="BG5" s="1">
        <v>8.4678200000000006E-9</v>
      </c>
      <c r="BO5" t="s">
        <v>833</v>
      </c>
      <c r="BP5">
        <v>6.4688200000000001E-2</v>
      </c>
      <c r="BQ5">
        <v>6.8034731957595795E-2</v>
      </c>
      <c r="BR5">
        <v>6.0866559999999996</v>
      </c>
      <c r="CR5" t="s">
        <v>833</v>
      </c>
      <c r="CS5">
        <v>6.6551668999999994E-2</v>
      </c>
      <c r="CT5">
        <v>6.9969707052223301E-2</v>
      </c>
      <c r="CU5">
        <v>6.0907520000000002</v>
      </c>
      <c r="DA5" t="s">
        <v>833</v>
      </c>
      <c r="DB5">
        <v>6.6368057999999994E-2</v>
      </c>
      <c r="DC5">
        <v>7.0256568025797606E-2</v>
      </c>
      <c r="DD5">
        <v>6.0907520000000002</v>
      </c>
      <c r="DJ5" t="s">
        <v>833</v>
      </c>
      <c r="DK5">
        <v>6.5346785000000004E-2</v>
      </c>
      <c r="DL5">
        <v>0.38046474801376401</v>
      </c>
      <c r="DM5">
        <v>6.156288</v>
      </c>
    </row>
    <row r="6" spans="1:121" ht="16" x14ac:dyDescent="0.2">
      <c r="A6">
        <v>100</v>
      </c>
      <c r="B6">
        <v>4</v>
      </c>
      <c r="C6" t="str">
        <f t="shared" si="0"/>
        <v>100-04</v>
      </c>
      <c r="F6" t="s">
        <v>833</v>
      </c>
      <c r="G6">
        <v>9.1966300000000001E-2</v>
      </c>
      <c r="H6">
        <v>0.107574970999849</v>
      </c>
      <c r="I6">
        <v>6.3406079999999996</v>
      </c>
      <c r="K6">
        <v>276</v>
      </c>
      <c r="N6" t="s">
        <v>833</v>
      </c>
      <c r="O6">
        <v>0.106562816</v>
      </c>
      <c r="P6">
        <v>0.13397472898941401</v>
      </c>
      <c r="Q6">
        <v>6.2095359999999999</v>
      </c>
      <c r="S6">
        <v>276</v>
      </c>
      <c r="V6" t="s">
        <v>833</v>
      </c>
      <c r="W6">
        <v>8.0576834999999999E-2</v>
      </c>
      <c r="X6">
        <v>9.0512217997456901E-2</v>
      </c>
      <c r="Y6">
        <v>6.2177280000000001</v>
      </c>
      <c r="AC6" t="s">
        <v>837</v>
      </c>
      <c r="AD6" t="s">
        <v>833</v>
      </c>
      <c r="AE6">
        <v>0.10509741</v>
      </c>
      <c r="AF6">
        <v>0.13555429299594801</v>
      </c>
      <c r="AG6">
        <v>6.283264</v>
      </c>
      <c r="AI6" s="5">
        <v>276</v>
      </c>
      <c r="AJ6" s="4">
        <v>1.1805E-5</v>
      </c>
      <c r="AK6" s="6">
        <v>2.3393E-7</v>
      </c>
      <c r="AL6" s="6"/>
      <c r="AM6" s="6" t="s">
        <v>837</v>
      </c>
      <c r="AN6" t="s">
        <v>833</v>
      </c>
      <c r="AO6">
        <v>0.110802336</v>
      </c>
      <c r="AP6">
        <v>0.148446311999578</v>
      </c>
      <c r="AQ6">
        <v>6.2095359999999999</v>
      </c>
      <c r="AS6">
        <v>276</v>
      </c>
      <c r="AT6">
        <v>1.38794E-4</v>
      </c>
      <c r="AU6" s="1">
        <v>2.6775600000000001E-7</v>
      </c>
      <c r="AV6" s="1"/>
      <c r="AW6" s="1"/>
      <c r="AX6" s="6" t="s">
        <v>837</v>
      </c>
      <c r="AY6" t="s">
        <v>833</v>
      </c>
      <c r="AZ6">
        <v>0.105313641</v>
      </c>
      <c r="BA6">
        <v>0.13733038801001299</v>
      </c>
      <c r="BB6">
        <v>6.1685759999999998</v>
      </c>
      <c r="BE6">
        <v>276</v>
      </c>
      <c r="BF6">
        <v>1.3752099999999999E-4</v>
      </c>
      <c r="BG6" s="1">
        <v>2.6775600000000001E-7</v>
      </c>
      <c r="BO6" t="s">
        <v>833</v>
      </c>
      <c r="BP6">
        <v>7.3766305000000004E-2</v>
      </c>
      <c r="BQ6">
        <v>0.483875435020308</v>
      </c>
      <c r="BR6">
        <v>6.2177280000000001</v>
      </c>
      <c r="CR6" t="s">
        <v>833</v>
      </c>
      <c r="CS6">
        <v>7.2689729999999994E-2</v>
      </c>
      <c r="CT6">
        <v>0.35166869696695302</v>
      </c>
      <c r="CU6">
        <v>6.08256</v>
      </c>
      <c r="DA6" t="s">
        <v>833</v>
      </c>
      <c r="DB6">
        <v>7.4167398999999995E-2</v>
      </c>
      <c r="DC6">
        <v>0.42699578194878901</v>
      </c>
      <c r="DD6">
        <v>6.1112320000000002</v>
      </c>
      <c r="DJ6" t="s">
        <v>833</v>
      </c>
      <c r="DK6">
        <v>7.3621416999999995E-2</v>
      </c>
      <c r="DL6">
        <v>0.39549885201267898</v>
      </c>
      <c r="DM6">
        <v>6.1112320000000002</v>
      </c>
    </row>
    <row r="7" spans="1:121" ht="16" x14ac:dyDescent="0.2">
      <c r="A7">
        <v>100</v>
      </c>
      <c r="B7">
        <v>5</v>
      </c>
      <c r="C7" t="str">
        <f t="shared" si="0"/>
        <v>100-05</v>
      </c>
      <c r="F7" t="s">
        <v>833</v>
      </c>
      <c r="G7">
        <v>8.1540497000000003E-2</v>
      </c>
      <c r="H7">
        <v>9.8573657000088105E-2</v>
      </c>
      <c r="I7">
        <v>6.08256</v>
      </c>
      <c r="K7">
        <v>22</v>
      </c>
      <c r="N7" t="s">
        <v>833</v>
      </c>
      <c r="O7">
        <v>9.4746397999999996E-2</v>
      </c>
      <c r="P7">
        <v>0.125172295025549</v>
      </c>
      <c r="Q7">
        <v>5.9473919999999998</v>
      </c>
      <c r="S7">
        <v>22</v>
      </c>
      <c r="V7" t="s">
        <v>833</v>
      </c>
      <c r="W7">
        <v>7.1727460000000007E-2</v>
      </c>
      <c r="X7">
        <v>8.1673503998899805E-2</v>
      </c>
      <c r="Y7">
        <v>6.0415999999999999</v>
      </c>
      <c r="AC7" t="s">
        <v>838</v>
      </c>
      <c r="AD7" t="s">
        <v>833</v>
      </c>
      <c r="AE7">
        <v>9.4771300000000003E-2</v>
      </c>
      <c r="AF7">
        <v>0.12493509499472499</v>
      </c>
      <c r="AG7">
        <v>6.0784640000000003</v>
      </c>
      <c r="AI7" s="5">
        <v>22</v>
      </c>
      <c r="AJ7" s="4">
        <v>3.4350000000000001E-6</v>
      </c>
      <c r="AK7" s="6">
        <v>1.19348E-6</v>
      </c>
      <c r="AL7" s="6"/>
      <c r="AM7" s="6" t="s">
        <v>838</v>
      </c>
      <c r="AN7" t="s">
        <v>833</v>
      </c>
      <c r="AO7">
        <v>0.100050083</v>
      </c>
      <c r="AP7">
        <v>0.13678295299177901</v>
      </c>
      <c r="AQ7">
        <v>6.0170240000000002</v>
      </c>
      <c r="AS7" s="5">
        <v>22</v>
      </c>
      <c r="AT7" s="1">
        <v>7.0659999999999998E-6</v>
      </c>
      <c r="AU7" s="1">
        <v>1.6006200000000001E-6</v>
      </c>
      <c r="AV7" s="1"/>
      <c r="AW7" s="1"/>
      <c r="AX7" s="6" t="s">
        <v>838</v>
      </c>
      <c r="AY7" t="s">
        <v>833</v>
      </c>
      <c r="AZ7">
        <v>9.5055674000000007E-2</v>
      </c>
      <c r="BA7">
        <v>0.12688903699745399</v>
      </c>
      <c r="BB7">
        <v>5.9637760000000002</v>
      </c>
      <c r="BE7">
        <v>22</v>
      </c>
      <c r="BF7" s="1">
        <v>6.6699999999999997E-6</v>
      </c>
      <c r="BG7" s="1">
        <v>1.6006200000000001E-6</v>
      </c>
      <c r="BO7" t="s">
        <v>833</v>
      </c>
      <c r="BP7">
        <v>6.2257712999999999E-2</v>
      </c>
      <c r="BQ7">
        <v>6.6430676961317603E-2</v>
      </c>
      <c r="BR7">
        <v>6.008832</v>
      </c>
      <c r="CR7" t="s">
        <v>833</v>
      </c>
      <c r="CS7">
        <v>6.3158971999999994E-2</v>
      </c>
      <c r="CT7">
        <v>6.8223876995034502E-2</v>
      </c>
      <c r="CU7">
        <v>6.008832</v>
      </c>
      <c r="DA7" t="s">
        <v>833</v>
      </c>
      <c r="DB7">
        <v>6.2649148000000002E-2</v>
      </c>
      <c r="DC7">
        <v>6.8014977965503903E-2</v>
      </c>
      <c r="DD7">
        <v>5.9187200000000004</v>
      </c>
      <c r="DJ7" t="s">
        <v>833</v>
      </c>
      <c r="DK7">
        <v>6.3305061999999995E-2</v>
      </c>
      <c r="DL7">
        <v>6.8124659010209102E-2</v>
      </c>
      <c r="DM7">
        <v>6.0456960000000004</v>
      </c>
    </row>
    <row r="8" spans="1:121" ht="16" x14ac:dyDescent="0.2">
      <c r="A8">
        <v>100</v>
      </c>
      <c r="B8">
        <v>6</v>
      </c>
      <c r="C8" t="str">
        <f t="shared" si="0"/>
        <v>100-06</v>
      </c>
      <c r="F8" t="s">
        <v>833</v>
      </c>
      <c r="G8">
        <v>9.4554964000000005E-2</v>
      </c>
      <c r="H8">
        <v>0.111605459998827</v>
      </c>
      <c r="I8">
        <v>6.2136319999999996</v>
      </c>
      <c r="K8">
        <v>255</v>
      </c>
      <c r="N8" t="s">
        <v>833</v>
      </c>
      <c r="O8">
        <v>0.108041002</v>
      </c>
      <c r="P8">
        <v>0.13895658100955099</v>
      </c>
      <c r="Q8">
        <v>6.1726720000000004</v>
      </c>
      <c r="S8">
        <v>255</v>
      </c>
      <c r="V8" t="s">
        <v>833</v>
      </c>
      <c r="W8">
        <v>8.7941066999999998E-2</v>
      </c>
      <c r="X8">
        <v>9.51430889981566E-2</v>
      </c>
      <c r="Y8">
        <v>6.2054400000000003</v>
      </c>
      <c r="AC8" t="s">
        <v>839</v>
      </c>
      <c r="AD8" t="s">
        <v>833</v>
      </c>
      <c r="AE8">
        <v>0.110762124</v>
      </c>
      <c r="AF8">
        <v>0.13980817398987699</v>
      </c>
      <c r="AG8">
        <v>6.1890559999999999</v>
      </c>
      <c r="AI8" s="5">
        <v>255</v>
      </c>
      <c r="AJ8" s="4">
        <v>7.7389999999999999E-6</v>
      </c>
      <c r="AK8" s="6">
        <v>8.7807199999999996E-10</v>
      </c>
      <c r="AL8" s="6"/>
      <c r="AM8" s="6" t="s">
        <v>839</v>
      </c>
      <c r="AN8" t="s">
        <v>833</v>
      </c>
      <c r="AO8">
        <v>0.118666935</v>
      </c>
      <c r="AP8">
        <v>0.151595039002131</v>
      </c>
      <c r="AQ8">
        <v>6.2095359999999999</v>
      </c>
      <c r="AS8">
        <v>255</v>
      </c>
      <c r="AT8">
        <v>1.6439800000000001E-4</v>
      </c>
      <c r="AU8" s="1">
        <v>9.1679500000000004E-10</v>
      </c>
      <c r="AV8" s="1"/>
      <c r="AW8" s="1"/>
      <c r="AX8" s="6" t="s">
        <v>839</v>
      </c>
      <c r="AY8" t="s">
        <v>833</v>
      </c>
      <c r="AZ8">
        <v>0.110468444</v>
      </c>
      <c r="BA8">
        <v>0.142381486017256</v>
      </c>
      <c r="BB8">
        <v>6.2136319999999996</v>
      </c>
      <c r="BE8">
        <v>255</v>
      </c>
      <c r="BF8">
        <v>1.6574999999999999E-4</v>
      </c>
      <c r="BG8" s="1">
        <v>9.1679500000000004E-10</v>
      </c>
      <c r="BO8" t="s">
        <v>833</v>
      </c>
      <c r="BP8">
        <v>7.5624694000000006E-2</v>
      </c>
      <c r="BQ8">
        <v>8.0023944028653204E-2</v>
      </c>
      <c r="BR8">
        <v>6.0743679999999998</v>
      </c>
      <c r="CR8" t="s">
        <v>833</v>
      </c>
      <c r="CS8">
        <v>7.8778600000000004E-2</v>
      </c>
      <c r="CT8">
        <v>0.38826531602535302</v>
      </c>
      <c r="CU8">
        <v>6.1317120000000003</v>
      </c>
      <c r="DA8" t="s">
        <v>833</v>
      </c>
      <c r="DB8">
        <v>7.8421001000000004E-2</v>
      </c>
      <c r="DC8">
        <v>0.43327184091322102</v>
      </c>
      <c r="DD8">
        <v>6.156288</v>
      </c>
      <c r="DJ8" t="s">
        <v>833</v>
      </c>
      <c r="DK8">
        <v>7.8271288999999994E-2</v>
      </c>
      <c r="DL8">
        <v>0.47444187500514001</v>
      </c>
      <c r="DM8">
        <v>6.1644800000000002</v>
      </c>
    </row>
    <row r="9" spans="1:121" ht="16" x14ac:dyDescent="0.2">
      <c r="A9">
        <v>100</v>
      </c>
      <c r="B9">
        <v>7</v>
      </c>
      <c r="C9" t="str">
        <f t="shared" si="0"/>
        <v>100-07</v>
      </c>
      <c r="F9" t="s">
        <v>833</v>
      </c>
      <c r="G9">
        <v>8.8778085000000007E-2</v>
      </c>
      <c r="H9">
        <v>0.10586012700514399</v>
      </c>
      <c r="I9">
        <v>6.2914560000000002</v>
      </c>
      <c r="K9">
        <v>198</v>
      </c>
      <c r="N9" t="s">
        <v>833</v>
      </c>
      <c r="O9">
        <v>0.101925077</v>
      </c>
      <c r="P9">
        <v>0.13229430498904499</v>
      </c>
      <c r="Q9">
        <v>6.0784640000000003</v>
      </c>
      <c r="S9">
        <v>198</v>
      </c>
      <c r="V9" t="s">
        <v>833</v>
      </c>
      <c r="W9">
        <v>7.8849129000000004E-2</v>
      </c>
      <c r="X9">
        <v>8.8756419994751895E-2</v>
      </c>
      <c r="Y9">
        <v>6.0743679999999998</v>
      </c>
      <c r="AC9" t="s">
        <v>840</v>
      </c>
      <c r="AD9" t="s">
        <v>833</v>
      </c>
      <c r="AE9">
        <v>0.103812877</v>
      </c>
      <c r="AF9">
        <v>0.13304958899971001</v>
      </c>
      <c r="AG9">
        <v>6.230016</v>
      </c>
      <c r="AI9" s="5">
        <v>198</v>
      </c>
      <c r="AJ9" s="4">
        <v>8.6989999999999992E-6</v>
      </c>
      <c r="AK9" s="5">
        <v>4.17923E-4</v>
      </c>
      <c r="AL9" s="5"/>
      <c r="AM9" s="5" t="s">
        <v>840</v>
      </c>
      <c r="AN9" t="s">
        <v>833</v>
      </c>
      <c r="AO9">
        <v>0.10818058799999999</v>
      </c>
      <c r="AP9">
        <v>0.14446528800181099</v>
      </c>
      <c r="AQ9">
        <v>6.0743679999999998</v>
      </c>
      <c r="AS9" s="5">
        <v>198</v>
      </c>
      <c r="AT9" s="1">
        <v>7.7473999999999997E-5</v>
      </c>
      <c r="AU9" s="1">
        <v>4.61056E-4</v>
      </c>
      <c r="AV9" s="1"/>
      <c r="AW9" s="1"/>
      <c r="AX9" s="5" t="s">
        <v>840</v>
      </c>
      <c r="AY9" t="s">
        <v>833</v>
      </c>
      <c r="AZ9">
        <v>0.10284903500000001</v>
      </c>
      <c r="BA9">
        <v>0.134993169980589</v>
      </c>
      <c r="BB9">
        <v>6.1685759999999998</v>
      </c>
      <c r="BE9">
        <v>198</v>
      </c>
      <c r="BF9" s="1">
        <v>7.9114000000000002E-5</v>
      </c>
      <c r="BG9" s="1">
        <v>4.61056E-4</v>
      </c>
      <c r="BO9" t="s">
        <v>833</v>
      </c>
      <c r="BP9">
        <v>6.9189695999999995E-2</v>
      </c>
      <c r="BQ9">
        <v>7.3514891962986398E-2</v>
      </c>
      <c r="BR9">
        <v>6.0784640000000003</v>
      </c>
      <c r="CR9" t="s">
        <v>833</v>
      </c>
      <c r="CS9">
        <v>7.0021291999999999E-2</v>
      </c>
      <c r="CT9">
        <v>0.41993221093434802</v>
      </c>
      <c r="CU9">
        <v>6.0784640000000003</v>
      </c>
      <c r="DA9" t="s">
        <v>833</v>
      </c>
      <c r="DB9">
        <v>7.1682172000000002E-2</v>
      </c>
      <c r="DC9">
        <v>0.50846639904193502</v>
      </c>
      <c r="DD9">
        <v>6.0170240000000002</v>
      </c>
      <c r="DJ9" t="s">
        <v>833</v>
      </c>
      <c r="DK9">
        <v>7.1241693999999994E-2</v>
      </c>
      <c r="DL9">
        <v>0.38526821800041899</v>
      </c>
      <c r="DM9">
        <v>6.1235200000000001</v>
      </c>
    </row>
    <row r="10" spans="1:121" ht="16" x14ac:dyDescent="0.2">
      <c r="A10">
        <v>100</v>
      </c>
      <c r="B10">
        <v>8</v>
      </c>
      <c r="C10" t="str">
        <f t="shared" si="0"/>
        <v>100-08</v>
      </c>
      <c r="F10" t="s">
        <v>833</v>
      </c>
      <c r="G10">
        <v>0.19876132399999999</v>
      </c>
      <c r="H10">
        <v>0.21755861000565299</v>
      </c>
      <c r="I10">
        <v>6.2545919999999997</v>
      </c>
      <c r="K10">
        <v>2064</v>
      </c>
      <c r="N10" t="s">
        <v>833</v>
      </c>
      <c r="O10">
        <v>0.21478618399999999</v>
      </c>
      <c r="P10">
        <v>0.24568858501152099</v>
      </c>
      <c r="Q10">
        <v>6.1644800000000002</v>
      </c>
      <c r="S10">
        <v>2064</v>
      </c>
      <c r="V10" t="s">
        <v>833</v>
      </c>
      <c r="W10">
        <v>0.19103394200000001</v>
      </c>
      <c r="X10">
        <v>0.201052877004258</v>
      </c>
      <c r="Y10">
        <v>6.2955519999999998</v>
      </c>
      <c r="AC10" t="s">
        <v>841</v>
      </c>
      <c r="AD10" t="s">
        <v>833</v>
      </c>
      <c r="AE10">
        <v>0.221237831</v>
      </c>
      <c r="AF10">
        <v>0.25194486899999902</v>
      </c>
      <c r="AG10">
        <v>6.1849600000000002</v>
      </c>
      <c r="AI10" s="5">
        <v>2064</v>
      </c>
      <c r="AJ10" s="4">
        <v>8.3340000000000002E-6</v>
      </c>
      <c r="AK10" s="6">
        <v>5.2586899999999999E-13</v>
      </c>
      <c r="AL10" s="6"/>
      <c r="AM10" s="6" t="s">
        <v>841</v>
      </c>
      <c r="AN10" t="s">
        <v>833</v>
      </c>
      <c r="AO10">
        <v>0.22956998200000001</v>
      </c>
      <c r="AP10">
        <v>0.26643411800614503</v>
      </c>
      <c r="AQ10">
        <v>6.1235200000000001</v>
      </c>
      <c r="AS10">
        <v>2064</v>
      </c>
      <c r="AT10">
        <v>8.1959700000000003E-4</v>
      </c>
      <c r="AU10" s="1">
        <v>6.6049599999999998E-13</v>
      </c>
      <c r="AV10" s="1"/>
      <c r="AW10" s="1"/>
      <c r="AX10" s="6" t="s">
        <v>841</v>
      </c>
      <c r="AY10" t="s">
        <v>833</v>
      </c>
      <c r="AZ10">
        <v>0.223540244</v>
      </c>
      <c r="BA10">
        <v>0.25623928301502003</v>
      </c>
      <c r="BB10">
        <v>6.1890559999999999</v>
      </c>
      <c r="BE10">
        <v>2064</v>
      </c>
      <c r="BF10">
        <v>8.1493500000000003E-4</v>
      </c>
      <c r="BG10" s="1">
        <v>6.6049599999999998E-13</v>
      </c>
      <c r="BO10" t="s">
        <v>833</v>
      </c>
      <c r="BP10">
        <v>0.18460363299999999</v>
      </c>
      <c r="BQ10">
        <v>1.6822822579997501</v>
      </c>
      <c r="BR10">
        <v>6.1440000000000001</v>
      </c>
      <c r="CR10" t="s">
        <v>833</v>
      </c>
      <c r="CS10">
        <v>0.18652839500000001</v>
      </c>
      <c r="CT10">
        <v>4.9888739850139201</v>
      </c>
      <c r="CU10">
        <v>6.1849600000000002</v>
      </c>
      <c r="DA10" t="s">
        <v>833</v>
      </c>
      <c r="DB10">
        <v>0.19583377699999999</v>
      </c>
      <c r="DC10">
        <v>4.4508864679373801</v>
      </c>
      <c r="DD10">
        <v>6.2013439999999997</v>
      </c>
      <c r="DJ10" t="s">
        <v>833</v>
      </c>
      <c r="DK10">
        <v>0.35772870000000001</v>
      </c>
      <c r="DL10">
        <v>290.79748672898802</v>
      </c>
      <c r="DM10">
        <v>6.0743679999999998</v>
      </c>
    </row>
    <row r="11" spans="1:121" ht="16" x14ac:dyDescent="0.2">
      <c r="A11">
        <v>100</v>
      </c>
      <c r="B11">
        <v>9</v>
      </c>
      <c r="C11" t="str">
        <f t="shared" si="0"/>
        <v>100-09</v>
      </c>
      <c r="F11" t="s">
        <v>833</v>
      </c>
      <c r="G11">
        <v>0.20271239999999999</v>
      </c>
      <c r="H11">
        <v>0.221826424996834</v>
      </c>
      <c r="I11">
        <v>6.3406079999999996</v>
      </c>
      <c r="K11">
        <v>3217</v>
      </c>
      <c r="N11" t="s">
        <v>833</v>
      </c>
      <c r="O11">
        <v>0.22212749300000001</v>
      </c>
      <c r="P11">
        <v>0.25006123201455899</v>
      </c>
      <c r="Q11">
        <v>6.3406079999999996</v>
      </c>
      <c r="S11">
        <v>3217</v>
      </c>
      <c r="V11" t="s">
        <v>833</v>
      </c>
      <c r="W11">
        <v>0.19412423700000001</v>
      </c>
      <c r="X11">
        <v>0.20400637299462601</v>
      </c>
      <c r="Y11">
        <v>6.2095359999999999</v>
      </c>
      <c r="AC11" t="s">
        <v>842</v>
      </c>
      <c r="AD11" t="s">
        <v>833</v>
      </c>
      <c r="AE11">
        <v>0.23065189999999999</v>
      </c>
      <c r="AF11">
        <v>0.25886260400875399</v>
      </c>
      <c r="AG11">
        <v>6.3406079999999996</v>
      </c>
      <c r="AI11" s="5">
        <v>3217</v>
      </c>
      <c r="AJ11" s="4">
        <v>8.5939999999999994E-6</v>
      </c>
      <c r="AK11" s="5">
        <v>8.0002800000000002E-3</v>
      </c>
      <c r="AL11" s="5"/>
      <c r="AM11" s="5" t="s">
        <v>842</v>
      </c>
      <c r="AN11" t="s">
        <v>833</v>
      </c>
      <c r="AO11">
        <v>0.238241487</v>
      </c>
      <c r="AP11">
        <v>0.31247090699616797</v>
      </c>
      <c r="AQ11">
        <v>6.3406079999999996</v>
      </c>
      <c r="AS11" s="5">
        <v>3217</v>
      </c>
      <c r="AT11" s="1">
        <v>9.0486799999999997E-4</v>
      </c>
      <c r="AU11" s="1">
        <v>9.3676599999999999E-3</v>
      </c>
      <c r="AV11" s="1"/>
      <c r="AW11" s="1"/>
      <c r="AX11" s="5" t="s">
        <v>842</v>
      </c>
      <c r="AY11" t="s">
        <v>833</v>
      </c>
      <c r="AZ11">
        <v>0.233140597</v>
      </c>
      <c r="BA11">
        <v>0.26356029399903402</v>
      </c>
      <c r="BB11">
        <v>6.2423039999999999</v>
      </c>
      <c r="BE11">
        <v>3217</v>
      </c>
      <c r="BF11" s="1">
        <v>8.9437800000000003E-4</v>
      </c>
      <c r="BG11" s="1">
        <v>9.3676599999999999E-3</v>
      </c>
      <c r="BO11" t="s">
        <v>833</v>
      </c>
      <c r="BP11">
        <v>0.18993221800000001</v>
      </c>
      <c r="BQ11">
        <v>1.7062740679830299</v>
      </c>
      <c r="BR11">
        <v>6.2791680000000003</v>
      </c>
      <c r="CR11" t="s">
        <v>833</v>
      </c>
      <c r="CS11">
        <v>0.18915179600000001</v>
      </c>
      <c r="CT11">
        <v>2.8773089419118998</v>
      </c>
      <c r="CU11">
        <v>6.2095359999999999</v>
      </c>
      <c r="DA11" t="s">
        <v>833</v>
      </c>
      <c r="DB11">
        <v>0.20603685299999999</v>
      </c>
      <c r="DC11">
        <v>6.2007192249875498</v>
      </c>
      <c r="DD11">
        <v>6.3365119999999999</v>
      </c>
      <c r="DJ11" t="s">
        <v>833</v>
      </c>
      <c r="DK11">
        <v>0.38462902999999998</v>
      </c>
      <c r="DL11">
        <v>289.71084488497502</v>
      </c>
      <c r="DM11">
        <v>6.2791680000000003</v>
      </c>
    </row>
    <row r="12" spans="1:121" ht="16" x14ac:dyDescent="0.2">
      <c r="A12">
        <v>200</v>
      </c>
      <c r="B12">
        <v>1</v>
      </c>
      <c r="C12" t="str">
        <f t="shared" si="0"/>
        <v>200-01</v>
      </c>
      <c r="F12" t="s">
        <v>833</v>
      </c>
      <c r="G12">
        <v>0.11485298200000001</v>
      </c>
      <c r="H12">
        <v>0.13252857800398399</v>
      </c>
      <c r="I12">
        <v>6.5986560000000001</v>
      </c>
      <c r="K12">
        <v>663</v>
      </c>
      <c r="N12" t="s">
        <v>833</v>
      </c>
      <c r="O12">
        <v>0.11374993</v>
      </c>
      <c r="P12">
        <v>0.13876176500343701</v>
      </c>
      <c r="Q12">
        <v>6.5413119999999996</v>
      </c>
      <c r="S12">
        <v>663</v>
      </c>
      <c r="V12" t="s">
        <v>833</v>
      </c>
      <c r="W12">
        <v>9.2398942999999997E-2</v>
      </c>
      <c r="X12">
        <v>9.9771551002049805E-2</v>
      </c>
      <c r="Y12">
        <v>6.4675840000000004</v>
      </c>
      <c r="AC12" t="s">
        <v>843</v>
      </c>
      <c r="AD12" t="s">
        <v>833</v>
      </c>
      <c r="AE12">
        <v>0.133368608</v>
      </c>
      <c r="AF12">
        <v>0.16323641798226099</v>
      </c>
      <c r="AG12">
        <v>6.557696</v>
      </c>
      <c r="AI12" s="5">
        <v>663</v>
      </c>
      <c r="AJ12" s="4">
        <v>1.1406999999999999E-5</v>
      </c>
      <c r="AK12" s="6">
        <v>6.2737899999999997E-8</v>
      </c>
      <c r="AL12" s="6"/>
      <c r="AM12" s="6" t="s">
        <v>843</v>
      </c>
      <c r="AN12" t="s">
        <v>833</v>
      </c>
      <c r="AO12">
        <v>0.13105389100000001</v>
      </c>
      <c r="AP12">
        <v>0.16913815398584101</v>
      </c>
      <c r="AQ12">
        <v>6.5863680000000002</v>
      </c>
      <c r="AS12" s="5">
        <v>663</v>
      </c>
      <c r="AT12">
        <v>2.2343499999999999E-4</v>
      </c>
      <c r="AU12" s="1">
        <v>7.5665999999999997E-8</v>
      </c>
      <c r="AV12" s="1"/>
      <c r="AW12" s="1"/>
      <c r="AX12" s="6" t="s">
        <v>843</v>
      </c>
      <c r="AY12" t="s">
        <v>833</v>
      </c>
      <c r="AZ12">
        <v>0.13125976</v>
      </c>
      <c r="BA12">
        <v>0.16359962400747399</v>
      </c>
      <c r="BB12">
        <v>6.4757759999999998</v>
      </c>
      <c r="BE12">
        <v>663</v>
      </c>
      <c r="BF12">
        <v>2.2338499999999999E-4</v>
      </c>
      <c r="BG12" s="1">
        <v>7.5665999999999997E-8</v>
      </c>
      <c r="BO12" t="s">
        <v>833</v>
      </c>
      <c r="BP12">
        <v>8.5008712E-2</v>
      </c>
      <c r="BQ12">
        <v>0.58503958501387299</v>
      </c>
      <c r="BR12">
        <v>6.6068480000000003</v>
      </c>
      <c r="CR12" t="s">
        <v>833</v>
      </c>
      <c r="CS12">
        <v>8.5581076000000006E-2</v>
      </c>
      <c r="CT12">
        <v>0.49017224204726501</v>
      </c>
      <c r="CU12">
        <v>6.4225279999999998</v>
      </c>
      <c r="DA12" t="s">
        <v>833</v>
      </c>
      <c r="DB12">
        <v>9.0394958999999997E-2</v>
      </c>
      <c r="DC12">
        <v>0.53009599808137797</v>
      </c>
      <c r="DD12">
        <v>6.4102399999999999</v>
      </c>
      <c r="DJ12" t="s">
        <v>833</v>
      </c>
      <c r="DK12">
        <v>9.1074624000000007E-2</v>
      </c>
      <c r="DL12">
        <v>0.670627270941622</v>
      </c>
      <c r="DM12">
        <v>6.5085439999999997</v>
      </c>
    </row>
    <row r="13" spans="1:121" ht="16" x14ac:dyDescent="0.2">
      <c r="A13">
        <v>200</v>
      </c>
      <c r="B13">
        <v>2</v>
      </c>
      <c r="C13" t="str">
        <f t="shared" si="0"/>
        <v>200-02</v>
      </c>
      <c r="F13" t="s">
        <v>833</v>
      </c>
      <c r="G13">
        <v>12.783220291999999</v>
      </c>
      <c r="H13">
        <v>12.827490622002999</v>
      </c>
      <c r="I13">
        <v>12.767232</v>
      </c>
      <c r="K13">
        <v>570447</v>
      </c>
      <c r="N13" t="s">
        <v>833</v>
      </c>
      <c r="O13">
        <v>13.076920831000001</v>
      </c>
      <c r="P13">
        <v>13.1708047020074</v>
      </c>
      <c r="Q13">
        <v>7.9216639999999998</v>
      </c>
      <c r="S13">
        <v>570447</v>
      </c>
      <c r="V13" t="s">
        <v>833</v>
      </c>
      <c r="W13">
        <v>12.405646308</v>
      </c>
      <c r="X13">
        <v>12.4579291389964</v>
      </c>
      <c r="Y13">
        <v>8.1428480000000008</v>
      </c>
      <c r="AC13" t="s">
        <v>844</v>
      </c>
      <c r="AD13" t="s">
        <v>833</v>
      </c>
      <c r="AE13">
        <v>14.98442949</v>
      </c>
      <c r="AF13">
        <v>15.0536991719855</v>
      </c>
      <c r="AG13">
        <v>12.759040000000001</v>
      </c>
      <c r="AI13">
        <v>570447</v>
      </c>
      <c r="AJ13">
        <v>2.9745699999999999E-4</v>
      </c>
      <c r="AK13">
        <v>1.4265700000000001E-3</v>
      </c>
      <c r="AM13" t="s">
        <v>844</v>
      </c>
      <c r="AN13" t="s">
        <v>833</v>
      </c>
      <c r="AO13">
        <v>15.169111383000001</v>
      </c>
      <c r="AP13">
        <v>15.2565560530056</v>
      </c>
      <c r="AQ13">
        <v>7.8929919999999996</v>
      </c>
      <c r="AS13" s="5">
        <v>570447</v>
      </c>
      <c r="AT13" s="1">
        <v>0.20710300000000001</v>
      </c>
      <c r="AU13" s="1">
        <v>1.5168E-3</v>
      </c>
      <c r="AV13" s="1"/>
      <c r="AW13" s="1"/>
      <c r="AX13" t="s">
        <v>844</v>
      </c>
      <c r="AY13" t="s">
        <v>833</v>
      </c>
      <c r="AZ13">
        <v>14.991968522000001</v>
      </c>
      <c r="BA13">
        <v>15.078067819995301</v>
      </c>
      <c r="BB13">
        <v>8.1756159999999998</v>
      </c>
      <c r="BE13">
        <v>570447</v>
      </c>
      <c r="BF13" s="1">
        <v>0.20708799999999999</v>
      </c>
      <c r="BG13" s="1">
        <v>1.5168E-3</v>
      </c>
      <c r="BO13" t="s">
        <v>792</v>
      </c>
      <c r="BP13">
        <v>5.11057922</v>
      </c>
      <c r="BQ13">
        <v>931.10731079505001</v>
      </c>
      <c r="BR13">
        <v>7.8725120000000004</v>
      </c>
      <c r="CR13" t="s">
        <v>792</v>
      </c>
      <c r="CS13">
        <v>3.8840836580000002</v>
      </c>
      <c r="CT13">
        <v>931.22673706803403</v>
      </c>
      <c r="CU13">
        <v>7.7824</v>
      </c>
      <c r="DA13" t="s">
        <v>792</v>
      </c>
      <c r="DB13">
        <v>2.5788585730000002</v>
      </c>
      <c r="DC13">
        <v>931.34069490898401</v>
      </c>
      <c r="DD13">
        <v>7.8602239999999997</v>
      </c>
      <c r="DJ13" t="s">
        <v>792</v>
      </c>
      <c r="DK13">
        <v>1.4172501719999999</v>
      </c>
      <c r="DL13">
        <v>931.26704860897701</v>
      </c>
      <c r="DM13">
        <v>7.8766080000000001</v>
      </c>
    </row>
    <row r="14" spans="1:121" ht="16" x14ac:dyDescent="0.2">
      <c r="A14">
        <v>200</v>
      </c>
      <c r="B14">
        <v>3</v>
      </c>
      <c r="C14" t="str">
        <f t="shared" si="0"/>
        <v>200-03</v>
      </c>
      <c r="F14" t="s">
        <v>833</v>
      </c>
      <c r="G14">
        <v>0.92814182499999998</v>
      </c>
      <c r="H14">
        <v>0.95014491400797796</v>
      </c>
      <c r="I14">
        <v>6.7297279999999997</v>
      </c>
      <c r="K14">
        <v>36256</v>
      </c>
      <c r="N14" t="s">
        <v>833</v>
      </c>
      <c r="O14">
        <v>1.004085831</v>
      </c>
      <c r="P14">
        <v>1.0388164189935101</v>
      </c>
      <c r="Q14">
        <v>6.6846719999999999</v>
      </c>
      <c r="S14">
        <v>36256</v>
      </c>
      <c r="V14" t="s">
        <v>833</v>
      </c>
      <c r="W14">
        <v>0.92123854599999999</v>
      </c>
      <c r="X14">
        <v>0.93174809499760103</v>
      </c>
      <c r="Y14">
        <v>6.6764799999999997</v>
      </c>
      <c r="AC14" t="s">
        <v>845</v>
      </c>
      <c r="AD14" t="s">
        <v>833</v>
      </c>
      <c r="AE14">
        <v>1.103876946</v>
      </c>
      <c r="AF14">
        <v>1.14251080399844</v>
      </c>
      <c r="AG14">
        <v>6.8198400000000001</v>
      </c>
      <c r="AI14">
        <v>36256</v>
      </c>
      <c r="AJ14" s="1">
        <v>2.0177999999999999E-5</v>
      </c>
      <c r="AK14" s="1">
        <v>5.2143E-11</v>
      </c>
      <c r="AL14" s="1"/>
      <c r="AM14" s="1" t="s">
        <v>845</v>
      </c>
      <c r="AN14" t="s">
        <v>833</v>
      </c>
      <c r="AO14">
        <v>1.1165375120000001</v>
      </c>
      <c r="AP14">
        <v>1.1586606229830001</v>
      </c>
      <c r="AQ14">
        <v>6.7706879999999998</v>
      </c>
      <c r="AS14" s="5">
        <v>36256</v>
      </c>
      <c r="AT14">
        <v>1.57682E-2</v>
      </c>
      <c r="AU14" s="1">
        <v>5.4551099999999997E-11</v>
      </c>
      <c r="AV14" s="1"/>
      <c r="AW14" s="1"/>
      <c r="AX14" s="1" t="s">
        <v>845</v>
      </c>
      <c r="AY14" t="s">
        <v>833</v>
      </c>
      <c r="AZ14">
        <v>1.110123379</v>
      </c>
      <c r="BA14">
        <v>1.1456455489969799</v>
      </c>
      <c r="BB14">
        <v>6.7338240000000003</v>
      </c>
      <c r="BE14">
        <v>36256</v>
      </c>
      <c r="BF14">
        <v>1.5702399999999998E-2</v>
      </c>
      <c r="BG14" s="1">
        <v>5.4551099999999997E-11</v>
      </c>
      <c r="BO14" t="s">
        <v>792</v>
      </c>
      <c r="BP14">
        <v>0.52251825399999996</v>
      </c>
      <c r="BQ14">
        <v>931.28614703001199</v>
      </c>
      <c r="BR14">
        <v>6.8362239999999996</v>
      </c>
      <c r="CR14" t="s">
        <v>792</v>
      </c>
      <c r="CS14">
        <v>0.57578414099999997</v>
      </c>
      <c r="CT14">
        <v>931.22375708399295</v>
      </c>
      <c r="CU14">
        <v>6.6723840000000001</v>
      </c>
      <c r="DA14" t="s">
        <v>792</v>
      </c>
      <c r="DB14">
        <v>0.57739499000000005</v>
      </c>
      <c r="DC14">
        <v>931.27327834197695</v>
      </c>
      <c r="DD14">
        <v>6.6846719999999999</v>
      </c>
      <c r="DJ14" t="s">
        <v>792</v>
      </c>
      <c r="DK14">
        <v>0.64849651699999999</v>
      </c>
      <c r="DL14">
        <v>931.19306363002397</v>
      </c>
      <c r="DM14">
        <v>6.7010560000000003</v>
      </c>
    </row>
    <row r="15" spans="1:121" ht="16" x14ac:dyDescent="0.2">
      <c r="A15">
        <v>200</v>
      </c>
      <c r="B15">
        <v>4</v>
      </c>
      <c r="C15" t="str">
        <f t="shared" si="0"/>
        <v>200-04</v>
      </c>
      <c r="F15" t="s">
        <v>833</v>
      </c>
      <c r="G15">
        <v>9.1833823999999994E-2</v>
      </c>
      <c r="H15">
        <v>0.109831402995041</v>
      </c>
      <c r="I15">
        <v>6.2095359999999999</v>
      </c>
      <c r="K15">
        <v>40</v>
      </c>
      <c r="N15" t="s">
        <v>833</v>
      </c>
      <c r="O15">
        <v>9.6938276000000004E-2</v>
      </c>
      <c r="P15">
        <v>0.12851838898495699</v>
      </c>
      <c r="Q15">
        <v>6.2095359999999999</v>
      </c>
      <c r="S15">
        <v>40</v>
      </c>
      <c r="V15" t="s">
        <v>833</v>
      </c>
      <c r="W15">
        <v>7.2020042000000006E-2</v>
      </c>
      <c r="X15">
        <v>8.1544079002924194E-2</v>
      </c>
      <c r="Y15">
        <v>6.2095359999999999</v>
      </c>
      <c r="AC15" t="s">
        <v>846</v>
      </c>
      <c r="AD15" t="s">
        <v>833</v>
      </c>
      <c r="AE15">
        <v>0.103748514</v>
      </c>
      <c r="AF15">
        <v>0.13950876297894799</v>
      </c>
      <c r="AG15">
        <v>6.2545919999999997</v>
      </c>
      <c r="AI15" s="5">
        <v>40</v>
      </c>
      <c r="AJ15" s="1">
        <v>4.9540000000000003E-6</v>
      </c>
      <c r="AK15" s="1">
        <v>3.1088500000000002E-7</v>
      </c>
      <c r="AL15" s="1"/>
      <c r="AM15" s="1" t="s">
        <v>846</v>
      </c>
      <c r="AN15" t="s">
        <v>833</v>
      </c>
      <c r="AO15">
        <v>0.107384961</v>
      </c>
      <c r="AP15">
        <v>0.14544570900034101</v>
      </c>
      <c r="AQ15">
        <v>6.2668799999999996</v>
      </c>
      <c r="AS15" s="5">
        <v>40</v>
      </c>
      <c r="AT15" s="1">
        <v>1.9814E-5</v>
      </c>
      <c r="AU15" s="1">
        <v>3.1908900000000001E-7</v>
      </c>
      <c r="AV15" s="1"/>
      <c r="AW15" s="1"/>
      <c r="AX15" s="1" t="s">
        <v>846</v>
      </c>
      <c r="AY15" t="s">
        <v>833</v>
      </c>
      <c r="AZ15">
        <v>0.10867394900000001</v>
      </c>
      <c r="BA15">
        <v>0.14261955698020701</v>
      </c>
      <c r="BB15">
        <v>6.2054400000000003</v>
      </c>
      <c r="BE15">
        <v>40</v>
      </c>
      <c r="BF15" s="1">
        <v>2.1466000000000001E-5</v>
      </c>
      <c r="BG15" s="1">
        <v>3.1908900000000001E-7</v>
      </c>
      <c r="BO15" t="s">
        <v>833</v>
      </c>
      <c r="BP15">
        <v>6.5483157E-2</v>
      </c>
      <c r="BQ15">
        <v>7.0093869988340801E-2</v>
      </c>
      <c r="BR15">
        <v>6.2095359999999999</v>
      </c>
      <c r="CR15" t="s">
        <v>833</v>
      </c>
      <c r="CS15">
        <v>7.0387905000000001E-2</v>
      </c>
      <c r="CT15">
        <v>12.3628046320518</v>
      </c>
      <c r="CU15">
        <v>6.2545919999999997</v>
      </c>
      <c r="DA15" t="s">
        <v>833</v>
      </c>
      <c r="DB15">
        <v>6.5786763999999998E-2</v>
      </c>
      <c r="DC15">
        <v>7.1242113015614394E-2</v>
      </c>
      <c r="DD15">
        <v>6.2341119999999997</v>
      </c>
      <c r="DJ15" t="s">
        <v>833</v>
      </c>
      <c r="DK15">
        <v>7.3085820999999995E-2</v>
      </c>
      <c r="DL15">
        <v>16.943584002088699</v>
      </c>
      <c r="DM15">
        <v>6.1480959999999998</v>
      </c>
    </row>
    <row r="16" spans="1:121" ht="16" x14ac:dyDescent="0.2">
      <c r="A16">
        <v>200</v>
      </c>
      <c r="B16">
        <v>5</v>
      </c>
      <c r="C16" t="str">
        <f t="shared" si="0"/>
        <v>200-05</v>
      </c>
      <c r="F16" t="s">
        <v>833</v>
      </c>
      <c r="G16">
        <v>0.200972125</v>
      </c>
      <c r="H16">
        <v>0.22063355200225401</v>
      </c>
      <c r="I16">
        <v>6.4675840000000004</v>
      </c>
      <c r="K16">
        <v>1267</v>
      </c>
      <c r="N16" t="s">
        <v>833</v>
      </c>
      <c r="O16">
        <v>0.21600592299999999</v>
      </c>
      <c r="P16">
        <v>0.24381782300770199</v>
      </c>
      <c r="Q16">
        <v>6.4266240000000003</v>
      </c>
      <c r="S16">
        <v>1267</v>
      </c>
      <c r="V16" t="s">
        <v>833</v>
      </c>
      <c r="W16">
        <v>0.18293894699999999</v>
      </c>
      <c r="X16">
        <v>0.19292862300062499</v>
      </c>
      <c r="Y16">
        <v>6.4634879999999999</v>
      </c>
      <c r="AC16" t="s">
        <v>847</v>
      </c>
      <c r="AD16" t="s">
        <v>833</v>
      </c>
      <c r="AE16">
        <v>0.221674606</v>
      </c>
      <c r="AF16">
        <v>0.25507122901035401</v>
      </c>
      <c r="AG16">
        <v>6.4675840000000004</v>
      </c>
      <c r="AI16" s="5">
        <v>1267</v>
      </c>
      <c r="AJ16" s="1">
        <v>8.7809999999999994E-6</v>
      </c>
      <c r="AK16" s="1">
        <v>2.1120399999999999E-7</v>
      </c>
      <c r="AL16" s="1"/>
      <c r="AM16" s="1" t="s">
        <v>847</v>
      </c>
      <c r="AN16" t="s">
        <v>833</v>
      </c>
      <c r="AO16">
        <v>0.22412981400000001</v>
      </c>
      <c r="AP16">
        <v>0.26235046100919102</v>
      </c>
      <c r="AQ16">
        <v>6.4716800000000001</v>
      </c>
      <c r="AS16" s="5">
        <v>1267</v>
      </c>
      <c r="AT16">
        <v>4.7803E-4</v>
      </c>
      <c r="AU16" s="1">
        <v>2.8172299999999999E-7</v>
      </c>
      <c r="AV16" s="1"/>
      <c r="AW16" s="1"/>
      <c r="AX16" s="1" t="s">
        <v>847</v>
      </c>
      <c r="AY16" t="s">
        <v>833</v>
      </c>
      <c r="AZ16">
        <v>0.22820383899999999</v>
      </c>
      <c r="BA16">
        <v>0.25965821900172098</v>
      </c>
      <c r="BB16">
        <v>6.4716800000000001</v>
      </c>
      <c r="BE16">
        <v>1267</v>
      </c>
      <c r="BF16">
        <v>4.7787900000000001E-4</v>
      </c>
      <c r="BG16" s="1">
        <v>2.8172299999999999E-7</v>
      </c>
      <c r="BO16" t="s">
        <v>833</v>
      </c>
      <c r="BP16">
        <v>0.48764643099999999</v>
      </c>
      <c r="BQ16">
        <v>502.13458212802601</v>
      </c>
      <c r="BR16">
        <v>6.3651840000000002</v>
      </c>
      <c r="CR16" t="s">
        <v>833</v>
      </c>
      <c r="CS16">
        <v>0.41963076399999999</v>
      </c>
      <c r="CT16">
        <v>488.310290436027</v>
      </c>
      <c r="CU16">
        <v>6.4675840000000004</v>
      </c>
      <c r="DA16" t="s">
        <v>833</v>
      </c>
      <c r="DB16">
        <v>0.51974280299999998</v>
      </c>
      <c r="DC16">
        <v>772.34177415096201</v>
      </c>
      <c r="DD16">
        <v>6.4389120000000002</v>
      </c>
      <c r="DJ16" t="s">
        <v>792</v>
      </c>
      <c r="DK16">
        <v>0.589764077</v>
      </c>
      <c r="DL16">
        <v>931.01310001499905</v>
      </c>
      <c r="DM16">
        <v>6.3406079999999996</v>
      </c>
    </row>
    <row r="17" spans="1:117" ht="16" x14ac:dyDescent="0.2">
      <c r="A17">
        <v>200</v>
      </c>
      <c r="B17">
        <v>6</v>
      </c>
      <c r="C17" t="str">
        <f t="shared" si="0"/>
        <v>200-06</v>
      </c>
      <c r="F17" t="s">
        <v>833</v>
      </c>
      <c r="G17">
        <v>1.964956025</v>
      </c>
      <c r="H17">
        <v>1.9860702559963099</v>
      </c>
      <c r="I17">
        <v>108.060672</v>
      </c>
      <c r="K17">
        <v>6608</v>
      </c>
      <c r="N17" t="s">
        <v>833</v>
      </c>
      <c r="O17">
        <v>0.35725192</v>
      </c>
      <c r="P17">
        <v>0.388260230014566</v>
      </c>
      <c r="Q17">
        <v>8.0650239999999993</v>
      </c>
      <c r="S17">
        <v>6608</v>
      </c>
      <c r="V17" t="s">
        <v>833</v>
      </c>
      <c r="W17">
        <v>0.33224327100000001</v>
      </c>
      <c r="X17">
        <v>0.340026600009878</v>
      </c>
      <c r="Y17">
        <v>9.8754559999999998</v>
      </c>
      <c r="AC17" t="s">
        <v>848</v>
      </c>
      <c r="AD17" t="s">
        <v>833</v>
      </c>
      <c r="AE17">
        <v>2.024685963</v>
      </c>
      <c r="AF17">
        <v>2.06223555799806</v>
      </c>
      <c r="AG17">
        <v>108.04428799999999</v>
      </c>
      <c r="AI17" s="5">
        <v>6608</v>
      </c>
      <c r="AJ17" s="1">
        <v>3.4371800000000002E-3</v>
      </c>
      <c r="AK17" s="1">
        <v>1.80657E-6</v>
      </c>
      <c r="AL17" s="1"/>
      <c r="AM17" s="1" t="s">
        <v>848</v>
      </c>
      <c r="AN17" t="s">
        <v>833</v>
      </c>
      <c r="AO17">
        <v>0.38593401300000002</v>
      </c>
      <c r="AP17">
        <v>0.42472146698855701</v>
      </c>
      <c r="AQ17">
        <v>8.3066879999999994</v>
      </c>
      <c r="AS17" s="5">
        <v>6608</v>
      </c>
      <c r="AT17" s="1">
        <v>3.7315500000000001E-3</v>
      </c>
      <c r="AU17" s="1">
        <v>2.2477300000000001E-6</v>
      </c>
      <c r="AV17" s="1"/>
      <c r="AW17" s="1"/>
      <c r="AX17" s="1" t="s">
        <v>848</v>
      </c>
      <c r="AY17" t="s">
        <v>833</v>
      </c>
      <c r="AZ17">
        <v>0.39378183500000002</v>
      </c>
      <c r="BA17">
        <v>0.43139064201386601</v>
      </c>
      <c r="BB17">
        <v>9.8672640000000005</v>
      </c>
      <c r="BE17">
        <v>6608</v>
      </c>
      <c r="BF17" s="1">
        <v>3.6428599999999999E-3</v>
      </c>
      <c r="BG17" s="1">
        <v>2.2477300000000001E-6</v>
      </c>
      <c r="BO17" t="s">
        <v>792</v>
      </c>
      <c r="BP17">
        <v>0.637241952</v>
      </c>
      <c r="BQ17">
        <v>931.11787694395696</v>
      </c>
      <c r="BR17">
        <v>8.4459520000000001</v>
      </c>
      <c r="CR17" t="s">
        <v>792</v>
      </c>
      <c r="CS17">
        <v>0.58405702199999998</v>
      </c>
      <c r="CT17">
        <v>931.60680437309202</v>
      </c>
      <c r="CU17">
        <v>8.3722239999999992</v>
      </c>
      <c r="DA17" t="s">
        <v>792</v>
      </c>
      <c r="DB17">
        <v>0.52171510300000001</v>
      </c>
      <c r="DC17">
        <v>931.12104865093704</v>
      </c>
      <c r="DD17">
        <v>8.3107839999999999</v>
      </c>
      <c r="DJ17" t="s">
        <v>792</v>
      </c>
      <c r="DK17">
        <v>0.613337032</v>
      </c>
      <c r="DL17">
        <v>931.255976255051</v>
      </c>
      <c r="DM17">
        <v>8.3148800000000005</v>
      </c>
    </row>
    <row r="18" spans="1:117" x14ac:dyDescent="0.2">
      <c r="A18">
        <v>200</v>
      </c>
      <c r="B18">
        <v>7</v>
      </c>
      <c r="C18" t="str">
        <f t="shared" si="0"/>
        <v>200-07</v>
      </c>
      <c r="F18" t="s">
        <v>833</v>
      </c>
      <c r="G18">
        <v>11.080728111000001</v>
      </c>
      <c r="H18">
        <v>11.1364681679988</v>
      </c>
      <c r="I18">
        <v>8.8268799999999992</v>
      </c>
      <c r="K18">
        <v>443352</v>
      </c>
      <c r="N18" t="s">
        <v>833</v>
      </c>
      <c r="O18">
        <v>11.494958578</v>
      </c>
      <c r="P18">
        <v>11.6750812859972</v>
      </c>
      <c r="Q18">
        <v>6.9959680000000004</v>
      </c>
      <c r="S18">
        <v>443352</v>
      </c>
      <c r="V18" t="s">
        <v>833</v>
      </c>
      <c r="W18">
        <v>10.952394881</v>
      </c>
      <c r="X18">
        <v>10.977886216001901</v>
      </c>
      <c r="Y18">
        <v>8.6999040000000001</v>
      </c>
      <c r="AC18" t="s">
        <v>849</v>
      </c>
      <c r="AD18" t="s">
        <v>833</v>
      </c>
      <c r="AE18">
        <v>12.893044789999999</v>
      </c>
      <c r="AF18">
        <v>12.962998058006599</v>
      </c>
      <c r="AG18">
        <v>8.8186879999999999</v>
      </c>
      <c r="AI18">
        <v>443352</v>
      </c>
      <c r="AJ18" s="1">
        <v>7.2563000000000003E-5</v>
      </c>
      <c r="AK18" s="1">
        <v>2.5487299999999999E-10</v>
      </c>
      <c r="AL18" s="1"/>
      <c r="AM18" s="1" t="s">
        <v>849</v>
      </c>
      <c r="AN18" t="s">
        <v>833</v>
      </c>
      <c r="AO18">
        <v>13.077579808999999</v>
      </c>
      <c r="AP18">
        <v>13.1443636439798</v>
      </c>
      <c r="AQ18">
        <v>6.9959680000000004</v>
      </c>
      <c r="AS18">
        <v>443352</v>
      </c>
      <c r="AT18">
        <v>0.19000500000000001</v>
      </c>
      <c r="AU18" s="1">
        <v>3.0258899999999998E-10</v>
      </c>
      <c r="AV18" s="1"/>
      <c r="AW18" s="1"/>
      <c r="AX18" s="1" t="s">
        <v>849</v>
      </c>
      <c r="AY18" t="s">
        <v>833</v>
      </c>
      <c r="AZ18">
        <v>12.958363910999999</v>
      </c>
      <c r="BA18">
        <v>13.036762987991001</v>
      </c>
      <c r="BB18">
        <v>8.6958079999999995</v>
      </c>
      <c r="BE18">
        <v>443352</v>
      </c>
      <c r="BF18">
        <v>0.191334</v>
      </c>
      <c r="BG18" s="1">
        <v>3.0258899999999998E-10</v>
      </c>
      <c r="BO18" t="s">
        <v>792</v>
      </c>
      <c r="BP18">
        <v>0.81761268600000003</v>
      </c>
      <c r="BQ18">
        <v>931.36990889499396</v>
      </c>
      <c r="BR18">
        <v>7.12704</v>
      </c>
      <c r="CR18" t="s">
        <v>792</v>
      </c>
      <c r="CS18">
        <v>0.862335246</v>
      </c>
      <c r="CT18">
        <v>931.20381652901403</v>
      </c>
      <c r="CU18">
        <v>7.1311359999999997</v>
      </c>
      <c r="DA18" t="s">
        <v>792</v>
      </c>
      <c r="DB18">
        <v>1.1268093809999999</v>
      </c>
      <c r="DC18">
        <v>931.14300911303098</v>
      </c>
      <c r="DD18">
        <v>7.12704</v>
      </c>
      <c r="DJ18" t="s">
        <v>792</v>
      </c>
      <c r="DK18">
        <v>1.2119703049999999</v>
      </c>
      <c r="DL18">
        <v>931.16107091901301</v>
      </c>
      <c r="DM18">
        <v>7.12704</v>
      </c>
    </row>
    <row r="19" spans="1:117" ht="16" x14ac:dyDescent="0.2">
      <c r="A19">
        <v>200</v>
      </c>
      <c r="B19">
        <v>8</v>
      </c>
      <c r="C19" t="str">
        <f t="shared" si="0"/>
        <v>200-08</v>
      </c>
      <c r="F19" t="s">
        <v>833</v>
      </c>
      <c r="G19">
        <v>2.686154707</v>
      </c>
      <c r="H19">
        <v>2.7363016619929099</v>
      </c>
      <c r="I19">
        <v>116.764672</v>
      </c>
      <c r="K19">
        <v>18679</v>
      </c>
      <c r="N19" t="s">
        <v>833</v>
      </c>
      <c r="O19">
        <v>0.64248700299999995</v>
      </c>
      <c r="P19">
        <v>0.67316304999985699</v>
      </c>
      <c r="Q19">
        <v>6.9959680000000004</v>
      </c>
      <c r="S19">
        <v>18679</v>
      </c>
      <c r="V19" t="s">
        <v>833</v>
      </c>
      <c r="W19">
        <v>0.62325324299999996</v>
      </c>
      <c r="X19">
        <v>0.63052717498794597</v>
      </c>
      <c r="Y19">
        <v>9.8344959999999997</v>
      </c>
      <c r="AC19" t="s">
        <v>850</v>
      </c>
      <c r="AD19" t="s">
        <v>833</v>
      </c>
      <c r="AE19">
        <v>2.676052678</v>
      </c>
      <c r="AF19">
        <v>2.71228583797346</v>
      </c>
      <c r="AG19">
        <v>116.744192</v>
      </c>
      <c r="AI19" s="5">
        <v>18679</v>
      </c>
      <c r="AJ19" s="1">
        <v>3.1454500000000002E-3</v>
      </c>
      <c r="AK19" s="1">
        <v>4.8842799999999999E-5</v>
      </c>
      <c r="AL19" s="1"/>
      <c r="AM19" s="1" t="s">
        <v>850</v>
      </c>
      <c r="AN19" t="s">
        <v>833</v>
      </c>
      <c r="AO19">
        <v>0.74678053899999997</v>
      </c>
      <c r="AP19">
        <v>0.78754464400117197</v>
      </c>
      <c r="AQ19">
        <v>6.9959680000000004</v>
      </c>
      <c r="AS19" s="5">
        <v>18679</v>
      </c>
      <c r="AT19" s="1">
        <v>1.07498E-2</v>
      </c>
      <c r="AU19" s="1">
        <v>5.63773E-5</v>
      </c>
      <c r="AV19" s="1"/>
      <c r="AW19" s="1"/>
      <c r="AX19" s="1" t="s">
        <v>850</v>
      </c>
      <c r="AY19" t="s">
        <v>833</v>
      </c>
      <c r="AZ19">
        <v>0.74224239000000003</v>
      </c>
      <c r="BA19">
        <v>0.77827428598538895</v>
      </c>
      <c r="BB19">
        <v>9.7443840000000002</v>
      </c>
      <c r="BE19">
        <v>18679</v>
      </c>
      <c r="BF19" s="1">
        <v>1.08895E-2</v>
      </c>
      <c r="BG19" s="1">
        <v>5.63773E-5</v>
      </c>
      <c r="BO19" t="s">
        <v>792</v>
      </c>
      <c r="BP19">
        <v>0.67613720899999996</v>
      </c>
      <c r="BQ19">
        <v>931.03576725500102</v>
      </c>
      <c r="BR19">
        <v>6.8648959999999999</v>
      </c>
      <c r="CR19" t="s">
        <v>792</v>
      </c>
      <c r="CS19">
        <v>0.55597545900000001</v>
      </c>
      <c r="CT19">
        <v>931.069982270943</v>
      </c>
      <c r="CU19">
        <v>6.8608000000000002</v>
      </c>
      <c r="DA19" t="s">
        <v>792</v>
      </c>
      <c r="DB19">
        <v>0.57904263300000003</v>
      </c>
      <c r="DC19">
        <v>931.03465667995602</v>
      </c>
      <c r="DD19">
        <v>7.0000640000000001</v>
      </c>
      <c r="DJ19" t="s">
        <v>792</v>
      </c>
      <c r="DK19">
        <v>0.62669952799999995</v>
      </c>
      <c r="DL19">
        <v>931.10922446695599</v>
      </c>
      <c r="DM19">
        <v>6.905856</v>
      </c>
    </row>
    <row r="20" spans="1:117" x14ac:dyDescent="0.2">
      <c r="A20">
        <v>200</v>
      </c>
      <c r="B20">
        <v>9</v>
      </c>
      <c r="C20" t="str">
        <f t="shared" si="0"/>
        <v>200-09</v>
      </c>
      <c r="F20" t="s">
        <v>833</v>
      </c>
      <c r="G20">
        <v>30.183251052999999</v>
      </c>
      <c r="H20">
        <v>30.298236131013201</v>
      </c>
      <c r="I20">
        <v>7.2867839999999999</v>
      </c>
      <c r="K20">
        <v>1239135</v>
      </c>
      <c r="N20" t="s">
        <v>833</v>
      </c>
      <c r="O20">
        <v>30.238342551999999</v>
      </c>
      <c r="P20">
        <v>30.3684708429791</v>
      </c>
      <c r="Q20">
        <v>6.5986560000000001</v>
      </c>
      <c r="S20">
        <v>1239135</v>
      </c>
      <c r="V20" t="s">
        <v>833</v>
      </c>
      <c r="W20">
        <v>29.726075015999999</v>
      </c>
      <c r="X20">
        <v>29.7823477570054</v>
      </c>
      <c r="Y20">
        <v>6.6027519999999997</v>
      </c>
      <c r="AC20" t="s">
        <v>851</v>
      </c>
      <c r="AD20" t="s">
        <v>833</v>
      </c>
      <c r="AE20">
        <v>34.973116781999998</v>
      </c>
      <c r="AF20">
        <v>35.098474720987703</v>
      </c>
      <c r="AG20">
        <v>7.3564160000000003</v>
      </c>
      <c r="AI20">
        <v>1239135</v>
      </c>
      <c r="AJ20" s="1">
        <v>3.7552999999999998E-5</v>
      </c>
      <c r="AK20" s="1">
        <v>1.4250900000000001E-6</v>
      </c>
      <c r="AL20" s="1"/>
      <c r="AM20" s="1" t="s">
        <v>851</v>
      </c>
      <c r="AN20" t="s">
        <v>833</v>
      </c>
      <c r="AO20">
        <v>35.598312591999999</v>
      </c>
      <c r="AP20">
        <v>35.787614254979403</v>
      </c>
      <c r="AQ20">
        <v>6.6437119999999998</v>
      </c>
      <c r="AS20">
        <v>1239135</v>
      </c>
      <c r="AT20">
        <v>0.69447800000000004</v>
      </c>
      <c r="AU20" s="1">
        <v>1.58011E-6</v>
      </c>
      <c r="AV20" s="1"/>
      <c r="AW20" s="1"/>
      <c r="AX20" s="1" t="s">
        <v>851</v>
      </c>
      <c r="AY20" t="s">
        <v>833</v>
      </c>
      <c r="AZ20">
        <v>35.772169886</v>
      </c>
      <c r="BA20">
        <v>35.9172498760162</v>
      </c>
      <c r="BB20">
        <v>6.5986560000000001</v>
      </c>
      <c r="BE20">
        <v>1239135</v>
      </c>
      <c r="BF20">
        <v>0.69187699999999996</v>
      </c>
      <c r="BG20" s="1">
        <v>1.58011E-6</v>
      </c>
      <c r="BO20" t="s">
        <v>792</v>
      </c>
      <c r="BP20">
        <v>4.6557403940000004</v>
      </c>
      <c r="BQ20">
        <v>931.22099720802998</v>
      </c>
      <c r="BR20">
        <v>6.6027519999999997</v>
      </c>
      <c r="CR20" t="s">
        <v>792</v>
      </c>
      <c r="CS20">
        <v>3.245630276</v>
      </c>
      <c r="CT20">
        <v>931.08796065789602</v>
      </c>
      <c r="CU20">
        <v>6.5904639999999999</v>
      </c>
      <c r="DA20" t="s">
        <v>792</v>
      </c>
      <c r="DB20">
        <v>4.6429562710000001</v>
      </c>
      <c r="DC20">
        <v>931.31548654695496</v>
      </c>
      <c r="DD20">
        <v>6.6068480000000003</v>
      </c>
      <c r="DJ20" t="s">
        <v>792</v>
      </c>
      <c r="DK20">
        <v>3.338161607</v>
      </c>
      <c r="DL20">
        <v>931.30529486294802</v>
      </c>
      <c r="DM20">
        <v>6.6437119999999998</v>
      </c>
    </row>
    <row r="21" spans="1:117" ht="16" x14ac:dyDescent="0.2">
      <c r="A21">
        <v>300</v>
      </c>
      <c r="B21">
        <v>1</v>
      </c>
      <c r="C21" t="str">
        <f t="shared" si="0"/>
        <v>300-01</v>
      </c>
      <c r="F21" t="s">
        <v>833</v>
      </c>
      <c r="G21">
        <v>83.279414693999996</v>
      </c>
      <c r="H21">
        <v>83.492721034999704</v>
      </c>
      <c r="I21">
        <v>8.9210879999999992</v>
      </c>
      <c r="K21">
        <v>2811610</v>
      </c>
      <c r="N21" t="s">
        <v>833</v>
      </c>
      <c r="O21">
        <v>81.983689045999995</v>
      </c>
      <c r="P21">
        <v>82.183182498003504</v>
      </c>
      <c r="Q21">
        <v>7.4137599999999999</v>
      </c>
      <c r="S21">
        <v>2811610</v>
      </c>
      <c r="V21" t="s">
        <v>833</v>
      </c>
      <c r="W21">
        <v>86.045052859999998</v>
      </c>
      <c r="X21">
        <v>86.262130520990397</v>
      </c>
      <c r="Y21">
        <v>7.6472319999999998</v>
      </c>
      <c r="AC21" t="s">
        <v>852</v>
      </c>
      <c r="AD21" t="s">
        <v>833</v>
      </c>
      <c r="AE21">
        <v>97.869962161999993</v>
      </c>
      <c r="AF21">
        <v>98.105410291987894</v>
      </c>
      <c r="AG21">
        <v>8.9210879999999992</v>
      </c>
      <c r="AI21" s="5">
        <v>2811610</v>
      </c>
      <c r="AJ21" s="1">
        <v>8.7990000000000003E-5</v>
      </c>
      <c r="AK21" s="1">
        <v>1.72697E-3</v>
      </c>
      <c r="AL21" s="1"/>
      <c r="AM21" s="1" t="s">
        <v>852</v>
      </c>
      <c r="AN21" t="s">
        <v>833</v>
      </c>
      <c r="AO21">
        <v>98.121022095000001</v>
      </c>
      <c r="AP21">
        <v>98.398993833980001</v>
      </c>
      <c r="AQ21">
        <v>7.4588159999999997</v>
      </c>
      <c r="AS21" s="5">
        <v>2811610</v>
      </c>
      <c r="AT21" s="1">
        <v>2.0406900000000001</v>
      </c>
      <c r="AU21" s="1">
        <v>2.0068199999999999E-3</v>
      </c>
      <c r="AV21" s="1"/>
      <c r="AW21" s="1"/>
      <c r="AX21" s="1" t="s">
        <v>852</v>
      </c>
      <c r="AY21" t="s">
        <v>833</v>
      </c>
      <c r="AZ21">
        <v>101.288234077</v>
      </c>
      <c r="BA21">
        <v>101.824545670999</v>
      </c>
      <c r="BB21">
        <v>7.6513280000000004</v>
      </c>
      <c r="BE21">
        <v>2811610</v>
      </c>
      <c r="BF21" s="1">
        <v>2.07328</v>
      </c>
      <c r="BG21" s="1">
        <v>2.0068199999999999E-3</v>
      </c>
      <c r="BO21" t="s">
        <v>792</v>
      </c>
      <c r="BP21">
        <v>6.9383893360000002</v>
      </c>
      <c r="BQ21">
        <v>931.28359239298095</v>
      </c>
      <c r="BR21">
        <v>7.4178559999999996</v>
      </c>
      <c r="CR21" t="s">
        <v>792</v>
      </c>
      <c r="CS21">
        <v>4.8974339880000004</v>
      </c>
      <c r="CT21">
        <v>931.07874555594697</v>
      </c>
      <c r="CU21">
        <v>7.3768960000000003</v>
      </c>
      <c r="DA21" t="s">
        <v>792</v>
      </c>
      <c r="DB21">
        <v>8.4128372079999991</v>
      </c>
      <c r="DC21">
        <v>931.08954366505998</v>
      </c>
      <c r="DD21">
        <v>7.3441280000000004</v>
      </c>
      <c r="DJ21" t="s">
        <v>792</v>
      </c>
      <c r="DK21">
        <v>7.1679031789999996</v>
      </c>
      <c r="DL21">
        <v>931.35550818394404</v>
      </c>
      <c r="DM21">
        <v>7.4137599999999999</v>
      </c>
    </row>
    <row r="22" spans="1:117" x14ac:dyDescent="0.2">
      <c r="A22">
        <v>300</v>
      </c>
      <c r="B22">
        <v>2</v>
      </c>
      <c r="C22" t="str">
        <f t="shared" si="0"/>
        <v>300-02</v>
      </c>
      <c r="F22" t="s">
        <v>833</v>
      </c>
      <c r="G22">
        <v>0.61142125899999999</v>
      </c>
      <c r="H22">
        <v>0.63209161699341998</v>
      </c>
      <c r="I22">
        <v>7.7783040000000003</v>
      </c>
      <c r="K22">
        <v>16334</v>
      </c>
      <c r="N22" t="s">
        <v>833</v>
      </c>
      <c r="O22">
        <v>0.66097473299999998</v>
      </c>
      <c r="P22">
        <v>0.76748561998829201</v>
      </c>
      <c r="Q22">
        <v>7.12704</v>
      </c>
      <c r="S22">
        <v>16334</v>
      </c>
      <c r="V22" t="s">
        <v>833</v>
      </c>
      <c r="W22">
        <v>0.63072812</v>
      </c>
      <c r="X22">
        <v>0.64102194098813903</v>
      </c>
      <c r="Y22">
        <v>7.0778879999999997</v>
      </c>
      <c r="AC22" t="s">
        <v>853</v>
      </c>
      <c r="AD22" t="s">
        <v>833</v>
      </c>
      <c r="AE22">
        <v>0.71975614899999996</v>
      </c>
      <c r="AF22">
        <v>0.75349226800608404</v>
      </c>
      <c r="AG22">
        <v>7.708672</v>
      </c>
      <c r="AI22">
        <v>16334</v>
      </c>
      <c r="AJ22" s="1">
        <v>4.155E-5</v>
      </c>
      <c r="AK22" s="1">
        <v>5.2201299999999999E-11</v>
      </c>
      <c r="AL22" s="1"/>
      <c r="AM22" s="1" t="s">
        <v>853</v>
      </c>
      <c r="AN22" t="s">
        <v>833</v>
      </c>
      <c r="AO22">
        <v>0.71364370399999999</v>
      </c>
      <c r="AP22">
        <v>0.75199356701341402</v>
      </c>
      <c r="AQ22">
        <v>7.12704</v>
      </c>
      <c r="AS22">
        <v>16334</v>
      </c>
      <c r="AT22">
        <v>1.22013E-2</v>
      </c>
      <c r="AU22" s="1">
        <v>5.4641499999999998E-11</v>
      </c>
      <c r="AV22" s="1"/>
      <c r="AW22" s="1"/>
      <c r="AX22" s="1" t="s">
        <v>853</v>
      </c>
      <c r="AY22" t="s">
        <v>833</v>
      </c>
      <c r="AZ22">
        <v>0.729909162</v>
      </c>
      <c r="BA22">
        <v>0.76306560600642104</v>
      </c>
      <c r="BB22">
        <v>7.1352320000000002</v>
      </c>
      <c r="BE22">
        <v>16334</v>
      </c>
      <c r="BF22">
        <v>1.13939E-2</v>
      </c>
      <c r="BG22" s="1">
        <v>5.4641499999999998E-11</v>
      </c>
      <c r="BO22" t="s">
        <v>792</v>
      </c>
      <c r="BP22">
        <v>0.51743009299999998</v>
      </c>
      <c r="BQ22">
        <v>931.17722438299097</v>
      </c>
      <c r="BR22">
        <v>7.1434240000000004</v>
      </c>
      <c r="CR22" t="s">
        <v>792</v>
      </c>
      <c r="CS22">
        <v>0.55293707199999997</v>
      </c>
      <c r="CT22">
        <v>931.13117699197005</v>
      </c>
      <c r="CU22">
        <v>7.12704</v>
      </c>
      <c r="DA22" t="s">
        <v>792</v>
      </c>
      <c r="DB22">
        <v>0.54969789400000002</v>
      </c>
      <c r="DC22">
        <v>931.49042237608205</v>
      </c>
      <c r="DD22">
        <v>7.1229440000000004</v>
      </c>
      <c r="DJ22" t="s">
        <v>792</v>
      </c>
      <c r="DK22">
        <v>0.62395853400000001</v>
      </c>
      <c r="DL22">
        <v>931.136502139968</v>
      </c>
      <c r="DM22">
        <v>7.12704</v>
      </c>
    </row>
    <row r="23" spans="1:117" ht="16" x14ac:dyDescent="0.2">
      <c r="A23">
        <v>300</v>
      </c>
      <c r="B23">
        <v>3</v>
      </c>
      <c r="C23" t="str">
        <f t="shared" si="0"/>
        <v>300-03</v>
      </c>
      <c r="F23" t="s">
        <v>833</v>
      </c>
      <c r="G23">
        <v>51.445992830999998</v>
      </c>
      <c r="H23">
        <v>51.579637810005799</v>
      </c>
      <c r="I23">
        <v>9.756672</v>
      </c>
      <c r="K23">
        <v>1726335</v>
      </c>
      <c r="N23" t="s">
        <v>833</v>
      </c>
      <c r="O23">
        <v>50.498181666000001</v>
      </c>
      <c r="P23">
        <v>50.727679383009601</v>
      </c>
      <c r="Q23">
        <v>7.12704</v>
      </c>
      <c r="S23">
        <v>1726335</v>
      </c>
      <c r="V23" t="s">
        <v>833</v>
      </c>
      <c r="W23">
        <v>53.135403947999997</v>
      </c>
      <c r="X23">
        <v>53.291354266999399</v>
      </c>
      <c r="Y23">
        <v>7.4424320000000002</v>
      </c>
      <c r="AC23" t="s">
        <v>854</v>
      </c>
      <c r="AD23" t="s">
        <v>833</v>
      </c>
      <c r="AE23">
        <v>60.492957058999998</v>
      </c>
      <c r="AF23">
        <v>60.771304455993203</v>
      </c>
      <c r="AG23">
        <v>9.6501760000000001</v>
      </c>
      <c r="AI23" s="5">
        <v>1726335</v>
      </c>
      <c r="AJ23" s="1">
        <v>1.16605E-4</v>
      </c>
      <c r="AK23" s="1">
        <v>4.2055399999999999E-12</v>
      </c>
      <c r="AL23" s="1"/>
      <c r="AM23" s="1" t="s">
        <v>854</v>
      </c>
      <c r="AN23" t="s">
        <v>833</v>
      </c>
      <c r="AO23">
        <v>58.751759880999998</v>
      </c>
      <c r="AP23">
        <v>59.019304720975903</v>
      </c>
      <c r="AQ23">
        <v>7.2704000000000004</v>
      </c>
      <c r="AS23" s="5">
        <v>1726335</v>
      </c>
      <c r="AT23" s="1">
        <v>0.86065100000000005</v>
      </c>
      <c r="AU23" s="1">
        <v>4.6527100000000003E-12</v>
      </c>
      <c r="AV23" s="1"/>
      <c r="AW23" s="1"/>
      <c r="AX23" s="1" t="s">
        <v>854</v>
      </c>
      <c r="AY23" t="s">
        <v>833</v>
      </c>
      <c r="AZ23">
        <v>62.211099359999999</v>
      </c>
      <c r="BA23">
        <v>62.482227536995197</v>
      </c>
      <c r="BB23">
        <v>7.3482240000000001</v>
      </c>
      <c r="BE23">
        <v>1726335</v>
      </c>
      <c r="BF23" s="1">
        <v>0.87197899999999995</v>
      </c>
      <c r="BG23" s="1">
        <v>4.6527100000000003E-12</v>
      </c>
      <c r="BO23" t="s">
        <v>792</v>
      </c>
      <c r="BP23">
        <v>1.4070719810000001</v>
      </c>
      <c r="BQ23">
        <v>931.21301665995202</v>
      </c>
      <c r="BR23">
        <v>7.1311359999999997</v>
      </c>
      <c r="CR23" t="s">
        <v>792</v>
      </c>
      <c r="CS23">
        <v>1.481396073</v>
      </c>
      <c r="CT23">
        <v>931.14952666999295</v>
      </c>
      <c r="CU23">
        <v>7.2007680000000001</v>
      </c>
      <c r="DA23" t="s">
        <v>792</v>
      </c>
      <c r="DB23">
        <v>3.453986617</v>
      </c>
      <c r="DC23">
        <v>931.633284795912</v>
      </c>
      <c r="DD23">
        <v>7.1557120000000003</v>
      </c>
      <c r="DJ23" t="s">
        <v>792</v>
      </c>
      <c r="DK23">
        <v>3.4212762209999998</v>
      </c>
      <c r="DL23">
        <v>931.35591467807501</v>
      </c>
      <c r="DM23">
        <v>7.2294400000000003</v>
      </c>
    </row>
    <row r="24" spans="1:117" x14ac:dyDescent="0.2">
      <c r="A24">
        <v>300</v>
      </c>
      <c r="B24">
        <v>4</v>
      </c>
      <c r="C24" t="str">
        <f t="shared" si="0"/>
        <v>300-04</v>
      </c>
      <c r="F24" t="s">
        <v>833</v>
      </c>
      <c r="G24">
        <v>9.3853761480000006</v>
      </c>
      <c r="H24">
        <v>9.4239084290020401</v>
      </c>
      <c r="I24">
        <v>18.14528</v>
      </c>
      <c r="K24">
        <v>375584</v>
      </c>
      <c r="N24" t="s">
        <v>833</v>
      </c>
      <c r="O24">
        <v>9.4544328740000001</v>
      </c>
      <c r="P24">
        <v>9.5041334060078899</v>
      </c>
      <c r="Q24">
        <v>7.7783040000000003</v>
      </c>
      <c r="S24">
        <v>375584</v>
      </c>
      <c r="V24" t="s">
        <v>833</v>
      </c>
      <c r="W24">
        <v>9.3729836849999995</v>
      </c>
      <c r="X24">
        <v>9.4683079240057797</v>
      </c>
      <c r="Y24">
        <v>7.6472319999999998</v>
      </c>
      <c r="AC24" t="s">
        <v>855</v>
      </c>
      <c r="AD24" t="s">
        <v>833</v>
      </c>
      <c r="AE24">
        <v>10.85593667</v>
      </c>
      <c r="AF24">
        <v>11.391247723979101</v>
      </c>
      <c r="AG24">
        <v>18.137087999999999</v>
      </c>
      <c r="AI24">
        <v>375584</v>
      </c>
      <c r="AJ24" s="1">
        <v>3.3793099999999997E-4</v>
      </c>
      <c r="AK24">
        <v>1.46107E-4</v>
      </c>
      <c r="AM24" t="s">
        <v>855</v>
      </c>
      <c r="AN24" t="s">
        <v>833</v>
      </c>
      <c r="AO24">
        <v>11.095838485</v>
      </c>
      <c r="AP24">
        <v>11.3009229630115</v>
      </c>
      <c r="AQ24">
        <v>7.7824</v>
      </c>
      <c r="AS24">
        <v>375584</v>
      </c>
      <c r="AT24">
        <v>0.15418599999999999</v>
      </c>
      <c r="AU24" s="1">
        <v>1.4610900000000001E-4</v>
      </c>
      <c r="AV24" s="1"/>
      <c r="AW24" s="1"/>
      <c r="AX24" t="s">
        <v>855</v>
      </c>
      <c r="AY24" t="s">
        <v>833</v>
      </c>
      <c r="AZ24">
        <v>11.784253142000001</v>
      </c>
      <c r="BA24">
        <v>11.857663622999</v>
      </c>
      <c r="BB24">
        <v>7.909376</v>
      </c>
      <c r="BE24">
        <v>375584</v>
      </c>
      <c r="BF24">
        <v>0.155914</v>
      </c>
      <c r="BG24" s="1">
        <v>1.4610900000000001E-4</v>
      </c>
      <c r="BO24" t="s">
        <v>792</v>
      </c>
      <c r="BP24">
        <v>0.71153256499999995</v>
      </c>
      <c r="BQ24">
        <v>931.04325056099299</v>
      </c>
      <c r="BR24">
        <v>7.7045760000000003</v>
      </c>
      <c r="CR24" t="s">
        <v>792</v>
      </c>
      <c r="CS24">
        <v>0.746895796</v>
      </c>
      <c r="CT24">
        <v>931.01525627495698</v>
      </c>
      <c r="CU24">
        <v>7.7824</v>
      </c>
      <c r="DA24" t="s">
        <v>792</v>
      </c>
      <c r="DB24">
        <v>1.0549590820000001</v>
      </c>
      <c r="DC24">
        <v>931.32962739898301</v>
      </c>
      <c r="DD24">
        <v>7.7660159999999996</v>
      </c>
      <c r="DJ24" t="s">
        <v>792</v>
      </c>
      <c r="DK24">
        <v>1.0724567650000001</v>
      </c>
      <c r="DL24">
        <v>931.03557737404401</v>
      </c>
      <c r="DM24">
        <v>7.7864959999999996</v>
      </c>
    </row>
    <row r="25" spans="1:117" ht="16" x14ac:dyDescent="0.2">
      <c r="A25">
        <v>300</v>
      </c>
      <c r="B25">
        <v>5</v>
      </c>
      <c r="C25" t="str">
        <f t="shared" si="0"/>
        <v>300-05</v>
      </c>
      <c r="F25" t="s">
        <v>833</v>
      </c>
      <c r="G25">
        <v>195.16557352800001</v>
      </c>
      <c r="H25">
        <v>195.64927551099299</v>
      </c>
      <c r="I25">
        <v>17.920000000000002</v>
      </c>
      <c r="K25">
        <v>5350736</v>
      </c>
      <c r="N25" t="s">
        <v>833</v>
      </c>
      <c r="O25">
        <v>187.11552868000001</v>
      </c>
      <c r="P25">
        <v>187.68283126701101</v>
      </c>
      <c r="Q25">
        <v>7.3891840000000002</v>
      </c>
      <c r="S25">
        <v>5350736</v>
      </c>
      <c r="V25" t="s">
        <v>833</v>
      </c>
      <c r="W25">
        <v>194.689351929</v>
      </c>
      <c r="X25">
        <v>195.15502457800901</v>
      </c>
      <c r="Y25">
        <v>7.7332479999999997</v>
      </c>
      <c r="AC25" t="s">
        <v>856</v>
      </c>
      <c r="AD25" t="s">
        <v>833</v>
      </c>
      <c r="AE25">
        <v>218.84672197699999</v>
      </c>
      <c r="AF25">
        <v>219.574978149001</v>
      </c>
      <c r="AG25">
        <v>17.739775999999999</v>
      </c>
      <c r="AI25">
        <v>5350736</v>
      </c>
      <c r="AJ25">
        <v>3.3452599999999997E-4</v>
      </c>
      <c r="AK25">
        <v>3.2000399999999998E-4</v>
      </c>
      <c r="AM25" t="s">
        <v>856</v>
      </c>
      <c r="AN25" t="s">
        <v>833</v>
      </c>
      <c r="AO25">
        <v>219.57988500299999</v>
      </c>
      <c r="AP25">
        <v>220.10747180000101</v>
      </c>
      <c r="AQ25">
        <v>7.4301440000000003</v>
      </c>
      <c r="AS25" s="5">
        <v>5350736</v>
      </c>
      <c r="AT25" s="1">
        <v>5.0190999999999999</v>
      </c>
      <c r="AU25" s="1">
        <v>3.3607800000000002E-4</v>
      </c>
      <c r="AV25" s="1"/>
      <c r="AW25" s="1"/>
      <c r="AX25" t="s">
        <v>856</v>
      </c>
      <c r="AY25" t="s">
        <v>833</v>
      </c>
      <c r="AZ25">
        <v>224.09513117200001</v>
      </c>
      <c r="BA25">
        <v>224.76712505499</v>
      </c>
      <c r="BB25">
        <v>7.6472319999999998</v>
      </c>
      <c r="BE25">
        <v>5350736</v>
      </c>
      <c r="BF25" s="1">
        <v>5.0486000000000004</v>
      </c>
      <c r="BG25" s="1">
        <v>3.3607800000000002E-4</v>
      </c>
      <c r="BO25" t="s">
        <v>792</v>
      </c>
      <c r="BP25">
        <v>5.6797671809999999</v>
      </c>
      <c r="BQ25">
        <v>931.04719983402094</v>
      </c>
      <c r="BR25">
        <v>7.3932799999999999</v>
      </c>
      <c r="CR25" t="s">
        <v>792</v>
      </c>
      <c r="CS25">
        <v>5.7160963789999997</v>
      </c>
      <c r="CT25">
        <v>931.13553195900704</v>
      </c>
      <c r="CU25">
        <v>7.3482240000000001</v>
      </c>
      <c r="DA25" t="s">
        <v>792</v>
      </c>
      <c r="DB25">
        <v>16.333215430999999</v>
      </c>
      <c r="DC25">
        <v>931.07602913293499</v>
      </c>
      <c r="DD25">
        <v>7.3973760000000004</v>
      </c>
      <c r="DJ25" t="s">
        <v>792</v>
      </c>
      <c r="DK25">
        <v>16.34753456</v>
      </c>
      <c r="DL25">
        <v>931.03833128197505</v>
      </c>
      <c r="DM25">
        <v>7.3973760000000004</v>
      </c>
    </row>
    <row r="26" spans="1:117" x14ac:dyDescent="0.2">
      <c r="A26">
        <v>300</v>
      </c>
      <c r="B26">
        <v>6</v>
      </c>
      <c r="C26" t="str">
        <f t="shared" si="0"/>
        <v>300-06</v>
      </c>
      <c r="F26" t="s">
        <v>833</v>
      </c>
      <c r="G26">
        <v>33.340771598000003</v>
      </c>
      <c r="H26">
        <v>33.457834373999503</v>
      </c>
      <c r="I26">
        <v>9.8508800000000001</v>
      </c>
      <c r="K26">
        <v>1153131</v>
      </c>
      <c r="N26" t="s">
        <v>833</v>
      </c>
      <c r="O26">
        <v>33.635519275</v>
      </c>
      <c r="P26">
        <v>33.728103461995403</v>
      </c>
      <c r="Q26">
        <v>7.5202559999999998</v>
      </c>
      <c r="S26">
        <v>1153131</v>
      </c>
      <c r="V26" t="s">
        <v>833</v>
      </c>
      <c r="W26">
        <v>36.753642446999997</v>
      </c>
      <c r="X26">
        <v>36.867364848992999</v>
      </c>
      <c r="Y26">
        <v>7.6144639999999999</v>
      </c>
      <c r="AC26" t="s">
        <v>857</v>
      </c>
      <c r="AD26" t="s">
        <v>833</v>
      </c>
      <c r="AE26">
        <v>39.990834282999998</v>
      </c>
      <c r="AF26">
        <v>40.146518248016903</v>
      </c>
      <c r="AG26">
        <v>9.7443840000000002</v>
      </c>
      <c r="AI26">
        <v>1153131</v>
      </c>
      <c r="AJ26" s="1">
        <v>1.0153300000000001E-4</v>
      </c>
      <c r="AK26" s="1">
        <v>6.3977800000000002E-10</v>
      </c>
      <c r="AL26" s="1"/>
      <c r="AM26" s="1" t="s">
        <v>857</v>
      </c>
      <c r="AN26" t="s">
        <v>833</v>
      </c>
      <c r="AO26">
        <v>38.383026800000003</v>
      </c>
      <c r="AP26">
        <v>38.5532747159886</v>
      </c>
      <c r="AQ26">
        <v>7.4997759999999998</v>
      </c>
      <c r="AS26">
        <v>1153131</v>
      </c>
      <c r="AT26">
        <v>0.598885</v>
      </c>
      <c r="AU26" s="1">
        <v>6.3977800000000002E-10</v>
      </c>
      <c r="AV26" s="1"/>
      <c r="AW26" s="1"/>
      <c r="AX26" s="1" t="s">
        <v>857</v>
      </c>
      <c r="AY26" t="s">
        <v>833</v>
      </c>
      <c r="AZ26">
        <v>41.355713903999998</v>
      </c>
      <c r="BA26">
        <v>41.471149385994003</v>
      </c>
      <c r="BB26">
        <v>7.708672</v>
      </c>
      <c r="BE26">
        <v>1153131</v>
      </c>
      <c r="BF26">
        <v>0.592916</v>
      </c>
      <c r="BG26" s="1">
        <v>6.3977800000000002E-10</v>
      </c>
      <c r="BO26" t="s">
        <v>792</v>
      </c>
      <c r="BP26">
        <v>1.1338951580000001</v>
      </c>
      <c r="BQ26">
        <v>931.08654208801397</v>
      </c>
      <c r="BR26">
        <v>7.4752000000000001</v>
      </c>
      <c r="CR26" t="s">
        <v>792</v>
      </c>
      <c r="CS26">
        <v>1.2263791209999999</v>
      </c>
      <c r="CT26">
        <v>931.03118680999603</v>
      </c>
      <c r="CU26">
        <v>7.4014720000000001</v>
      </c>
      <c r="DA26" t="s">
        <v>792</v>
      </c>
      <c r="DB26">
        <v>2.460953757</v>
      </c>
      <c r="DC26">
        <v>931.22926520300098</v>
      </c>
      <c r="DD26">
        <v>7.4137599999999999</v>
      </c>
      <c r="DJ26" t="s">
        <v>792</v>
      </c>
      <c r="DK26">
        <v>2.5381523069999998</v>
      </c>
      <c r="DL26">
        <v>931.17993877502101</v>
      </c>
      <c r="DM26">
        <v>7.4301440000000003</v>
      </c>
    </row>
    <row r="27" spans="1:117" ht="16" x14ac:dyDescent="0.2">
      <c r="A27">
        <v>300</v>
      </c>
      <c r="B27">
        <v>7</v>
      </c>
      <c r="C27" t="str">
        <f t="shared" si="0"/>
        <v>300-07</v>
      </c>
      <c r="F27" t="s">
        <v>792</v>
      </c>
      <c r="G27">
        <v>901.59522183800004</v>
      </c>
      <c r="H27">
        <v>903.06030055499195</v>
      </c>
      <c r="I27">
        <v>9172.8609280000001</v>
      </c>
      <c r="K27">
        <v>130238076</v>
      </c>
      <c r="N27" t="s">
        <v>792</v>
      </c>
      <c r="O27">
        <v>901.00978604500006</v>
      </c>
      <c r="P27">
        <v>902.35072928501097</v>
      </c>
      <c r="Q27">
        <v>84.197376000000006</v>
      </c>
      <c r="S27">
        <v>130238076</v>
      </c>
      <c r="V27" t="s">
        <v>792</v>
      </c>
      <c r="W27">
        <v>901.02132629200003</v>
      </c>
      <c r="X27">
        <v>902.81598700399604</v>
      </c>
      <c r="Y27">
        <v>338.874368</v>
      </c>
      <c r="AC27" t="s">
        <v>858</v>
      </c>
      <c r="AD27" t="s">
        <v>792</v>
      </c>
      <c r="AE27">
        <v>901.61510736599996</v>
      </c>
      <c r="AF27">
        <v>903.51576131000104</v>
      </c>
      <c r="AG27">
        <v>9172.8814079999993</v>
      </c>
      <c r="AI27">
        <v>130238076</v>
      </c>
      <c r="AJ27" s="1">
        <v>0.190418</v>
      </c>
      <c r="AK27" s="1">
        <v>1.9147400000000001E-25</v>
      </c>
      <c r="AL27" s="1"/>
      <c r="AM27" s="1" t="s">
        <v>858</v>
      </c>
      <c r="AN27" t="s">
        <v>792</v>
      </c>
      <c r="AO27">
        <v>900.06407556500005</v>
      </c>
      <c r="AP27">
        <v>901.04748472801202</v>
      </c>
      <c r="AQ27">
        <v>84.119551999999999</v>
      </c>
      <c r="AS27" s="5">
        <v>130238076</v>
      </c>
      <c r="AT27" s="1">
        <v>113.857</v>
      </c>
      <c r="AU27" s="1">
        <v>2.09347E-25</v>
      </c>
      <c r="AV27" s="1"/>
      <c r="AW27" s="1"/>
      <c r="AX27" s="1" t="s">
        <v>858</v>
      </c>
      <c r="AY27" t="s">
        <v>792</v>
      </c>
      <c r="AZ27">
        <v>901.037127983</v>
      </c>
      <c r="BA27">
        <v>902.41167309300999</v>
      </c>
      <c r="BB27">
        <v>338.931712</v>
      </c>
      <c r="BE27">
        <v>130238076</v>
      </c>
      <c r="BF27" s="1">
        <v>112.777</v>
      </c>
      <c r="BG27" s="1">
        <v>2.09347E-25</v>
      </c>
      <c r="BO27" t="s">
        <v>792</v>
      </c>
      <c r="BP27">
        <v>122.05477752</v>
      </c>
      <c r="BQ27">
        <v>931.09861011704197</v>
      </c>
      <c r="BR27">
        <v>84.070400000000006</v>
      </c>
      <c r="CR27" t="s">
        <v>792</v>
      </c>
      <c r="CS27">
        <v>121.926061205</v>
      </c>
      <c r="CT27">
        <v>931.15324342099404</v>
      </c>
      <c r="CU27">
        <v>84.000767999999994</v>
      </c>
      <c r="DA27" t="s">
        <v>792</v>
      </c>
      <c r="DB27">
        <v>381.936471106</v>
      </c>
      <c r="DC27">
        <v>931.12731844303198</v>
      </c>
      <c r="DD27">
        <v>84.201471999999995</v>
      </c>
      <c r="DJ27" t="s">
        <v>792</v>
      </c>
      <c r="DK27">
        <v>374.36056335900003</v>
      </c>
      <c r="DL27">
        <v>931.12141368410005</v>
      </c>
      <c r="DM27">
        <v>84.291584</v>
      </c>
    </row>
    <row r="28" spans="1:117" x14ac:dyDescent="0.2">
      <c r="A28">
        <v>300</v>
      </c>
      <c r="B28">
        <v>8</v>
      </c>
      <c r="C28" t="str">
        <f t="shared" si="0"/>
        <v>300-08</v>
      </c>
      <c r="F28" t="s">
        <v>833</v>
      </c>
      <c r="G28">
        <v>23.864244009</v>
      </c>
      <c r="H28">
        <v>24.0134601000027</v>
      </c>
      <c r="I28">
        <v>7.1516159999999998</v>
      </c>
      <c r="K28">
        <v>839229</v>
      </c>
      <c r="N28" t="s">
        <v>833</v>
      </c>
      <c r="O28">
        <v>23.99147309</v>
      </c>
      <c r="P28">
        <v>24.156055264000301</v>
      </c>
      <c r="Q28">
        <v>6.9959680000000004</v>
      </c>
      <c r="S28">
        <v>839229</v>
      </c>
      <c r="V28" t="s">
        <v>833</v>
      </c>
      <c r="W28">
        <v>24.774051714999999</v>
      </c>
      <c r="X28">
        <v>24.926750853992399</v>
      </c>
      <c r="Y28">
        <v>7.0819840000000003</v>
      </c>
      <c r="AC28" t="s">
        <v>859</v>
      </c>
      <c r="AD28" t="s">
        <v>833</v>
      </c>
      <c r="AE28">
        <v>28.092711954999999</v>
      </c>
      <c r="AF28">
        <v>28.246062738995501</v>
      </c>
      <c r="AG28">
        <v>7.0696960000000004</v>
      </c>
      <c r="AI28">
        <v>839229</v>
      </c>
      <c r="AJ28" s="1">
        <v>2.6401999999999999E-5</v>
      </c>
      <c r="AK28" s="1">
        <v>4.0236000000000004E-21</v>
      </c>
      <c r="AL28" s="1"/>
      <c r="AM28" s="1" t="s">
        <v>859</v>
      </c>
      <c r="AN28" t="s">
        <v>833</v>
      </c>
      <c r="AO28">
        <v>27.018760514</v>
      </c>
      <c r="AP28">
        <v>27.1164841999998</v>
      </c>
      <c r="AQ28">
        <v>7.0041599999999997</v>
      </c>
      <c r="AS28">
        <v>839229</v>
      </c>
      <c r="AT28">
        <v>0.33940999999999999</v>
      </c>
      <c r="AU28" s="1">
        <v>4.49897E-21</v>
      </c>
      <c r="AV28" s="1"/>
      <c r="AW28" s="1"/>
      <c r="AX28" s="1" t="s">
        <v>859</v>
      </c>
      <c r="AY28" t="s">
        <v>833</v>
      </c>
      <c r="AZ28">
        <v>29.181718298</v>
      </c>
      <c r="BA28">
        <v>29.277777028997601</v>
      </c>
      <c r="BB28">
        <v>6.9918719999999999</v>
      </c>
      <c r="BE28">
        <v>839229</v>
      </c>
      <c r="BF28">
        <v>0.335814</v>
      </c>
      <c r="BG28" s="1">
        <v>4.49897E-21</v>
      </c>
      <c r="BO28" t="s">
        <v>792</v>
      </c>
      <c r="BP28">
        <v>2.9232650969999998</v>
      </c>
      <c r="BQ28">
        <v>931.03957468096598</v>
      </c>
      <c r="BR28">
        <v>6.9918719999999999</v>
      </c>
      <c r="CR28" t="s">
        <v>792</v>
      </c>
      <c r="CS28">
        <v>2.2859537360000002</v>
      </c>
      <c r="CT28">
        <v>931.30546730395804</v>
      </c>
      <c r="CU28">
        <v>6.9959680000000004</v>
      </c>
      <c r="DA28" t="s">
        <v>792</v>
      </c>
      <c r="DB28">
        <v>3.317645996</v>
      </c>
      <c r="DC28">
        <v>931.13813139602996</v>
      </c>
      <c r="DD28">
        <v>6.9631999999999996</v>
      </c>
      <c r="DJ28" t="s">
        <v>792</v>
      </c>
      <c r="DK28">
        <v>6.5124415080000002</v>
      </c>
      <c r="DL28">
        <v>931.357492842944</v>
      </c>
      <c r="DM28">
        <v>6.979584</v>
      </c>
    </row>
    <row r="29" spans="1:117" ht="16" x14ac:dyDescent="0.2">
      <c r="A29">
        <v>300</v>
      </c>
      <c r="B29">
        <v>9</v>
      </c>
      <c r="C29" t="str">
        <f t="shared" si="0"/>
        <v>300-09</v>
      </c>
      <c r="F29" t="s">
        <v>792</v>
      </c>
      <c r="G29">
        <v>900.40243484699999</v>
      </c>
      <c r="H29">
        <v>901.04468096799906</v>
      </c>
      <c r="I29">
        <v>80.928768000000005</v>
      </c>
      <c r="K29">
        <v>1313078442</v>
      </c>
      <c r="N29" t="s">
        <v>792</v>
      </c>
      <c r="O29">
        <v>900.35805649400004</v>
      </c>
      <c r="P29">
        <v>901.04581631201995</v>
      </c>
      <c r="Q29">
        <v>13.860863999999999</v>
      </c>
      <c r="S29">
        <v>1313078442</v>
      </c>
      <c r="V29" t="s">
        <v>792</v>
      </c>
      <c r="W29">
        <v>900.29408816499995</v>
      </c>
      <c r="X29">
        <v>901.02677923900706</v>
      </c>
      <c r="Y29">
        <v>22.58944</v>
      </c>
      <c r="AC29" t="s">
        <v>860</v>
      </c>
      <c r="AD29" t="s">
        <v>792</v>
      </c>
      <c r="AE29">
        <v>900.58322742300004</v>
      </c>
      <c r="AF29">
        <v>901.05659772900901</v>
      </c>
      <c r="AG29">
        <v>80.785408000000004</v>
      </c>
      <c r="AI29">
        <v>1313078442</v>
      </c>
      <c r="AJ29" s="1">
        <v>9.0649399999999998E-4</v>
      </c>
      <c r="AK29" s="6">
        <v>1.4255600000000001E-11</v>
      </c>
      <c r="AL29" s="6"/>
      <c r="AM29" s="6" t="s">
        <v>860</v>
      </c>
      <c r="AN29" t="s">
        <v>792</v>
      </c>
      <c r="AO29">
        <v>900.55886227899998</v>
      </c>
      <c r="AP29">
        <v>901.04266956998595</v>
      </c>
      <c r="AQ29">
        <v>13.811712</v>
      </c>
      <c r="AX29" s="6" t="s">
        <v>860</v>
      </c>
      <c r="AY29" t="s">
        <v>792</v>
      </c>
      <c r="AZ29">
        <v>900.63898362500004</v>
      </c>
      <c r="BA29">
        <v>901.05327259999399</v>
      </c>
      <c r="BB29">
        <v>22.58944</v>
      </c>
      <c r="BO29" t="s">
        <v>792</v>
      </c>
      <c r="BP29">
        <v>876.47346981500004</v>
      </c>
      <c r="BQ29">
        <v>931.32953297300196</v>
      </c>
      <c r="BR29">
        <v>13.725695999999999</v>
      </c>
      <c r="CR29" t="s">
        <v>792</v>
      </c>
      <c r="CS29">
        <v>884.89788431399995</v>
      </c>
      <c r="CT29">
        <v>931.16213474701999</v>
      </c>
      <c r="CU29">
        <v>13.811712</v>
      </c>
      <c r="DA29" t="s">
        <v>792</v>
      </c>
      <c r="DB29">
        <v>900.57440450700005</v>
      </c>
      <c r="DC29">
        <v>901.01029750902603</v>
      </c>
      <c r="DD29">
        <v>13.807615999999999</v>
      </c>
      <c r="DJ29" t="s">
        <v>792</v>
      </c>
      <c r="DK29">
        <v>900.64751472399996</v>
      </c>
      <c r="DL29">
        <v>901.01351651409595</v>
      </c>
      <c r="DM29">
        <v>13.807615999999999</v>
      </c>
    </row>
    <row r="30" spans="1:117" x14ac:dyDescent="0.2">
      <c r="A30">
        <v>400</v>
      </c>
      <c r="B30">
        <v>1</v>
      </c>
      <c r="C30" t="str">
        <f t="shared" si="0"/>
        <v>400-01</v>
      </c>
      <c r="F30" t="s">
        <v>833</v>
      </c>
      <c r="G30">
        <v>531.09938099999999</v>
      </c>
      <c r="H30">
        <v>532.58375246101002</v>
      </c>
      <c r="I30">
        <v>8.7040000000000006</v>
      </c>
      <c r="K30">
        <v>17216420</v>
      </c>
      <c r="N30" t="s">
        <v>833</v>
      </c>
      <c r="O30">
        <v>495.49485054199999</v>
      </c>
      <c r="P30">
        <v>496.82973747700402</v>
      </c>
      <c r="Q30">
        <v>7.7905920000000002</v>
      </c>
      <c r="S30">
        <v>17216420</v>
      </c>
      <c r="V30" t="s">
        <v>833</v>
      </c>
      <c r="W30">
        <v>519.66727038199997</v>
      </c>
      <c r="X30">
        <v>520.98539165100306</v>
      </c>
      <c r="Y30">
        <v>7.9626239999999999</v>
      </c>
      <c r="AC30" t="s">
        <v>861</v>
      </c>
      <c r="AD30" t="s">
        <v>833</v>
      </c>
      <c r="AE30">
        <v>588.20149731499998</v>
      </c>
      <c r="AF30">
        <v>589.99061107600505</v>
      </c>
      <c r="AG30">
        <v>8.6958079999999995</v>
      </c>
      <c r="AI30">
        <v>17216420</v>
      </c>
      <c r="AJ30" s="1">
        <v>7.8852999999999999E-5</v>
      </c>
      <c r="AK30" s="1">
        <v>2.4836499999999999E-8</v>
      </c>
      <c r="AL30" s="1"/>
      <c r="AM30" s="1" t="s">
        <v>861</v>
      </c>
      <c r="AN30" t="s">
        <v>833</v>
      </c>
      <c r="AO30">
        <v>581.83965657199997</v>
      </c>
      <c r="AP30">
        <v>582.92023645000802</v>
      </c>
      <c r="AQ30">
        <v>7.9134719999999996</v>
      </c>
      <c r="AS30">
        <v>17216420</v>
      </c>
      <c r="AT30">
        <v>17216420</v>
      </c>
      <c r="AU30" s="1">
        <v>2.6345799999999999E-8</v>
      </c>
      <c r="AV30" s="1"/>
      <c r="AW30" s="1"/>
      <c r="AX30" s="1" t="s">
        <v>861</v>
      </c>
      <c r="AY30" t="s">
        <v>833</v>
      </c>
      <c r="AZ30">
        <v>579.47119474399994</v>
      </c>
      <c r="BA30">
        <v>580.99423934699701</v>
      </c>
      <c r="BB30">
        <v>8.0363520000000008</v>
      </c>
      <c r="BE30">
        <v>17216420</v>
      </c>
      <c r="BF30">
        <v>8.4439600000000006</v>
      </c>
      <c r="BG30" s="1">
        <v>2.6345799999999999E-8</v>
      </c>
      <c r="BO30" t="s">
        <v>792</v>
      </c>
      <c r="BP30">
        <v>22.990279000000001</v>
      </c>
      <c r="BQ30">
        <v>931.08251075202099</v>
      </c>
      <c r="BR30">
        <v>8.0240639999999992</v>
      </c>
      <c r="CR30" t="s">
        <v>792</v>
      </c>
      <c r="CS30">
        <v>20.43339843</v>
      </c>
      <c r="CT30">
        <v>931.32670394901595</v>
      </c>
      <c r="CU30">
        <v>7.7864959999999996</v>
      </c>
      <c r="DA30" t="s">
        <v>792</v>
      </c>
      <c r="DB30">
        <v>38.762074446</v>
      </c>
      <c r="DC30">
        <v>931.88101177592705</v>
      </c>
      <c r="DD30">
        <v>7.8643200000000002</v>
      </c>
      <c r="DJ30" t="s">
        <v>792</v>
      </c>
      <c r="DK30">
        <v>34.486636490999999</v>
      </c>
      <c r="DL30">
        <v>931.06503783504002</v>
      </c>
      <c r="DM30">
        <v>7.8233600000000001</v>
      </c>
    </row>
    <row r="31" spans="1:117" x14ac:dyDescent="0.2">
      <c r="A31">
        <v>400</v>
      </c>
      <c r="B31">
        <v>2</v>
      </c>
      <c r="C31" t="str">
        <f t="shared" si="0"/>
        <v>400-02</v>
      </c>
      <c r="F31" t="s">
        <v>833</v>
      </c>
      <c r="G31">
        <v>16.520134165999998</v>
      </c>
      <c r="H31">
        <v>16.570460982998998</v>
      </c>
      <c r="I31">
        <v>7.6513280000000004</v>
      </c>
      <c r="K31">
        <v>476224</v>
      </c>
      <c r="N31" t="s">
        <v>833</v>
      </c>
      <c r="O31">
        <v>15.713020140999999</v>
      </c>
      <c r="P31">
        <v>15.8281885489996</v>
      </c>
      <c r="Q31">
        <v>7.3891840000000002</v>
      </c>
      <c r="S31">
        <v>476224</v>
      </c>
      <c r="V31" t="s">
        <v>833</v>
      </c>
      <c r="W31">
        <v>16.874716408000001</v>
      </c>
      <c r="X31">
        <v>16.9202926209982</v>
      </c>
      <c r="Y31">
        <v>7.3687040000000001</v>
      </c>
      <c r="AC31" t="s">
        <v>862</v>
      </c>
      <c r="AD31" t="s">
        <v>833</v>
      </c>
      <c r="AE31">
        <v>18.724334727999999</v>
      </c>
      <c r="AF31">
        <v>18.873545216018101</v>
      </c>
      <c r="AG31">
        <v>7.5366400000000002</v>
      </c>
      <c r="AI31">
        <v>476224</v>
      </c>
      <c r="AJ31" s="1">
        <v>3.1643999999999997E-5</v>
      </c>
      <c r="AK31" s="1">
        <v>1.9018200000000001E-19</v>
      </c>
      <c r="AL31" s="1"/>
      <c r="AM31" s="1" t="s">
        <v>862</v>
      </c>
      <c r="AN31" t="s">
        <v>833</v>
      </c>
      <c r="AO31">
        <v>18.937684114</v>
      </c>
      <c r="AP31">
        <v>19.0093134939961</v>
      </c>
      <c r="AQ31">
        <v>7.327744</v>
      </c>
      <c r="AS31">
        <v>476224</v>
      </c>
      <c r="AT31">
        <v>0.29369099999999998</v>
      </c>
      <c r="AU31" s="1">
        <v>2.7968200000000002E-19</v>
      </c>
      <c r="AV31" s="1"/>
      <c r="AW31" s="1"/>
      <c r="AX31" s="1" t="s">
        <v>862</v>
      </c>
      <c r="AY31" t="s">
        <v>833</v>
      </c>
      <c r="AZ31">
        <v>18.884020980999999</v>
      </c>
      <c r="BA31">
        <v>19.010618867003299</v>
      </c>
      <c r="BB31">
        <v>7.2622080000000002</v>
      </c>
      <c r="BE31">
        <v>476224</v>
      </c>
      <c r="BF31">
        <v>0.29002899999999998</v>
      </c>
      <c r="BG31" s="1">
        <v>2.7968200000000002E-19</v>
      </c>
      <c r="BO31" t="s">
        <v>792</v>
      </c>
      <c r="BP31">
        <v>0.78815311099999996</v>
      </c>
      <c r="BQ31">
        <v>931.30762820300799</v>
      </c>
      <c r="BR31">
        <v>8.1223679999999998</v>
      </c>
      <c r="CR31" t="s">
        <v>792</v>
      </c>
      <c r="CS31">
        <v>0.80576521000000001</v>
      </c>
      <c r="CT31">
        <v>931.14714219805296</v>
      </c>
      <c r="CU31">
        <v>8.0732160000000004</v>
      </c>
      <c r="DA31" t="s">
        <v>792</v>
      </c>
      <c r="DB31">
        <v>1.471820578</v>
      </c>
      <c r="DC31">
        <v>931.03888197906701</v>
      </c>
      <c r="DD31">
        <v>7.2581119999999997</v>
      </c>
      <c r="DJ31" t="s">
        <v>792</v>
      </c>
      <c r="DK31">
        <v>1.4669946629999999</v>
      </c>
      <c r="DL31">
        <v>931.13029364205397</v>
      </c>
      <c r="DM31">
        <v>7.254016</v>
      </c>
    </row>
    <row r="32" spans="1:117" x14ac:dyDescent="0.2">
      <c r="A32">
        <v>400</v>
      </c>
      <c r="B32">
        <v>3</v>
      </c>
      <c r="C32" t="str">
        <f t="shared" si="0"/>
        <v>400-03</v>
      </c>
      <c r="F32" t="s">
        <v>792</v>
      </c>
      <c r="G32">
        <v>901.00091309300001</v>
      </c>
      <c r="H32">
        <v>903.15424933200097</v>
      </c>
      <c r="I32">
        <v>12.111872</v>
      </c>
      <c r="K32">
        <v>635868711</v>
      </c>
      <c r="N32" t="s">
        <v>792</v>
      </c>
      <c r="O32">
        <v>901.00249526000005</v>
      </c>
      <c r="P32">
        <v>902.95224856198104</v>
      </c>
      <c r="Q32">
        <v>8.0814079999999997</v>
      </c>
      <c r="S32">
        <v>635868711</v>
      </c>
      <c r="V32" t="s">
        <v>792</v>
      </c>
      <c r="W32">
        <v>901.00165367399995</v>
      </c>
      <c r="X32">
        <v>902.883744349994</v>
      </c>
      <c r="Y32">
        <v>8.2903040000000008</v>
      </c>
      <c r="AC32" t="s">
        <v>863</v>
      </c>
      <c r="AD32" t="s">
        <v>792</v>
      </c>
      <c r="AE32">
        <v>901.00444697399996</v>
      </c>
      <c r="AF32">
        <v>902.24061883101194</v>
      </c>
      <c r="AG32">
        <v>11.976704</v>
      </c>
      <c r="AI32">
        <v>635868711</v>
      </c>
      <c r="AJ32" s="1">
        <v>1.7422100000000001E-4</v>
      </c>
      <c r="AK32" s="1">
        <v>2.54493E-20</v>
      </c>
      <c r="AL32" s="1"/>
      <c r="AM32" s="1" t="s">
        <v>863</v>
      </c>
      <c r="AN32" t="s">
        <v>792</v>
      </c>
      <c r="AO32">
        <v>900.50645831400004</v>
      </c>
      <c r="AP32">
        <v>901.03941572201404</v>
      </c>
      <c r="AQ32">
        <v>8.0609280000000005</v>
      </c>
      <c r="AS32">
        <v>635868711</v>
      </c>
      <c r="AT32">
        <v>230.97200000000001</v>
      </c>
      <c r="AU32" s="1">
        <v>3.6348599999999999E-20</v>
      </c>
      <c r="AV32" s="1"/>
      <c r="AW32" s="1"/>
      <c r="AX32" s="1" t="s">
        <v>863</v>
      </c>
      <c r="AY32" t="s">
        <v>792</v>
      </c>
      <c r="AZ32">
        <v>900.26928459700002</v>
      </c>
      <c r="BA32">
        <v>901.03472208601295</v>
      </c>
      <c r="BB32">
        <v>8.2534399999999994</v>
      </c>
      <c r="BE32">
        <v>635868711</v>
      </c>
      <c r="BF32">
        <v>232.477</v>
      </c>
      <c r="BG32" s="1">
        <v>3.6348599999999999E-20</v>
      </c>
      <c r="BO32" t="s">
        <v>792</v>
      </c>
      <c r="BP32">
        <v>253.36522265299999</v>
      </c>
      <c r="BQ32">
        <v>931.392095135001</v>
      </c>
      <c r="BR32">
        <v>8.6999040000000001</v>
      </c>
      <c r="CR32" t="s">
        <v>792</v>
      </c>
      <c r="CS32">
        <v>254.22527742700001</v>
      </c>
      <c r="CT32">
        <v>931.10644280607801</v>
      </c>
      <c r="CU32">
        <v>8.0445440000000001</v>
      </c>
      <c r="DA32" t="s">
        <v>792</v>
      </c>
      <c r="DB32">
        <v>835.36383727400005</v>
      </c>
      <c r="DC32">
        <v>931.06007771496604</v>
      </c>
      <c r="DD32">
        <v>8.0404479999999996</v>
      </c>
      <c r="DJ32" t="s">
        <v>792</v>
      </c>
      <c r="DK32">
        <v>839.65175764399999</v>
      </c>
      <c r="DL32">
        <v>931.02169686602394</v>
      </c>
      <c r="DM32">
        <v>8.0076800000000006</v>
      </c>
    </row>
    <row r="33" spans="1:117" x14ac:dyDescent="0.2">
      <c r="A33">
        <v>400</v>
      </c>
      <c r="B33">
        <v>4</v>
      </c>
      <c r="C33" t="str">
        <f t="shared" si="0"/>
        <v>400-04</v>
      </c>
      <c r="F33" t="s">
        <v>833</v>
      </c>
      <c r="G33">
        <v>6.405219808</v>
      </c>
      <c r="H33">
        <v>6.4580353810015296</v>
      </c>
      <c r="I33">
        <v>26.783743999999999</v>
      </c>
      <c r="K33">
        <v>194658</v>
      </c>
      <c r="N33" t="s">
        <v>833</v>
      </c>
      <c r="O33">
        <v>5.9126986380000002</v>
      </c>
      <c r="P33">
        <v>5.9597917880164397</v>
      </c>
      <c r="Q33">
        <v>7.7987840000000004</v>
      </c>
      <c r="S33">
        <v>194658</v>
      </c>
      <c r="V33" t="s">
        <v>833</v>
      </c>
      <c r="W33">
        <v>6.1180673040000002</v>
      </c>
      <c r="X33">
        <v>6.1433204930071899</v>
      </c>
      <c r="Y33">
        <v>7.9871999999999996</v>
      </c>
      <c r="AC33" t="s">
        <v>864</v>
      </c>
      <c r="AD33" t="s">
        <v>833</v>
      </c>
      <c r="AE33">
        <v>7.1043324700000001</v>
      </c>
      <c r="AF33">
        <v>7.1462583009852096</v>
      </c>
      <c r="AG33">
        <v>26.923007999999999</v>
      </c>
      <c r="AI33">
        <v>194658</v>
      </c>
      <c r="AJ33" s="1">
        <v>6.48721E-4</v>
      </c>
      <c r="AK33" s="1">
        <v>2.9870200000000002E-11</v>
      </c>
      <c r="AL33" s="1"/>
      <c r="AM33" s="1" t="s">
        <v>864</v>
      </c>
      <c r="AN33" t="s">
        <v>833</v>
      </c>
      <c r="AO33">
        <v>7.654047813</v>
      </c>
      <c r="AP33">
        <v>7.69953663001069</v>
      </c>
      <c r="AQ33">
        <v>7.7824</v>
      </c>
      <c r="AS33">
        <v>194658</v>
      </c>
      <c r="AT33">
        <v>7.58413E-2</v>
      </c>
      <c r="AU33" s="1">
        <v>6.9630500000000001E-11</v>
      </c>
      <c r="AV33" s="1"/>
      <c r="AW33" s="1"/>
      <c r="AX33" s="1" t="s">
        <v>864</v>
      </c>
      <c r="AY33" t="s">
        <v>833</v>
      </c>
      <c r="AZ33">
        <v>7.0912967929999997</v>
      </c>
      <c r="BA33">
        <v>7.13592186800087</v>
      </c>
      <c r="BB33">
        <v>8.0404479999999996</v>
      </c>
      <c r="BE33">
        <v>194658</v>
      </c>
      <c r="BF33">
        <v>7.5494900000000004E-2</v>
      </c>
      <c r="BG33" s="1">
        <v>6.9630500000000001E-11</v>
      </c>
      <c r="BO33" t="s">
        <v>792</v>
      </c>
      <c r="BP33">
        <v>0.537558007</v>
      </c>
      <c r="BQ33">
        <v>931.075107398966</v>
      </c>
      <c r="BR33">
        <v>7.7864959999999996</v>
      </c>
      <c r="CR33" t="s">
        <v>792</v>
      </c>
      <c r="CS33">
        <v>0.56973003899999997</v>
      </c>
      <c r="CT33">
        <v>931.11843553394999</v>
      </c>
      <c r="CU33">
        <v>7.6513280000000004</v>
      </c>
      <c r="DA33" t="s">
        <v>792</v>
      </c>
      <c r="DB33">
        <v>0.75070729800000002</v>
      </c>
      <c r="DC33">
        <v>931.87743866199105</v>
      </c>
      <c r="DD33">
        <v>7.8684159999999999</v>
      </c>
      <c r="DJ33" t="s">
        <v>792</v>
      </c>
      <c r="DK33">
        <v>0.78414253199999995</v>
      </c>
      <c r="DL33">
        <v>931.28990023501603</v>
      </c>
      <c r="DM33">
        <v>7.7905920000000002</v>
      </c>
    </row>
    <row r="34" spans="1:117" x14ac:dyDescent="0.2">
      <c r="A34">
        <v>400</v>
      </c>
      <c r="B34">
        <v>5</v>
      </c>
      <c r="C34" t="str">
        <f t="shared" si="0"/>
        <v>400-05</v>
      </c>
      <c r="F34" t="s">
        <v>792</v>
      </c>
      <c r="G34">
        <v>900.48607569299998</v>
      </c>
      <c r="H34">
        <v>901.04191863999495</v>
      </c>
      <c r="I34">
        <v>7.655424</v>
      </c>
      <c r="N34" t="s">
        <v>792</v>
      </c>
      <c r="O34">
        <v>900.69668399</v>
      </c>
      <c r="P34">
        <v>901.04427551099798</v>
      </c>
      <c r="Q34">
        <v>7.4301440000000003</v>
      </c>
      <c r="V34" t="s">
        <v>792</v>
      </c>
      <c r="W34">
        <v>900.58034774700002</v>
      </c>
      <c r="X34">
        <v>901.03852827800404</v>
      </c>
      <c r="Y34">
        <v>7.3850879999999997</v>
      </c>
      <c r="AC34" t="s">
        <v>865</v>
      </c>
      <c r="AD34" t="s">
        <v>792</v>
      </c>
      <c r="AE34">
        <v>900.38726370300003</v>
      </c>
      <c r="AF34">
        <v>901.04539515098395</v>
      </c>
      <c r="AG34">
        <v>7.7045760000000003</v>
      </c>
      <c r="AM34" t="s">
        <v>865</v>
      </c>
      <c r="AN34" t="s">
        <v>792</v>
      </c>
      <c r="AO34">
        <v>900.741932185</v>
      </c>
      <c r="AP34">
        <v>901.04125738100197</v>
      </c>
      <c r="AQ34">
        <v>7.3400319999999999</v>
      </c>
      <c r="AX34" t="s">
        <v>865</v>
      </c>
      <c r="AY34" t="s">
        <v>792</v>
      </c>
      <c r="AZ34">
        <v>900.37790500000006</v>
      </c>
      <c r="BA34">
        <v>901.03484532600805</v>
      </c>
      <c r="BB34">
        <v>7.3891840000000002</v>
      </c>
      <c r="BO34" t="s">
        <v>792</v>
      </c>
      <c r="BP34">
        <v>900.78167145800001</v>
      </c>
      <c r="BQ34">
        <v>901.00964799302096</v>
      </c>
      <c r="BR34">
        <v>7.4137599999999999</v>
      </c>
      <c r="CR34" t="s">
        <v>792</v>
      </c>
      <c r="CS34">
        <v>900.75759563999998</v>
      </c>
      <c r="CT34">
        <v>901.00894407997805</v>
      </c>
      <c r="CU34">
        <v>7.3687040000000001</v>
      </c>
      <c r="DA34" t="s">
        <v>792</v>
      </c>
      <c r="DB34">
        <v>900.77336575100003</v>
      </c>
      <c r="DC34">
        <v>901.01063570205497</v>
      </c>
      <c r="DD34">
        <v>7.3850879999999997</v>
      </c>
      <c r="DJ34" t="s">
        <v>792</v>
      </c>
      <c r="DK34">
        <v>900.74732148999999</v>
      </c>
      <c r="DL34">
        <v>901.00788606994297</v>
      </c>
      <c r="DM34">
        <v>7.3359360000000002</v>
      </c>
    </row>
    <row r="35" spans="1:117" x14ac:dyDescent="0.2">
      <c r="A35">
        <v>400</v>
      </c>
      <c r="B35">
        <v>6</v>
      </c>
      <c r="C35" t="str">
        <f t="shared" si="0"/>
        <v>400-06</v>
      </c>
      <c r="F35" t="s">
        <v>792</v>
      </c>
      <c r="G35">
        <v>901.02398801899994</v>
      </c>
      <c r="H35">
        <v>903.417568335993</v>
      </c>
      <c r="I35">
        <v>159.428608</v>
      </c>
      <c r="K35">
        <v>78630549</v>
      </c>
      <c r="N35" t="s">
        <v>792</v>
      </c>
      <c r="O35">
        <v>901.017817057</v>
      </c>
      <c r="P35">
        <v>903.13860132498598</v>
      </c>
      <c r="Q35">
        <v>8.1797120000000003</v>
      </c>
      <c r="S35">
        <v>78630549</v>
      </c>
      <c r="V35" t="s">
        <v>792</v>
      </c>
      <c r="W35">
        <v>901.00816168100005</v>
      </c>
      <c r="X35">
        <v>903.14031603399701</v>
      </c>
      <c r="Y35">
        <v>8.1469439999999995</v>
      </c>
      <c r="AC35" t="s">
        <v>866</v>
      </c>
      <c r="AD35" t="s">
        <v>792</v>
      </c>
      <c r="AE35">
        <v>901.01694426100005</v>
      </c>
      <c r="AF35">
        <v>902.83892541099306</v>
      </c>
      <c r="AG35">
        <v>159.428608</v>
      </c>
      <c r="AI35">
        <v>78630549</v>
      </c>
      <c r="AJ35" s="1">
        <v>2.8542099999999998E-3</v>
      </c>
      <c r="AK35" s="1">
        <v>1.19006E-11</v>
      </c>
      <c r="AL35" s="1"/>
      <c r="AM35" s="1" t="s">
        <v>866</v>
      </c>
      <c r="AN35" t="s">
        <v>792</v>
      </c>
      <c r="AO35">
        <v>901.00057588699997</v>
      </c>
      <c r="AP35">
        <v>902.953576727013</v>
      </c>
      <c r="AQ35">
        <v>8.2001919999999995</v>
      </c>
      <c r="AS35">
        <v>78630549</v>
      </c>
      <c r="AT35">
        <v>42.524299999999997</v>
      </c>
      <c r="AU35" s="1">
        <v>1.3534500000000001E-11</v>
      </c>
      <c r="AV35" s="1"/>
      <c r="AW35" s="1"/>
      <c r="AX35" s="1" t="s">
        <v>866</v>
      </c>
      <c r="AY35" t="s">
        <v>792</v>
      </c>
      <c r="AZ35">
        <v>901.00074585499999</v>
      </c>
      <c r="BA35">
        <v>902.57994807098203</v>
      </c>
      <c r="BB35">
        <v>8.3066879999999994</v>
      </c>
      <c r="BE35">
        <v>78630549</v>
      </c>
      <c r="BF35">
        <v>42.177700000000002</v>
      </c>
      <c r="BG35" s="1">
        <v>1.3534500000000001E-11</v>
      </c>
      <c r="BO35" t="s">
        <v>792</v>
      </c>
      <c r="BP35">
        <v>44.992247933999998</v>
      </c>
      <c r="BQ35">
        <v>931.15684798400605</v>
      </c>
      <c r="BR35">
        <v>8.0404479999999996</v>
      </c>
      <c r="CR35" t="s">
        <v>792</v>
      </c>
      <c r="CS35">
        <v>45.599047474999999</v>
      </c>
      <c r="CT35">
        <v>931.06982935592498</v>
      </c>
      <c r="CU35">
        <v>8.0404479999999996</v>
      </c>
      <c r="DA35" t="s">
        <v>792</v>
      </c>
      <c r="DB35">
        <v>145.57633514099999</v>
      </c>
      <c r="DC35">
        <v>931.09660850791204</v>
      </c>
      <c r="DD35">
        <v>8.1674240000000005</v>
      </c>
      <c r="DJ35" t="s">
        <v>792</v>
      </c>
      <c r="DK35">
        <v>145.11674930999999</v>
      </c>
      <c r="DL35">
        <v>931.15735172503605</v>
      </c>
      <c r="DM35">
        <v>8.1428480000000008</v>
      </c>
    </row>
    <row r="36" spans="1:117" x14ac:dyDescent="0.2">
      <c r="A36">
        <v>400</v>
      </c>
      <c r="B36">
        <v>7</v>
      </c>
      <c r="C36" t="str">
        <f t="shared" si="0"/>
        <v>400-07</v>
      </c>
      <c r="F36" t="s">
        <v>792</v>
      </c>
      <c r="G36">
        <v>900.64550833500005</v>
      </c>
      <c r="H36">
        <v>901.08735959300202</v>
      </c>
      <c r="I36">
        <v>312.61900800000001</v>
      </c>
      <c r="N36" t="s">
        <v>792</v>
      </c>
      <c r="O36">
        <v>900.55736140299996</v>
      </c>
      <c r="P36">
        <v>901.07426509499703</v>
      </c>
      <c r="Q36">
        <v>8.2657279999999993</v>
      </c>
      <c r="V36" t="s">
        <v>792</v>
      </c>
      <c r="W36">
        <v>900.26613051499999</v>
      </c>
      <c r="X36">
        <v>901.02309084999399</v>
      </c>
      <c r="Y36">
        <v>8.7162880000000005</v>
      </c>
      <c r="AC36" t="s">
        <v>867</v>
      </c>
      <c r="AD36" t="s">
        <v>792</v>
      </c>
      <c r="AE36">
        <v>900.44910126100001</v>
      </c>
      <c r="AF36">
        <v>901.07064139799297</v>
      </c>
      <c r="AG36">
        <v>312.52480000000003</v>
      </c>
      <c r="AM36" t="s">
        <v>867</v>
      </c>
      <c r="AN36" t="s">
        <v>792</v>
      </c>
      <c r="AO36">
        <v>900.69165591499996</v>
      </c>
      <c r="AP36">
        <v>901.05715808001696</v>
      </c>
      <c r="AQ36">
        <v>8.4008959999999995</v>
      </c>
      <c r="AX36" t="s">
        <v>867</v>
      </c>
      <c r="AY36" t="s">
        <v>792</v>
      </c>
      <c r="AZ36">
        <v>900.51190014899998</v>
      </c>
      <c r="BA36">
        <v>901.05500813500805</v>
      </c>
      <c r="BB36">
        <v>8.7080959999999994</v>
      </c>
      <c r="BO36" t="s">
        <v>792</v>
      </c>
      <c r="BP36">
        <v>900.72752708200005</v>
      </c>
      <c r="BQ36">
        <v>901.00707556499401</v>
      </c>
      <c r="BR36">
        <v>8.3968000000000007</v>
      </c>
      <c r="CR36" t="s">
        <v>792</v>
      </c>
      <c r="CS36">
        <v>900.73357554200004</v>
      </c>
      <c r="CT36">
        <v>901.00582603493206</v>
      </c>
      <c r="CU36">
        <v>8.4418559999999996</v>
      </c>
      <c r="DA36" t="s">
        <v>792</v>
      </c>
      <c r="DB36">
        <v>900.65989058699995</v>
      </c>
      <c r="DC36">
        <v>901.00744310405503</v>
      </c>
      <c r="DD36">
        <v>8.1223679999999998</v>
      </c>
      <c r="DJ36" t="s">
        <v>792</v>
      </c>
      <c r="DK36">
        <v>900.77228558100001</v>
      </c>
      <c r="DL36">
        <v>901.01053738396104</v>
      </c>
      <c r="DM36">
        <v>8.1715199999999992</v>
      </c>
    </row>
    <row r="37" spans="1:117" x14ac:dyDescent="0.2">
      <c r="A37">
        <v>400</v>
      </c>
      <c r="B37">
        <v>8</v>
      </c>
      <c r="C37" t="str">
        <f t="shared" si="0"/>
        <v>400-08</v>
      </c>
      <c r="F37" t="s">
        <v>833</v>
      </c>
      <c r="G37">
        <v>95.021565520999999</v>
      </c>
      <c r="H37">
        <v>95.396713135996805</v>
      </c>
      <c r="I37">
        <v>7.6226560000000001</v>
      </c>
      <c r="K37">
        <v>2568192</v>
      </c>
      <c r="N37" t="s">
        <v>833</v>
      </c>
      <c r="O37">
        <v>92.518179184000005</v>
      </c>
      <c r="P37">
        <v>92.832524160999995</v>
      </c>
      <c r="Q37">
        <v>7.5161600000000002</v>
      </c>
      <c r="S37">
        <v>2568192</v>
      </c>
      <c r="V37" t="s">
        <v>833</v>
      </c>
      <c r="W37">
        <v>99.754856746000002</v>
      </c>
      <c r="X37">
        <v>100.22512954600001</v>
      </c>
      <c r="Y37">
        <v>7.5735039999999998</v>
      </c>
      <c r="AC37" t="s">
        <v>868</v>
      </c>
      <c r="AD37" t="s">
        <v>833</v>
      </c>
      <c r="AE37">
        <v>101.949352749</v>
      </c>
      <c r="AF37">
        <v>102.237358448997</v>
      </c>
      <c r="AG37">
        <v>7.5202559999999998</v>
      </c>
      <c r="AI37">
        <v>2568192</v>
      </c>
      <c r="AJ37" s="1">
        <v>1.6832000000000001E-5</v>
      </c>
      <c r="AK37" s="1">
        <v>2.2481399999999999E-42</v>
      </c>
      <c r="AL37" s="1"/>
      <c r="AM37" s="1" t="s">
        <v>868</v>
      </c>
      <c r="AN37" t="s">
        <v>833</v>
      </c>
      <c r="AO37">
        <v>104.875892791</v>
      </c>
      <c r="AP37">
        <v>105.10933239001299</v>
      </c>
      <c r="AQ37">
        <v>7.5161600000000002</v>
      </c>
      <c r="AS37">
        <v>2568192</v>
      </c>
      <c r="AT37">
        <v>2.5417399999999998E-3</v>
      </c>
      <c r="AU37" s="1">
        <v>3.74541E-42</v>
      </c>
      <c r="AV37" s="1"/>
      <c r="AW37" s="1"/>
      <c r="AX37" s="1" t="s">
        <v>868</v>
      </c>
      <c r="AY37" t="s">
        <v>833</v>
      </c>
      <c r="AZ37">
        <v>103.669575352</v>
      </c>
      <c r="BA37">
        <v>104.070376188989</v>
      </c>
      <c r="BB37">
        <v>7.4670079999999999</v>
      </c>
      <c r="BE37">
        <v>2568192</v>
      </c>
      <c r="BF37">
        <v>0.94121600000000005</v>
      </c>
      <c r="BG37" s="1">
        <v>3.74541E-42</v>
      </c>
      <c r="BO37" t="s">
        <v>792</v>
      </c>
      <c r="BP37">
        <v>1.5832919590000001</v>
      </c>
      <c r="BQ37">
        <v>931.18569492397296</v>
      </c>
      <c r="BR37">
        <v>7.5161600000000002</v>
      </c>
      <c r="CR37" t="s">
        <v>792</v>
      </c>
      <c r="CS37">
        <v>1.6003316519999999</v>
      </c>
      <c r="CT37">
        <v>931.11606797389595</v>
      </c>
      <c r="CU37">
        <v>7.5202559999999998</v>
      </c>
      <c r="DA37" t="s">
        <v>792</v>
      </c>
      <c r="DB37">
        <v>5.9033005300000001</v>
      </c>
      <c r="DC37">
        <v>931.17270238604397</v>
      </c>
      <c r="DD37">
        <v>7.5038720000000003</v>
      </c>
      <c r="DJ37" t="s">
        <v>792</v>
      </c>
      <c r="DK37">
        <v>9.4288702949999994</v>
      </c>
      <c r="DL37">
        <v>931.06352967210103</v>
      </c>
      <c r="DM37">
        <v>7.4260479999999998</v>
      </c>
    </row>
    <row r="38" spans="1:117" x14ac:dyDescent="0.2">
      <c r="A38">
        <v>400</v>
      </c>
      <c r="B38">
        <v>9</v>
      </c>
      <c r="C38" t="str">
        <f t="shared" si="0"/>
        <v>400-09</v>
      </c>
      <c r="F38" t="s">
        <v>792</v>
      </c>
      <c r="G38">
        <v>901.05666571999996</v>
      </c>
      <c r="H38">
        <v>902.20211335099805</v>
      </c>
      <c r="I38">
        <v>123.46163199999999</v>
      </c>
      <c r="K38">
        <v>625755882</v>
      </c>
      <c r="N38" t="s">
        <v>792</v>
      </c>
      <c r="O38">
        <v>900.212564466</v>
      </c>
      <c r="P38">
        <v>901.03566484802195</v>
      </c>
      <c r="Q38">
        <v>7.9953919999999998</v>
      </c>
      <c r="S38">
        <v>625755882</v>
      </c>
      <c r="V38" t="s">
        <v>792</v>
      </c>
      <c r="W38">
        <v>901.02016592200005</v>
      </c>
      <c r="X38">
        <v>902.11583819999896</v>
      </c>
      <c r="Y38">
        <v>8.0773119999999992</v>
      </c>
      <c r="AC38" t="s">
        <v>869</v>
      </c>
      <c r="AD38" t="s">
        <v>792</v>
      </c>
      <c r="AE38">
        <v>900.36842554600003</v>
      </c>
      <c r="AF38">
        <v>901.09234263500502</v>
      </c>
      <c r="AG38">
        <v>123.379712</v>
      </c>
      <c r="AI38">
        <v>625755882</v>
      </c>
      <c r="AJ38">
        <v>1.68906E-3</v>
      </c>
      <c r="AK38" s="1">
        <v>3.1643899999999999E-6</v>
      </c>
      <c r="AL38" s="1"/>
      <c r="AM38" s="1" t="s">
        <v>869</v>
      </c>
      <c r="AN38" t="s">
        <v>792</v>
      </c>
      <c r="AO38">
        <v>900.42206032399997</v>
      </c>
      <c r="AP38">
        <v>901.041995142004</v>
      </c>
      <c r="AQ38">
        <v>7.9134719999999996</v>
      </c>
      <c r="AX38" s="1" t="s">
        <v>869</v>
      </c>
      <c r="AY38" t="s">
        <v>792</v>
      </c>
      <c r="AZ38">
        <v>900.61249708499997</v>
      </c>
      <c r="BA38">
        <v>901.096251446986</v>
      </c>
      <c r="BB38">
        <v>7.9175680000000002</v>
      </c>
      <c r="BO38" t="s">
        <v>792</v>
      </c>
      <c r="BP38">
        <v>561.59954293500004</v>
      </c>
      <c r="BQ38">
        <v>931.18756914499602</v>
      </c>
      <c r="BR38">
        <v>7.9134719999999996</v>
      </c>
      <c r="CR38" t="s">
        <v>792</v>
      </c>
      <c r="CS38">
        <v>553.28726936400005</v>
      </c>
      <c r="CT38">
        <v>931.16999340988696</v>
      </c>
      <c r="CU38">
        <v>7.8888959999999999</v>
      </c>
      <c r="DA38" t="s">
        <v>792</v>
      </c>
      <c r="DB38">
        <v>900.72695228099997</v>
      </c>
      <c r="DC38">
        <v>901.00899287406298</v>
      </c>
      <c r="DD38">
        <v>7.9912960000000002</v>
      </c>
      <c r="DJ38" t="s">
        <v>792</v>
      </c>
      <c r="DK38">
        <v>900.71794472399995</v>
      </c>
      <c r="DL38">
        <v>901.00741094700004</v>
      </c>
      <c r="DM38">
        <v>7.909376</v>
      </c>
    </row>
    <row r="39" spans="1:117" x14ac:dyDescent="0.2">
      <c r="A39">
        <v>500</v>
      </c>
      <c r="B39">
        <v>1</v>
      </c>
      <c r="C39" t="str">
        <f t="shared" si="0"/>
        <v>500-01</v>
      </c>
      <c r="F39" t="s">
        <v>792</v>
      </c>
      <c r="G39">
        <v>900.72645073199999</v>
      </c>
      <c r="H39">
        <v>901.08162444000402</v>
      </c>
      <c r="I39">
        <v>114.87232</v>
      </c>
      <c r="N39" t="s">
        <v>792</v>
      </c>
      <c r="O39">
        <v>900.63478854799996</v>
      </c>
      <c r="P39">
        <v>901.03449782499194</v>
      </c>
      <c r="Q39">
        <v>33.079295999999999</v>
      </c>
      <c r="V39" t="s">
        <v>792</v>
      </c>
      <c r="W39">
        <v>900.42099115400003</v>
      </c>
      <c r="X39">
        <v>901.07773853398896</v>
      </c>
      <c r="Y39">
        <v>117.22752</v>
      </c>
      <c r="AC39" t="s">
        <v>870</v>
      </c>
      <c r="AD39" t="s">
        <v>792</v>
      </c>
      <c r="AE39">
        <v>900.70740531299998</v>
      </c>
      <c r="AF39">
        <v>901.09018584599801</v>
      </c>
      <c r="AG39">
        <v>114.73715199999999</v>
      </c>
      <c r="AM39" t="s">
        <v>870</v>
      </c>
      <c r="AN39" t="s">
        <v>792</v>
      </c>
      <c r="AO39">
        <v>900.62601442699997</v>
      </c>
      <c r="AP39">
        <v>901.04144415297196</v>
      </c>
      <c r="AQ39">
        <v>34.082816000000001</v>
      </c>
      <c r="AX39" t="s">
        <v>870</v>
      </c>
      <c r="AY39" t="s">
        <v>792</v>
      </c>
      <c r="AZ39">
        <v>900.71484535299999</v>
      </c>
      <c r="BA39">
        <v>901.04927974799602</v>
      </c>
      <c r="BB39">
        <v>118.14502400000001</v>
      </c>
      <c r="BO39" t="s">
        <v>792</v>
      </c>
      <c r="BP39">
        <v>900.53114779199996</v>
      </c>
      <c r="BQ39">
        <v>901.01412039797196</v>
      </c>
      <c r="BR39">
        <v>34.140160000000002</v>
      </c>
      <c r="CR39" t="s">
        <v>792</v>
      </c>
      <c r="CS39">
        <v>900.72817751900004</v>
      </c>
      <c r="CT39">
        <v>901.00972565403197</v>
      </c>
      <c r="CU39">
        <v>34.131968000000001</v>
      </c>
      <c r="DA39" t="s">
        <v>792</v>
      </c>
      <c r="DB39">
        <v>900.69899699600001</v>
      </c>
      <c r="DC39">
        <v>901.01033940806497</v>
      </c>
      <c r="DD39">
        <v>34.074624</v>
      </c>
      <c r="DJ39" t="s">
        <v>792</v>
      </c>
      <c r="DK39">
        <v>900.65106165500003</v>
      </c>
      <c r="DL39">
        <v>901.01123901095696</v>
      </c>
      <c r="DM39">
        <v>34.156543999999997</v>
      </c>
    </row>
    <row r="40" spans="1:117" x14ac:dyDescent="0.2">
      <c r="A40">
        <v>500</v>
      </c>
      <c r="B40">
        <v>2</v>
      </c>
      <c r="C40" t="str">
        <f t="shared" si="0"/>
        <v>500-02</v>
      </c>
      <c r="F40" t="s">
        <v>793</v>
      </c>
      <c r="G40">
        <v>302.59833037700002</v>
      </c>
      <c r="H40">
        <v>302.84826091700199</v>
      </c>
      <c r="I40">
        <v>16000</v>
      </c>
      <c r="N40" t="s">
        <v>792</v>
      </c>
      <c r="O40">
        <v>900.62709032800001</v>
      </c>
      <c r="P40">
        <v>901.03721765300702</v>
      </c>
      <c r="Q40">
        <v>66.772992000000002</v>
      </c>
      <c r="V40" t="s">
        <v>792</v>
      </c>
      <c r="W40">
        <v>900.80065845499996</v>
      </c>
      <c r="X40">
        <v>901.09573805800699</v>
      </c>
      <c r="Y40">
        <v>129.47456</v>
      </c>
      <c r="AC40" t="s">
        <v>871</v>
      </c>
      <c r="AD40" t="s">
        <v>793</v>
      </c>
      <c r="AE40">
        <v>284.23696863700002</v>
      </c>
      <c r="AF40">
        <v>284.65762451098999</v>
      </c>
      <c r="AG40">
        <v>16000</v>
      </c>
      <c r="AM40" t="s">
        <v>871</v>
      </c>
      <c r="AN40" t="s">
        <v>792</v>
      </c>
      <c r="AO40">
        <v>900.58179121700005</v>
      </c>
      <c r="AP40">
        <v>901.04896750801697</v>
      </c>
      <c r="AQ40">
        <v>66.756608</v>
      </c>
      <c r="AX40" t="s">
        <v>871</v>
      </c>
      <c r="AY40" t="s">
        <v>792</v>
      </c>
      <c r="AZ40">
        <v>900.75066494500004</v>
      </c>
      <c r="BA40">
        <v>901.052710207004</v>
      </c>
      <c r="BB40">
        <v>129.417216</v>
      </c>
      <c r="BO40" t="s">
        <v>792</v>
      </c>
      <c r="BP40">
        <v>900.53703121900003</v>
      </c>
      <c r="BQ40">
        <v>901.013914751936</v>
      </c>
      <c r="BR40">
        <v>66.78528</v>
      </c>
      <c r="CR40" t="s">
        <v>792</v>
      </c>
      <c r="CS40">
        <v>900.73926674799998</v>
      </c>
      <c r="CT40">
        <v>901.01234819903004</v>
      </c>
      <c r="CU40">
        <v>66.764799999999994</v>
      </c>
      <c r="DA40" t="s">
        <v>792</v>
      </c>
      <c r="DB40">
        <v>900.71081281099998</v>
      </c>
      <c r="DC40">
        <v>901.01655732002098</v>
      </c>
      <c r="DD40">
        <v>66.732032000000004</v>
      </c>
      <c r="DJ40" t="s">
        <v>792</v>
      </c>
      <c r="DK40">
        <v>900.72052000899998</v>
      </c>
      <c r="DL40">
        <v>901.01212429790701</v>
      </c>
      <c r="DM40">
        <v>66.768895999999998</v>
      </c>
    </row>
    <row r="41" spans="1:117" x14ac:dyDescent="0.2">
      <c r="A41">
        <v>500</v>
      </c>
      <c r="B41">
        <v>3</v>
      </c>
      <c r="C41" t="str">
        <f t="shared" si="0"/>
        <v>500-03</v>
      </c>
      <c r="F41" t="s">
        <v>793</v>
      </c>
      <c r="G41">
        <v>491.113214648</v>
      </c>
      <c r="H41">
        <v>491.51750482700299</v>
      </c>
      <c r="I41">
        <v>16000</v>
      </c>
      <c r="N41" t="s">
        <v>792</v>
      </c>
      <c r="O41">
        <v>900.78452886000002</v>
      </c>
      <c r="P41">
        <v>901.27846831199702</v>
      </c>
      <c r="Q41">
        <v>3886.2028799999998</v>
      </c>
      <c r="V41" t="s">
        <v>793</v>
      </c>
      <c r="W41">
        <v>309.63393571799998</v>
      </c>
      <c r="X41">
        <v>309.93997580000701</v>
      </c>
      <c r="Y41">
        <v>16000</v>
      </c>
      <c r="AC41" t="s">
        <v>872</v>
      </c>
      <c r="AD41" t="s">
        <v>793</v>
      </c>
      <c r="AE41">
        <v>512.98595976499996</v>
      </c>
      <c r="AF41">
        <v>513.38334587399697</v>
      </c>
      <c r="AG41">
        <v>16000</v>
      </c>
      <c r="AM41" t="s">
        <v>872</v>
      </c>
      <c r="AN41" t="s">
        <v>792</v>
      </c>
      <c r="AO41">
        <v>900.87519253300002</v>
      </c>
      <c r="AP41">
        <v>901.33100638599694</v>
      </c>
      <c r="AQ41">
        <v>3886.1824000000001</v>
      </c>
      <c r="AX41" t="s">
        <v>872</v>
      </c>
      <c r="AY41" t="s">
        <v>793</v>
      </c>
      <c r="AZ41">
        <v>300.68815876000002</v>
      </c>
      <c r="BA41">
        <v>300.93897092700303</v>
      </c>
      <c r="BB41">
        <v>16000</v>
      </c>
      <c r="BO41" t="s">
        <v>792</v>
      </c>
      <c r="BP41">
        <v>900.74740303500005</v>
      </c>
      <c r="BQ41">
        <v>901.25000443193096</v>
      </c>
      <c r="BR41">
        <v>3886.22336</v>
      </c>
      <c r="CR41" t="s">
        <v>792</v>
      </c>
      <c r="CS41">
        <v>900.91174678300001</v>
      </c>
      <c r="CT41">
        <v>901.29421390499897</v>
      </c>
      <c r="CU41">
        <v>3886.2028799999998</v>
      </c>
      <c r="DA41" t="s">
        <v>792</v>
      </c>
      <c r="DB41">
        <v>900.84700806399997</v>
      </c>
      <c r="DC41">
        <v>901.28191941289697</v>
      </c>
      <c r="DD41">
        <v>3886.16192</v>
      </c>
      <c r="DJ41" t="s">
        <v>792</v>
      </c>
      <c r="DK41">
        <v>900.79210136899997</v>
      </c>
      <c r="DL41">
        <v>901.28295149793803</v>
      </c>
      <c r="DM41">
        <v>3886.2274560000001</v>
      </c>
    </row>
    <row r="42" spans="1:117" x14ac:dyDescent="0.2">
      <c r="A42">
        <v>500</v>
      </c>
      <c r="B42">
        <v>4</v>
      </c>
      <c r="C42" t="str">
        <f t="shared" si="0"/>
        <v>500-04</v>
      </c>
      <c r="F42" t="s">
        <v>792</v>
      </c>
      <c r="G42">
        <v>900.65944846900004</v>
      </c>
      <c r="H42">
        <v>901.07346156699305</v>
      </c>
      <c r="I42">
        <v>8.1633279999999999</v>
      </c>
      <c r="N42" t="s">
        <v>792</v>
      </c>
      <c r="O42">
        <v>900.61487070400005</v>
      </c>
      <c r="P42">
        <v>901.033525448001</v>
      </c>
      <c r="Q42">
        <v>8.0404479999999996</v>
      </c>
      <c r="V42" t="s">
        <v>792</v>
      </c>
      <c r="W42">
        <v>900.80881011199995</v>
      </c>
      <c r="X42">
        <v>901.01849361898996</v>
      </c>
      <c r="Y42">
        <v>8.1756159999999998</v>
      </c>
      <c r="AC42" t="s">
        <v>873</v>
      </c>
      <c r="AD42" t="s">
        <v>792</v>
      </c>
      <c r="AE42">
        <v>900.39855015000001</v>
      </c>
      <c r="AF42">
        <v>901.09175241601702</v>
      </c>
      <c r="AG42">
        <v>8.3025920000000006</v>
      </c>
      <c r="AM42" t="s">
        <v>873</v>
      </c>
      <c r="AN42" t="s">
        <v>792</v>
      </c>
      <c r="AO42">
        <v>900.66302862299995</v>
      </c>
      <c r="AP42">
        <v>901.07238033699105</v>
      </c>
      <c r="AQ42">
        <v>7.909376</v>
      </c>
      <c r="AX42" t="s">
        <v>873</v>
      </c>
      <c r="AY42" t="s">
        <v>792</v>
      </c>
      <c r="AZ42">
        <v>900.70903568200004</v>
      </c>
      <c r="BA42">
        <v>901.03779762200395</v>
      </c>
      <c r="BB42">
        <v>8.3025920000000006</v>
      </c>
      <c r="BO42" t="s">
        <v>792</v>
      </c>
      <c r="BP42">
        <v>900.726926467</v>
      </c>
      <c r="BQ42">
        <v>901.006343649001</v>
      </c>
      <c r="BR42">
        <v>8.0240639999999992</v>
      </c>
      <c r="CR42" t="s">
        <v>792</v>
      </c>
      <c r="CS42">
        <v>900.65342858199995</v>
      </c>
      <c r="CT42">
        <v>901.00648159894604</v>
      </c>
      <c r="CU42">
        <v>7.9708160000000001</v>
      </c>
      <c r="DA42" t="s">
        <v>792</v>
      </c>
      <c r="DB42">
        <v>900.66296958199996</v>
      </c>
      <c r="DC42">
        <v>901.00707444001398</v>
      </c>
      <c r="DD42">
        <v>8.0527359999999994</v>
      </c>
      <c r="DJ42" t="s">
        <v>792</v>
      </c>
      <c r="DK42">
        <v>900.73298335300001</v>
      </c>
      <c r="DL42">
        <v>901.00968276802405</v>
      </c>
      <c r="DM42">
        <v>8.0117759999999993</v>
      </c>
    </row>
    <row r="43" spans="1:117" x14ac:dyDescent="0.2">
      <c r="A43">
        <v>500</v>
      </c>
      <c r="B43">
        <v>5</v>
      </c>
      <c r="C43" t="str">
        <f t="shared" si="0"/>
        <v>500-05</v>
      </c>
      <c r="F43" t="s">
        <v>792</v>
      </c>
      <c r="G43">
        <v>900.43910519500002</v>
      </c>
      <c r="H43">
        <v>901.19562260300097</v>
      </c>
      <c r="I43">
        <v>2067.2061440000002</v>
      </c>
      <c r="K43">
        <v>1143353525</v>
      </c>
      <c r="N43" t="s">
        <v>792</v>
      </c>
      <c r="O43">
        <v>900.501522024</v>
      </c>
      <c r="P43">
        <v>901.03865714397398</v>
      </c>
      <c r="Q43">
        <v>83.677183999999997</v>
      </c>
      <c r="S43">
        <v>1143353525</v>
      </c>
      <c r="V43" t="s">
        <v>792</v>
      </c>
      <c r="W43">
        <v>900.56117827800006</v>
      </c>
      <c r="X43">
        <v>901.03384078299803</v>
      </c>
      <c r="Y43">
        <v>141.303808</v>
      </c>
      <c r="AC43" t="s">
        <v>874</v>
      </c>
      <c r="AD43" t="s">
        <v>792</v>
      </c>
      <c r="AE43">
        <v>900.73680904599996</v>
      </c>
      <c r="AF43">
        <v>901.19031963500299</v>
      </c>
      <c r="AG43">
        <v>2067.1733760000002</v>
      </c>
      <c r="AI43">
        <v>1143353525</v>
      </c>
      <c r="AJ43">
        <v>5.6353399999999998E-2</v>
      </c>
      <c r="AK43" s="1">
        <v>1.40147E-13</v>
      </c>
      <c r="AL43" s="1"/>
      <c r="AM43" s="1" t="s">
        <v>874</v>
      </c>
      <c r="AN43" t="s">
        <v>792</v>
      </c>
      <c r="AO43">
        <v>900.69834227499996</v>
      </c>
      <c r="AP43">
        <v>901.04272729399895</v>
      </c>
      <c r="AQ43">
        <v>83.668992000000003</v>
      </c>
      <c r="AX43" s="1" t="s">
        <v>874</v>
      </c>
      <c r="AY43" t="s">
        <v>792</v>
      </c>
      <c r="AZ43">
        <v>900.74183300899995</v>
      </c>
      <c r="BA43">
        <v>901.04592521401298</v>
      </c>
      <c r="BB43">
        <v>141.34067200000001</v>
      </c>
      <c r="BO43" t="s">
        <v>792</v>
      </c>
      <c r="BP43">
        <v>713.43316685699995</v>
      </c>
      <c r="BQ43">
        <v>931.14843889803103</v>
      </c>
      <c r="BR43">
        <v>83.673088000000007</v>
      </c>
      <c r="CR43" t="s">
        <v>792</v>
      </c>
      <c r="CS43">
        <v>720.644897732</v>
      </c>
      <c r="CT43">
        <v>931.02032671892005</v>
      </c>
      <c r="CU43">
        <v>83.623936</v>
      </c>
      <c r="DA43" t="s">
        <v>792</v>
      </c>
      <c r="DB43">
        <v>900.68307875799997</v>
      </c>
      <c r="DC43">
        <v>901.01935278100405</v>
      </c>
      <c r="DD43">
        <v>83.783680000000004</v>
      </c>
      <c r="DJ43" t="s">
        <v>792</v>
      </c>
      <c r="DK43">
        <v>900.68945198100005</v>
      </c>
      <c r="DL43">
        <v>901.01438159495501</v>
      </c>
      <c r="DM43">
        <v>83.677183999999997</v>
      </c>
    </row>
    <row r="44" spans="1:117" x14ac:dyDescent="0.2">
      <c r="A44">
        <v>500</v>
      </c>
      <c r="B44">
        <v>6</v>
      </c>
      <c r="C44" t="str">
        <f t="shared" si="0"/>
        <v>500-06</v>
      </c>
      <c r="F44" t="s">
        <v>792</v>
      </c>
      <c r="G44">
        <v>900.92519772699995</v>
      </c>
      <c r="H44">
        <v>901.47096925100698</v>
      </c>
      <c r="I44">
        <v>4929.7940479999997</v>
      </c>
      <c r="N44" t="s">
        <v>792</v>
      </c>
      <c r="O44">
        <v>900.72413134800001</v>
      </c>
      <c r="P44">
        <v>901.04482641699701</v>
      </c>
      <c r="Q44">
        <v>117.92384</v>
      </c>
      <c r="V44" t="s">
        <v>792</v>
      </c>
      <c r="W44">
        <v>900.74525364900001</v>
      </c>
      <c r="X44">
        <v>901.02981686599298</v>
      </c>
      <c r="Y44">
        <v>158.33907199999999</v>
      </c>
      <c r="AC44" t="s">
        <v>875</v>
      </c>
      <c r="AD44" t="s">
        <v>792</v>
      </c>
      <c r="AE44">
        <v>900.94614853099995</v>
      </c>
      <c r="AF44">
        <v>901.36140902200702</v>
      </c>
      <c r="AG44">
        <v>4929.6670720000002</v>
      </c>
      <c r="AM44" t="s">
        <v>875</v>
      </c>
      <c r="AN44" t="s">
        <v>792</v>
      </c>
      <c r="AO44">
        <v>900.67368546700004</v>
      </c>
      <c r="AP44">
        <v>901.05014828999902</v>
      </c>
      <c r="AQ44">
        <v>117.850112</v>
      </c>
      <c r="AX44" t="s">
        <v>875</v>
      </c>
      <c r="AY44" t="s">
        <v>792</v>
      </c>
      <c r="AZ44">
        <v>900.73926895600005</v>
      </c>
      <c r="BA44">
        <v>901.05002004501796</v>
      </c>
      <c r="BB44">
        <v>158.25305599999999</v>
      </c>
      <c r="BO44" t="s">
        <v>792</v>
      </c>
      <c r="BP44">
        <v>900.79571520100001</v>
      </c>
      <c r="BQ44">
        <v>901.01633584499302</v>
      </c>
      <c r="BR44">
        <v>117.878784</v>
      </c>
      <c r="CR44" t="s">
        <v>792</v>
      </c>
      <c r="CS44">
        <v>900.71034121900004</v>
      </c>
      <c r="CT44">
        <v>901.01799667603302</v>
      </c>
      <c r="CU44">
        <v>117.911552</v>
      </c>
      <c r="DA44" t="s">
        <v>792</v>
      </c>
      <c r="DB44">
        <v>900.68929351500003</v>
      </c>
      <c r="DC44">
        <v>901.01433160400404</v>
      </c>
      <c r="DD44">
        <v>117.858304</v>
      </c>
      <c r="DJ44" t="s">
        <v>792</v>
      </c>
      <c r="DK44">
        <v>900.68626589099995</v>
      </c>
      <c r="DL44">
        <v>901.01605197798904</v>
      </c>
      <c r="DM44">
        <v>117.858304</v>
      </c>
    </row>
    <row r="45" spans="1:117" x14ac:dyDescent="0.2">
      <c r="A45">
        <v>500</v>
      </c>
      <c r="B45">
        <v>7</v>
      </c>
      <c r="C45" t="str">
        <f t="shared" si="0"/>
        <v>500-07</v>
      </c>
      <c r="F45" t="s">
        <v>793</v>
      </c>
      <c r="G45">
        <v>438.075188234</v>
      </c>
      <c r="H45">
        <v>438.44709472800599</v>
      </c>
      <c r="I45">
        <v>16000</v>
      </c>
      <c r="N45" t="s">
        <v>792</v>
      </c>
      <c r="O45">
        <v>900.74749530700001</v>
      </c>
      <c r="P45">
        <v>901.10947425299605</v>
      </c>
      <c r="Q45">
        <v>912.63385600000004</v>
      </c>
      <c r="V45" t="s">
        <v>792</v>
      </c>
      <c r="W45">
        <v>900.83666121500005</v>
      </c>
      <c r="X45">
        <v>901.15532481500099</v>
      </c>
      <c r="Y45">
        <v>2162.6019839999999</v>
      </c>
      <c r="AC45" t="s">
        <v>876</v>
      </c>
      <c r="AD45" t="s">
        <v>793</v>
      </c>
      <c r="AE45">
        <v>441.01398707800001</v>
      </c>
      <c r="AF45">
        <v>441.31966045001099</v>
      </c>
      <c r="AG45">
        <v>16000</v>
      </c>
      <c r="AM45" t="s">
        <v>876</v>
      </c>
      <c r="AN45" t="s">
        <v>792</v>
      </c>
      <c r="AO45">
        <v>900.76833597899997</v>
      </c>
      <c r="AP45">
        <v>901.15233087597801</v>
      </c>
      <c r="AQ45">
        <v>912.69939199999999</v>
      </c>
      <c r="AX45" t="s">
        <v>876</v>
      </c>
      <c r="AY45" t="s">
        <v>792</v>
      </c>
      <c r="AZ45">
        <v>900.81984434000003</v>
      </c>
      <c r="BA45">
        <v>901.18038422599705</v>
      </c>
      <c r="BB45">
        <v>2162.60608</v>
      </c>
      <c r="BO45" t="s">
        <v>792</v>
      </c>
      <c r="BP45">
        <v>900.66368389100001</v>
      </c>
      <c r="BQ45">
        <v>901.06932182400396</v>
      </c>
      <c r="BR45">
        <v>912.61747200000002</v>
      </c>
      <c r="CR45" t="s">
        <v>792</v>
      </c>
      <c r="CS45">
        <v>900.68081041400001</v>
      </c>
      <c r="CT45">
        <v>901.06698257394601</v>
      </c>
      <c r="CU45">
        <v>912.73216000000002</v>
      </c>
      <c r="DA45" t="s">
        <v>792</v>
      </c>
      <c r="DB45">
        <v>900.706077521</v>
      </c>
      <c r="DC45">
        <v>901.07445628696496</v>
      </c>
      <c r="DD45">
        <v>912.71168</v>
      </c>
      <c r="DJ45" t="s">
        <v>792</v>
      </c>
      <c r="DK45">
        <v>900.70851625299997</v>
      </c>
      <c r="DL45">
        <v>901.06819746794599</v>
      </c>
      <c r="DM45">
        <v>912.62156800000002</v>
      </c>
    </row>
    <row r="46" spans="1:117" x14ac:dyDescent="0.2">
      <c r="A46">
        <v>500</v>
      </c>
      <c r="B46">
        <v>8</v>
      </c>
      <c r="C46" t="str">
        <f t="shared" si="0"/>
        <v>500-08</v>
      </c>
      <c r="F46" t="s">
        <v>792</v>
      </c>
      <c r="G46">
        <v>900.60704903199996</v>
      </c>
      <c r="H46">
        <v>901.16907484800299</v>
      </c>
      <c r="I46">
        <v>534.03238399999998</v>
      </c>
      <c r="N46" t="s">
        <v>792</v>
      </c>
      <c r="O46">
        <v>900.69629851800005</v>
      </c>
      <c r="P46">
        <v>901.034930382011</v>
      </c>
      <c r="Q46">
        <v>8.6999040000000001</v>
      </c>
      <c r="V46" t="s">
        <v>792</v>
      </c>
      <c r="W46">
        <v>900.74113049200002</v>
      </c>
      <c r="X46">
        <v>901.013546089991</v>
      </c>
      <c r="Y46">
        <v>9.7730560000000004</v>
      </c>
      <c r="AC46" t="s">
        <v>877</v>
      </c>
      <c r="AD46" t="s">
        <v>792</v>
      </c>
      <c r="AE46">
        <v>900.702252284</v>
      </c>
      <c r="AF46">
        <v>901.085293529002</v>
      </c>
      <c r="AG46">
        <v>533.90540799999997</v>
      </c>
      <c r="AM46" t="s">
        <v>877</v>
      </c>
      <c r="AN46" t="s">
        <v>792</v>
      </c>
      <c r="AO46">
        <v>900.62503227900004</v>
      </c>
      <c r="AP46">
        <v>901.04127076899704</v>
      </c>
      <c r="AQ46">
        <v>8.5729279999999992</v>
      </c>
      <c r="AX46" t="s">
        <v>877</v>
      </c>
      <c r="AY46" t="s">
        <v>792</v>
      </c>
      <c r="AZ46">
        <v>900.59683742200002</v>
      </c>
      <c r="BA46">
        <v>901.03562286400097</v>
      </c>
      <c r="BB46">
        <v>9.7443840000000002</v>
      </c>
      <c r="BO46" t="s">
        <v>792</v>
      </c>
      <c r="BP46">
        <v>900.54078676899996</v>
      </c>
      <c r="BQ46">
        <v>901.00756067200496</v>
      </c>
      <c r="BR46">
        <v>8.5934080000000002</v>
      </c>
      <c r="CR46" t="s">
        <v>792</v>
      </c>
      <c r="CS46">
        <v>900.63614719400005</v>
      </c>
      <c r="CT46">
        <v>901.00590898306098</v>
      </c>
      <c r="CU46">
        <v>8.6220800000000004</v>
      </c>
      <c r="DA46" t="s">
        <v>792</v>
      </c>
      <c r="DB46">
        <v>900.63150625900005</v>
      </c>
      <c r="DC46">
        <v>901.00619194505202</v>
      </c>
      <c r="DD46">
        <v>8.5729279999999992</v>
      </c>
      <c r="DJ46" t="s">
        <v>792</v>
      </c>
      <c r="DK46">
        <v>900.60763297000005</v>
      </c>
      <c r="DL46">
        <v>901.00666222302198</v>
      </c>
      <c r="DM46">
        <v>8.7162880000000005</v>
      </c>
    </row>
    <row r="47" spans="1:117" x14ac:dyDescent="0.2">
      <c r="A47">
        <v>500</v>
      </c>
      <c r="B47">
        <v>9</v>
      </c>
      <c r="C47" t="str">
        <f t="shared" si="0"/>
        <v>500-09</v>
      </c>
      <c r="F47" t="s">
        <v>792</v>
      </c>
      <c r="G47">
        <v>900.59885423200001</v>
      </c>
      <c r="H47">
        <v>901.02490870200495</v>
      </c>
      <c r="I47">
        <v>20.819967999999999</v>
      </c>
      <c r="N47" t="s">
        <v>792</v>
      </c>
      <c r="O47">
        <v>900.670327821</v>
      </c>
      <c r="P47">
        <v>901.03098477900403</v>
      </c>
      <c r="Q47">
        <v>10.006527999999999</v>
      </c>
      <c r="V47" t="s">
        <v>792</v>
      </c>
      <c r="W47">
        <v>900.68176289200005</v>
      </c>
      <c r="X47">
        <v>901.020587366001</v>
      </c>
      <c r="Y47">
        <v>11.472896</v>
      </c>
      <c r="AC47" t="s">
        <v>878</v>
      </c>
      <c r="AD47" t="s">
        <v>792</v>
      </c>
      <c r="AE47">
        <v>900.66008242700002</v>
      </c>
      <c r="AF47">
        <v>901.03568496499702</v>
      </c>
      <c r="AG47">
        <v>20.774912</v>
      </c>
      <c r="AM47" t="s">
        <v>878</v>
      </c>
      <c r="AN47" t="s">
        <v>792</v>
      </c>
      <c r="AO47">
        <v>900.71990403799998</v>
      </c>
      <c r="AP47">
        <v>901.041097024019</v>
      </c>
      <c r="AQ47">
        <v>10.006527999999999</v>
      </c>
      <c r="AX47" t="s">
        <v>878</v>
      </c>
      <c r="AY47" t="s">
        <v>792</v>
      </c>
      <c r="AZ47">
        <v>900.61001479799995</v>
      </c>
      <c r="BA47">
        <v>901.03752272200597</v>
      </c>
      <c r="BB47">
        <v>14.336</v>
      </c>
      <c r="BO47" t="s">
        <v>792</v>
      </c>
      <c r="BP47">
        <v>900.33011133000002</v>
      </c>
      <c r="BQ47">
        <v>901.00465089501802</v>
      </c>
      <c r="BR47">
        <v>12.181504</v>
      </c>
      <c r="CR47" t="s">
        <v>792</v>
      </c>
      <c r="CS47">
        <v>900.51827965500001</v>
      </c>
      <c r="CT47">
        <v>901.00955629593204</v>
      </c>
      <c r="CU47">
        <v>10.047488</v>
      </c>
      <c r="DA47" t="s">
        <v>792</v>
      </c>
      <c r="DB47">
        <v>900.64614050600005</v>
      </c>
      <c r="DC47">
        <v>901.00794533302496</v>
      </c>
      <c r="DD47">
        <v>10.018815999999999</v>
      </c>
      <c r="DJ47" t="s">
        <v>792</v>
      </c>
      <c r="DK47">
        <v>900.65417100399998</v>
      </c>
      <c r="DL47">
        <v>901.00628684100195</v>
      </c>
      <c r="DM47">
        <v>12.193792</v>
      </c>
    </row>
    <row r="48" spans="1:117" x14ac:dyDescent="0.2">
      <c r="A48">
        <v>600</v>
      </c>
      <c r="B48">
        <v>1</v>
      </c>
      <c r="C48" t="str">
        <f t="shared" si="0"/>
        <v>600-01</v>
      </c>
      <c r="F48" t="s">
        <v>792</v>
      </c>
      <c r="G48">
        <v>901.004792329</v>
      </c>
      <c r="H48">
        <v>902.54712654100103</v>
      </c>
      <c r="I48">
        <v>14.307328</v>
      </c>
      <c r="K48">
        <v>375579200</v>
      </c>
      <c r="N48" t="s">
        <v>792</v>
      </c>
      <c r="O48">
        <v>901.00358472200003</v>
      </c>
      <c r="P48">
        <v>902.24661502198398</v>
      </c>
      <c r="Q48">
        <v>8.6999040000000001</v>
      </c>
      <c r="S48">
        <v>375579200</v>
      </c>
      <c r="V48" t="s">
        <v>792</v>
      </c>
      <c r="W48">
        <v>900.99753336200001</v>
      </c>
      <c r="X48">
        <v>902.65763532000699</v>
      </c>
      <c r="Y48">
        <v>8.6466560000000001</v>
      </c>
      <c r="AC48" t="s">
        <v>879</v>
      </c>
      <c r="AD48" t="s">
        <v>792</v>
      </c>
      <c r="AE48">
        <v>901.00476944499997</v>
      </c>
      <c r="AF48">
        <v>902.05045646201995</v>
      </c>
      <c r="AG48">
        <v>14.315519999999999</v>
      </c>
      <c r="AI48">
        <v>375579200</v>
      </c>
      <c r="AJ48">
        <v>2.29185E-4</v>
      </c>
      <c r="AK48" s="1">
        <v>1.8935799999999999E-28</v>
      </c>
      <c r="AL48" s="1"/>
      <c r="AM48" s="1" t="s">
        <v>879</v>
      </c>
      <c r="AN48" t="s">
        <v>792</v>
      </c>
      <c r="AO48">
        <v>900.63798706900002</v>
      </c>
      <c r="AP48">
        <v>901.04160461202196</v>
      </c>
      <c r="AQ48">
        <v>8.7080959999999994</v>
      </c>
      <c r="AS48">
        <v>375579200</v>
      </c>
      <c r="AT48">
        <v>237.86699999999999</v>
      </c>
      <c r="AU48" s="1">
        <v>3.0026E-28</v>
      </c>
      <c r="AV48" s="1"/>
      <c r="AW48" s="1"/>
      <c r="AX48" s="1" t="s">
        <v>879</v>
      </c>
      <c r="AY48" t="s">
        <v>792</v>
      </c>
      <c r="AZ48">
        <v>900.54030226299994</v>
      </c>
      <c r="BA48">
        <v>901.03772039202101</v>
      </c>
      <c r="BB48">
        <v>8.8391680000000008</v>
      </c>
      <c r="BE48">
        <v>375579200</v>
      </c>
      <c r="BF48">
        <v>236.27500000000001</v>
      </c>
      <c r="BG48" s="1">
        <v>3.0026E-28</v>
      </c>
      <c r="BO48" t="s">
        <v>792</v>
      </c>
      <c r="BP48">
        <v>271.84897406699997</v>
      </c>
      <c r="BQ48">
        <v>931.20588334696299</v>
      </c>
      <c r="BR48">
        <v>8.6712319999999998</v>
      </c>
      <c r="CR48" t="s">
        <v>792</v>
      </c>
      <c r="CS48">
        <v>268.32897725800001</v>
      </c>
      <c r="CT48">
        <v>931.03132420999395</v>
      </c>
      <c r="CU48">
        <v>8.7818240000000003</v>
      </c>
      <c r="DA48" t="s">
        <v>792</v>
      </c>
      <c r="DB48">
        <v>807.29570219100003</v>
      </c>
      <c r="DC48">
        <v>931.24156982800901</v>
      </c>
      <c r="DD48">
        <v>8.7203839999999992</v>
      </c>
      <c r="DJ48" t="s">
        <v>792</v>
      </c>
      <c r="DK48">
        <v>803.81542133899995</v>
      </c>
      <c r="DL48">
        <v>931.03116360399804</v>
      </c>
      <c r="DM48">
        <v>8.658944</v>
      </c>
    </row>
    <row r="49" spans="1:117" x14ac:dyDescent="0.2">
      <c r="A49">
        <v>600</v>
      </c>
      <c r="B49">
        <v>2</v>
      </c>
      <c r="C49" t="str">
        <f t="shared" si="0"/>
        <v>600-02</v>
      </c>
      <c r="F49" t="s">
        <v>793</v>
      </c>
      <c r="G49">
        <v>406.69211577099998</v>
      </c>
      <c r="H49">
        <v>407.16580309800298</v>
      </c>
      <c r="I49">
        <v>16000</v>
      </c>
      <c r="N49" t="s">
        <v>792</v>
      </c>
      <c r="O49">
        <v>900.68711394800005</v>
      </c>
      <c r="P49">
        <v>901.10075368199603</v>
      </c>
      <c r="Q49">
        <v>899.72735999999998</v>
      </c>
      <c r="V49" t="s">
        <v>793</v>
      </c>
      <c r="W49">
        <v>296.71552138800001</v>
      </c>
      <c r="X49">
        <v>296.998787001008</v>
      </c>
      <c r="Y49">
        <v>16000</v>
      </c>
      <c r="AC49" t="s">
        <v>880</v>
      </c>
      <c r="AD49" t="s">
        <v>793</v>
      </c>
      <c r="AE49">
        <v>408.48152690400002</v>
      </c>
      <c r="AF49">
        <v>408.823841931007</v>
      </c>
      <c r="AG49">
        <v>16000</v>
      </c>
      <c r="AM49" t="s">
        <v>880</v>
      </c>
      <c r="AN49" t="s">
        <v>792</v>
      </c>
      <c r="AO49">
        <v>900.84312740200005</v>
      </c>
      <c r="AP49">
        <v>901.13334291498097</v>
      </c>
      <c r="AQ49">
        <v>898.67468799999995</v>
      </c>
      <c r="AX49" t="s">
        <v>880</v>
      </c>
      <c r="AY49" t="s">
        <v>793</v>
      </c>
      <c r="AZ49">
        <v>291.886774559</v>
      </c>
      <c r="BA49">
        <v>292.153245709982</v>
      </c>
      <c r="BB49">
        <v>16000</v>
      </c>
      <c r="BO49" t="s">
        <v>792</v>
      </c>
      <c r="BP49">
        <v>900.74755995600003</v>
      </c>
      <c r="BQ49">
        <v>901.07646628504096</v>
      </c>
      <c r="BR49">
        <v>898.63782400000002</v>
      </c>
      <c r="CR49" t="s">
        <v>792</v>
      </c>
      <c r="CS49">
        <v>900.626358009</v>
      </c>
      <c r="CT49">
        <v>901.06352478300596</v>
      </c>
      <c r="CU49">
        <v>898.59276799999998</v>
      </c>
      <c r="DA49" t="s">
        <v>792</v>
      </c>
      <c r="DB49">
        <v>900.77921849200004</v>
      </c>
      <c r="DC49">
        <v>901.06617398396997</v>
      </c>
      <c r="DD49">
        <v>898.64601600000003</v>
      </c>
      <c r="DJ49" t="s">
        <v>792</v>
      </c>
      <c r="DK49">
        <v>900.79144721600005</v>
      </c>
      <c r="DL49">
        <v>901.07669165090101</v>
      </c>
      <c r="DM49">
        <v>898.69516799999997</v>
      </c>
    </row>
    <row r="50" spans="1:117" x14ac:dyDescent="0.2">
      <c r="A50">
        <v>600</v>
      </c>
      <c r="B50">
        <v>3</v>
      </c>
      <c r="C50" t="str">
        <f t="shared" si="0"/>
        <v>600-03</v>
      </c>
      <c r="F50" t="s">
        <v>792</v>
      </c>
      <c r="G50">
        <v>900.550178824</v>
      </c>
      <c r="H50">
        <v>901.03914261900297</v>
      </c>
      <c r="I50">
        <v>15.515648000000001</v>
      </c>
      <c r="N50" t="s">
        <v>792</v>
      </c>
      <c r="O50">
        <v>900.71965838100004</v>
      </c>
      <c r="P50">
        <v>901.028906852006</v>
      </c>
      <c r="Q50">
        <v>8.6958079999999995</v>
      </c>
      <c r="V50" t="s">
        <v>792</v>
      </c>
      <c r="W50">
        <v>900.76871756499997</v>
      </c>
      <c r="X50">
        <v>901.02483587400604</v>
      </c>
      <c r="Y50">
        <v>8.8473600000000001</v>
      </c>
      <c r="AC50" t="s">
        <v>881</v>
      </c>
      <c r="AD50" t="s">
        <v>792</v>
      </c>
      <c r="AE50">
        <v>900.43066589900002</v>
      </c>
      <c r="AF50">
        <v>901.05133439600399</v>
      </c>
      <c r="AG50">
        <v>15.486976</v>
      </c>
      <c r="AM50" t="s">
        <v>881</v>
      </c>
      <c r="AN50" t="s">
        <v>792</v>
      </c>
      <c r="AO50">
        <v>900.88179477400001</v>
      </c>
      <c r="AP50">
        <v>901.14304720898497</v>
      </c>
      <c r="AQ50">
        <v>8.7367679999999996</v>
      </c>
      <c r="AX50" t="s">
        <v>881</v>
      </c>
      <c r="AY50" t="s">
        <v>792</v>
      </c>
      <c r="AZ50">
        <v>900.67661845500004</v>
      </c>
      <c r="BA50">
        <v>901.03932729701</v>
      </c>
      <c r="BB50">
        <v>8.8064</v>
      </c>
      <c r="BO50" t="s">
        <v>792</v>
      </c>
      <c r="BP50">
        <v>900.55870436199996</v>
      </c>
      <c r="BQ50">
        <v>901.00559676601495</v>
      </c>
      <c r="BR50">
        <v>8.753152</v>
      </c>
      <c r="CR50" t="s">
        <v>792</v>
      </c>
      <c r="CS50">
        <v>900.68938843599994</v>
      </c>
      <c r="CT50">
        <v>901.01017459190905</v>
      </c>
      <c r="CU50">
        <v>8.7080959999999994</v>
      </c>
      <c r="DA50" t="s">
        <v>792</v>
      </c>
      <c r="DB50">
        <v>900.75362058600001</v>
      </c>
      <c r="DC50">
        <v>901.00877815298702</v>
      </c>
      <c r="DD50">
        <v>8.7080959999999994</v>
      </c>
      <c r="DJ50" t="s">
        <v>792</v>
      </c>
      <c r="DK50">
        <v>900.62087563</v>
      </c>
      <c r="DL50">
        <v>901.00727089994996</v>
      </c>
      <c r="DM50">
        <v>8.6630400000000005</v>
      </c>
    </row>
    <row r="51" spans="1:117" ht="16" x14ac:dyDescent="0.2">
      <c r="A51">
        <v>600</v>
      </c>
      <c r="B51">
        <v>4</v>
      </c>
      <c r="C51" t="str">
        <f t="shared" si="0"/>
        <v>600-04</v>
      </c>
      <c r="F51" t="s">
        <v>792</v>
      </c>
      <c r="G51">
        <v>900.20176507999997</v>
      </c>
      <c r="H51">
        <v>901.03484902800096</v>
      </c>
      <c r="I51">
        <v>31.916032000000001</v>
      </c>
      <c r="K51">
        <v>1032780104</v>
      </c>
      <c r="N51" t="s">
        <v>792</v>
      </c>
      <c r="O51">
        <v>900.45034931500004</v>
      </c>
      <c r="P51">
        <v>901.03104501598796</v>
      </c>
      <c r="Q51">
        <v>9.1054080000000006</v>
      </c>
      <c r="S51">
        <v>1032780104</v>
      </c>
      <c r="V51" t="s">
        <v>792</v>
      </c>
      <c r="W51">
        <v>900.19910699299999</v>
      </c>
      <c r="X51">
        <v>901.02980287499599</v>
      </c>
      <c r="Y51">
        <v>9.4126080000000005</v>
      </c>
      <c r="AC51" t="s">
        <v>882</v>
      </c>
      <c r="AD51" t="s">
        <v>792</v>
      </c>
      <c r="AE51">
        <v>900.561535456</v>
      </c>
      <c r="AF51">
        <v>901.051271000003</v>
      </c>
      <c r="AG51">
        <v>31.764479999999999</v>
      </c>
      <c r="AI51" s="5">
        <v>1032780104</v>
      </c>
      <c r="AJ51">
        <v>5.5255400000000002E-4</v>
      </c>
      <c r="AK51" s="1">
        <v>1.41742E-12</v>
      </c>
      <c r="AL51" s="1"/>
      <c r="AM51" s="1" t="s">
        <v>882</v>
      </c>
      <c r="AN51" t="s">
        <v>792</v>
      </c>
      <c r="AO51">
        <v>900.73007248500005</v>
      </c>
      <c r="AP51">
        <v>901.04252021797504</v>
      </c>
      <c r="AQ51">
        <v>9.0562559999999994</v>
      </c>
      <c r="AX51" s="1" t="s">
        <v>882</v>
      </c>
      <c r="AY51" t="s">
        <v>792</v>
      </c>
      <c r="AZ51">
        <v>900.67804614500005</v>
      </c>
      <c r="BA51">
        <v>901.03847087197903</v>
      </c>
      <c r="BB51">
        <v>9.2282879999999992</v>
      </c>
      <c r="BO51" t="s">
        <v>792</v>
      </c>
      <c r="BP51">
        <v>795.69460436099996</v>
      </c>
      <c r="BQ51">
        <v>931.23022622801295</v>
      </c>
      <c r="BR51">
        <v>9.0644480000000005</v>
      </c>
      <c r="CR51" t="s">
        <v>792</v>
      </c>
      <c r="CS51">
        <v>798.01724643700004</v>
      </c>
      <c r="CT51">
        <v>931.06924258393701</v>
      </c>
      <c r="CU51">
        <v>9.1258879999999998</v>
      </c>
      <c r="DA51" t="s">
        <v>792</v>
      </c>
      <c r="DB51">
        <v>900.74896434200002</v>
      </c>
      <c r="DC51">
        <v>901.00781484704896</v>
      </c>
      <c r="DD51">
        <v>9.0972159999999995</v>
      </c>
      <c r="DJ51" t="s">
        <v>792</v>
      </c>
      <c r="DK51">
        <v>900.71775607500001</v>
      </c>
      <c r="DL51">
        <v>901.00883791304602</v>
      </c>
      <c r="DM51">
        <v>9.0439679999999996</v>
      </c>
    </row>
    <row r="52" spans="1:117" x14ac:dyDescent="0.2">
      <c r="A52">
        <v>600</v>
      </c>
      <c r="B52">
        <v>5</v>
      </c>
      <c r="C52" t="str">
        <f t="shared" si="0"/>
        <v>600-05</v>
      </c>
      <c r="F52" t="s">
        <v>792</v>
      </c>
      <c r="G52">
        <v>901.02252139699999</v>
      </c>
      <c r="H52">
        <v>901.63599535298999</v>
      </c>
      <c r="I52">
        <v>9055.0517760000002</v>
      </c>
      <c r="N52" t="s">
        <v>792</v>
      </c>
      <c r="O52">
        <v>900.65062393100004</v>
      </c>
      <c r="P52">
        <v>901.03663842601202</v>
      </c>
      <c r="Q52">
        <v>20.23424</v>
      </c>
      <c r="V52" t="s">
        <v>792</v>
      </c>
      <c r="W52">
        <v>900.65702626699999</v>
      </c>
      <c r="X52">
        <v>901.04819664800004</v>
      </c>
      <c r="Y52">
        <v>54.534143999999998</v>
      </c>
      <c r="AC52" t="s">
        <v>883</v>
      </c>
      <c r="AD52" t="s">
        <v>792</v>
      </c>
      <c r="AE52">
        <v>901.17603198100005</v>
      </c>
      <c r="AF52">
        <v>902.04750159298396</v>
      </c>
      <c r="AG52">
        <v>9054.9493760000005</v>
      </c>
      <c r="AM52" t="s">
        <v>883</v>
      </c>
      <c r="AN52" t="s">
        <v>792</v>
      </c>
      <c r="AO52">
        <v>900.70331985200005</v>
      </c>
      <c r="AP52">
        <v>901.04398448599295</v>
      </c>
      <c r="AQ52">
        <v>20.23424</v>
      </c>
      <c r="AX52" t="s">
        <v>883</v>
      </c>
      <c r="AY52" t="s">
        <v>792</v>
      </c>
      <c r="AZ52">
        <v>900.80257170499999</v>
      </c>
      <c r="BA52">
        <v>901.043407480989</v>
      </c>
      <c r="BB52">
        <v>54.439936000000003</v>
      </c>
      <c r="BO52" t="s">
        <v>792</v>
      </c>
      <c r="BP52">
        <v>900.658927468</v>
      </c>
      <c r="BQ52">
        <v>901.00889088492795</v>
      </c>
      <c r="BR52">
        <v>20.107264000000001</v>
      </c>
      <c r="CR52" t="s">
        <v>792</v>
      </c>
      <c r="CS52">
        <v>900.65567868699998</v>
      </c>
      <c r="CT52">
        <v>901.01051578798797</v>
      </c>
      <c r="CU52">
        <v>20.193280000000001</v>
      </c>
      <c r="DA52" t="s">
        <v>792</v>
      </c>
      <c r="DB52">
        <v>900.69280759100002</v>
      </c>
      <c r="DC52">
        <v>901.01093846291701</v>
      </c>
      <c r="DD52">
        <v>20.246528000000001</v>
      </c>
      <c r="DJ52" t="s">
        <v>792</v>
      </c>
      <c r="DK52">
        <v>900.69586021999999</v>
      </c>
      <c r="DL52">
        <v>901.01156462891902</v>
      </c>
      <c r="DM52">
        <v>20.209664</v>
      </c>
    </row>
    <row r="53" spans="1:117" x14ac:dyDescent="0.2">
      <c r="A53">
        <v>600</v>
      </c>
      <c r="B53">
        <v>6</v>
      </c>
      <c r="C53" t="str">
        <f t="shared" si="0"/>
        <v>600-06</v>
      </c>
      <c r="F53" t="s">
        <v>793</v>
      </c>
      <c r="G53">
        <v>269.96773401799999</v>
      </c>
      <c r="H53">
        <v>270.271066727</v>
      </c>
      <c r="I53">
        <v>16000</v>
      </c>
      <c r="N53" t="s">
        <v>792</v>
      </c>
      <c r="O53">
        <v>901.00141519700003</v>
      </c>
      <c r="P53">
        <v>902.79675519501302</v>
      </c>
      <c r="Q53">
        <v>28.85632</v>
      </c>
      <c r="S53">
        <v>200863512</v>
      </c>
      <c r="V53" t="s">
        <v>792</v>
      </c>
      <c r="W53">
        <v>901.015042085</v>
      </c>
      <c r="X53">
        <v>903.17568522899796</v>
      </c>
      <c r="Y53">
        <v>106.242048</v>
      </c>
      <c r="AC53" t="s">
        <v>884</v>
      </c>
      <c r="AD53" t="s">
        <v>793</v>
      </c>
      <c r="AE53">
        <v>267.69128387000001</v>
      </c>
      <c r="AF53">
        <v>267.90343047899597</v>
      </c>
      <c r="AG53">
        <v>16000</v>
      </c>
      <c r="AM53" t="s">
        <v>884</v>
      </c>
      <c r="AN53" t="s">
        <v>792</v>
      </c>
      <c r="AO53">
        <v>900.22800648199996</v>
      </c>
      <c r="AP53">
        <v>901.039131161</v>
      </c>
      <c r="AQ53">
        <v>28.749824</v>
      </c>
      <c r="AS53">
        <v>200863512</v>
      </c>
      <c r="AU53" s="1">
        <v>4.5421999999999998E-17</v>
      </c>
      <c r="AV53" s="1"/>
      <c r="AW53" s="1"/>
      <c r="AX53" t="s">
        <v>884</v>
      </c>
      <c r="AY53" t="s">
        <v>792</v>
      </c>
      <c r="AZ53">
        <v>901.01228915199999</v>
      </c>
      <c r="BA53">
        <v>902.10251768000296</v>
      </c>
      <c r="BB53">
        <v>106.217472</v>
      </c>
      <c r="BE53">
        <v>200863512</v>
      </c>
      <c r="BF53">
        <v>119.99</v>
      </c>
      <c r="BG53" s="1">
        <v>4.5421999999999998E-17</v>
      </c>
      <c r="BO53" t="s">
        <v>792</v>
      </c>
      <c r="BP53">
        <v>147.10425551700001</v>
      </c>
      <c r="BQ53">
        <v>931.19836531800604</v>
      </c>
      <c r="BR53">
        <v>29.077504000000001</v>
      </c>
      <c r="CR53" t="s">
        <v>792</v>
      </c>
      <c r="CS53">
        <v>145.970855414</v>
      </c>
      <c r="CT53">
        <v>931.30162653198897</v>
      </c>
      <c r="CU53">
        <v>29.016064</v>
      </c>
      <c r="DA53" t="s">
        <v>792</v>
      </c>
      <c r="DB53">
        <v>417.39679228400001</v>
      </c>
      <c r="DC53">
        <v>931.10478489997297</v>
      </c>
      <c r="DD53">
        <v>28.975104000000002</v>
      </c>
      <c r="DJ53" t="s">
        <v>792</v>
      </c>
      <c r="DK53">
        <v>415.145313139</v>
      </c>
      <c r="DL53">
        <v>931.20374359190396</v>
      </c>
      <c r="DM53">
        <v>29.048832000000001</v>
      </c>
    </row>
    <row r="54" spans="1:117" x14ac:dyDescent="0.2">
      <c r="A54">
        <v>600</v>
      </c>
      <c r="B54">
        <v>7</v>
      </c>
      <c r="C54" t="str">
        <f t="shared" si="0"/>
        <v>600-07</v>
      </c>
      <c r="F54" t="s">
        <v>793</v>
      </c>
      <c r="G54">
        <v>350.64392900799999</v>
      </c>
      <c r="H54">
        <v>350.91477449599103</v>
      </c>
      <c r="I54">
        <v>16000</v>
      </c>
      <c r="N54" t="s">
        <v>792</v>
      </c>
      <c r="O54">
        <v>900.77969134299997</v>
      </c>
      <c r="P54">
        <v>901.06864055598203</v>
      </c>
      <c r="Q54">
        <v>288.40755200000001</v>
      </c>
      <c r="V54" t="s">
        <v>792</v>
      </c>
      <c r="W54">
        <v>900.78491464499996</v>
      </c>
      <c r="X54">
        <v>901.13389771699406</v>
      </c>
      <c r="Y54">
        <v>1264.8448000000001</v>
      </c>
      <c r="AC54" t="s">
        <v>885</v>
      </c>
      <c r="AD54" t="s">
        <v>793</v>
      </c>
      <c r="AE54">
        <v>353.15547186499998</v>
      </c>
      <c r="AF54">
        <v>353.43091384798697</v>
      </c>
      <c r="AG54">
        <v>16000</v>
      </c>
      <c r="AM54" t="s">
        <v>885</v>
      </c>
      <c r="AN54" t="s">
        <v>792</v>
      </c>
      <c r="AO54">
        <v>900.80350098400004</v>
      </c>
      <c r="AP54">
        <v>901.086049358011</v>
      </c>
      <c r="AQ54">
        <v>288.42803199999997</v>
      </c>
      <c r="AX54" t="s">
        <v>885</v>
      </c>
      <c r="AY54" t="s">
        <v>792</v>
      </c>
      <c r="AZ54">
        <v>900.80656674299996</v>
      </c>
      <c r="BA54">
        <v>901.16012126201497</v>
      </c>
      <c r="BB54">
        <v>1264.898048</v>
      </c>
      <c r="BO54" t="s">
        <v>792</v>
      </c>
      <c r="BP54">
        <v>900.63851652599999</v>
      </c>
      <c r="BQ54">
        <v>901.03372318600304</v>
      </c>
      <c r="BR54">
        <v>288.44031999999999</v>
      </c>
      <c r="CR54" t="s">
        <v>792</v>
      </c>
      <c r="CS54">
        <v>900.61168437200001</v>
      </c>
      <c r="CT54">
        <v>901.03431888902503</v>
      </c>
      <c r="CU54">
        <v>288.48537599999997</v>
      </c>
      <c r="DA54" t="s">
        <v>792</v>
      </c>
      <c r="DB54">
        <v>900.75490637600001</v>
      </c>
      <c r="DC54">
        <v>901.035611154045</v>
      </c>
      <c r="DD54">
        <v>288.48537599999997</v>
      </c>
      <c r="DJ54" t="s">
        <v>792</v>
      </c>
      <c r="DK54">
        <v>900.72982141099999</v>
      </c>
      <c r="DL54">
        <v>901.03259648498999</v>
      </c>
      <c r="DM54">
        <v>288.44441599999999</v>
      </c>
    </row>
    <row r="55" spans="1:117" x14ac:dyDescent="0.2">
      <c r="A55">
        <v>600</v>
      </c>
      <c r="B55">
        <v>8</v>
      </c>
      <c r="C55" t="str">
        <f t="shared" si="0"/>
        <v>600-08</v>
      </c>
      <c r="F55" t="s">
        <v>793</v>
      </c>
      <c r="G55">
        <v>310.29944637599999</v>
      </c>
      <c r="H55">
        <v>310.561534824999</v>
      </c>
      <c r="I55">
        <v>16000</v>
      </c>
      <c r="N55" t="s">
        <v>792</v>
      </c>
      <c r="O55">
        <v>900.73000630499996</v>
      </c>
      <c r="P55">
        <v>901.04836663298101</v>
      </c>
      <c r="Q55">
        <v>67.334143999999995</v>
      </c>
      <c r="V55" t="s">
        <v>792</v>
      </c>
      <c r="W55">
        <v>900.42383548800001</v>
      </c>
      <c r="X55">
        <v>901.04333042600695</v>
      </c>
      <c r="Y55">
        <v>141.49632</v>
      </c>
      <c r="AC55" t="s">
        <v>886</v>
      </c>
      <c r="AD55" t="s">
        <v>793</v>
      </c>
      <c r="AE55">
        <v>304.63777496900002</v>
      </c>
      <c r="AF55">
        <v>304.898963451996</v>
      </c>
      <c r="AG55">
        <v>16000</v>
      </c>
      <c r="AM55" t="s">
        <v>886</v>
      </c>
      <c r="AN55" t="s">
        <v>792</v>
      </c>
      <c r="AO55">
        <v>900.80721770800005</v>
      </c>
      <c r="AP55">
        <v>901.08241468199401</v>
      </c>
      <c r="AQ55">
        <v>67.293183999999997</v>
      </c>
      <c r="AX55" t="s">
        <v>886</v>
      </c>
      <c r="AY55" t="s">
        <v>792</v>
      </c>
      <c r="AZ55">
        <v>900.56225555799995</v>
      </c>
      <c r="BA55">
        <v>901.088400231994</v>
      </c>
      <c r="BB55">
        <v>141.47584000000001</v>
      </c>
      <c r="BO55" t="s">
        <v>792</v>
      </c>
      <c r="BP55">
        <v>900.64777009800002</v>
      </c>
      <c r="BQ55">
        <v>901.01392896007701</v>
      </c>
      <c r="BR55">
        <v>67.350527999999997</v>
      </c>
      <c r="CR55" t="s">
        <v>792</v>
      </c>
      <c r="CS55">
        <v>900.59888863799995</v>
      </c>
      <c r="CT55">
        <v>901.01161818695198</v>
      </c>
      <c r="CU55">
        <v>67.379199999999997</v>
      </c>
      <c r="DA55" t="s">
        <v>792</v>
      </c>
      <c r="DB55">
        <v>900.74129361999996</v>
      </c>
      <c r="DC55">
        <v>901.014670155011</v>
      </c>
      <c r="DD55">
        <v>67.256320000000002</v>
      </c>
      <c r="DJ55" t="s">
        <v>792</v>
      </c>
      <c r="DK55">
        <v>900.689435301</v>
      </c>
      <c r="DL55">
        <v>901.01544071396302</v>
      </c>
      <c r="DM55">
        <v>67.436543999999998</v>
      </c>
    </row>
    <row r="56" spans="1:117" x14ac:dyDescent="0.2">
      <c r="A56">
        <v>600</v>
      </c>
      <c r="B56">
        <v>9</v>
      </c>
      <c r="C56" t="str">
        <f t="shared" si="0"/>
        <v>600-09</v>
      </c>
      <c r="F56" t="s">
        <v>793</v>
      </c>
      <c r="G56">
        <v>356.904750288</v>
      </c>
      <c r="H56">
        <v>357.16925094299899</v>
      </c>
      <c r="I56">
        <v>16000</v>
      </c>
      <c r="N56" t="s">
        <v>792</v>
      </c>
      <c r="O56">
        <v>901.03259731000003</v>
      </c>
      <c r="P56">
        <v>901.86443398200197</v>
      </c>
      <c r="Q56">
        <v>14957.703168</v>
      </c>
      <c r="V56" t="s">
        <v>793</v>
      </c>
      <c r="W56">
        <v>369.76816956099998</v>
      </c>
      <c r="X56">
        <v>370.01640522699699</v>
      </c>
      <c r="Y56">
        <v>16000</v>
      </c>
      <c r="AC56" t="s">
        <v>887</v>
      </c>
      <c r="AD56" t="s">
        <v>793</v>
      </c>
      <c r="AE56">
        <v>362.21633642299997</v>
      </c>
      <c r="AF56">
        <v>362.49562628899002</v>
      </c>
      <c r="AG56">
        <v>16000</v>
      </c>
      <c r="AM56" t="s">
        <v>887</v>
      </c>
      <c r="AN56" t="s">
        <v>792</v>
      </c>
      <c r="AO56">
        <v>901.07363602400005</v>
      </c>
      <c r="AP56">
        <v>901.89897075400199</v>
      </c>
      <c r="AQ56">
        <v>14957.645823999999</v>
      </c>
      <c r="AX56" t="s">
        <v>887</v>
      </c>
      <c r="AY56" t="s">
        <v>793</v>
      </c>
      <c r="AZ56">
        <v>374.22668306600002</v>
      </c>
      <c r="BA56">
        <v>374.52747056301399</v>
      </c>
      <c r="BB56">
        <v>16000</v>
      </c>
      <c r="BO56" t="s">
        <v>792</v>
      </c>
      <c r="BP56">
        <v>901.10780478699996</v>
      </c>
      <c r="BQ56">
        <v>901.852926224935</v>
      </c>
      <c r="BR56">
        <v>14957.744128</v>
      </c>
      <c r="CR56" t="s">
        <v>792</v>
      </c>
      <c r="CS56">
        <v>901.29444497199995</v>
      </c>
      <c r="CT56">
        <v>901.83782151096898</v>
      </c>
      <c r="CU56">
        <v>14957.715456</v>
      </c>
      <c r="DA56" t="s">
        <v>792</v>
      </c>
      <c r="DB56">
        <v>901.36618939000005</v>
      </c>
      <c r="DC56">
        <v>901.88174051698297</v>
      </c>
      <c r="DD56">
        <v>14957.73184</v>
      </c>
      <c r="DJ56" t="s">
        <v>792</v>
      </c>
      <c r="DK56">
        <v>901.16438963600001</v>
      </c>
      <c r="DL56">
        <v>901.85166948707695</v>
      </c>
      <c r="DM56">
        <v>14957.629440000001</v>
      </c>
    </row>
    <row r="57" spans="1:117" x14ac:dyDescent="0.2">
      <c r="A57">
        <v>700</v>
      </c>
      <c r="B57">
        <v>1</v>
      </c>
      <c r="C57" t="str">
        <f t="shared" si="0"/>
        <v>700-01</v>
      </c>
      <c r="F57" t="s">
        <v>792</v>
      </c>
      <c r="G57">
        <v>900.558986226</v>
      </c>
      <c r="H57">
        <v>901.084022922994</v>
      </c>
      <c r="I57">
        <v>10.010624</v>
      </c>
      <c r="N57" t="s">
        <v>792</v>
      </c>
      <c r="O57">
        <v>900.50223662500002</v>
      </c>
      <c r="P57">
        <v>901.033764213003</v>
      </c>
      <c r="Q57">
        <v>8.7040000000000006</v>
      </c>
      <c r="V57" t="s">
        <v>792</v>
      </c>
      <c r="W57">
        <v>900.50039672900004</v>
      </c>
      <c r="X57">
        <v>901.01357851800196</v>
      </c>
      <c r="Y57">
        <v>9.0152959999999993</v>
      </c>
      <c r="AC57" t="s">
        <v>888</v>
      </c>
      <c r="AD57" t="s">
        <v>792</v>
      </c>
      <c r="AE57">
        <v>900.44122453299997</v>
      </c>
      <c r="AF57">
        <v>901.03411935601605</v>
      </c>
      <c r="AG57">
        <v>9.9983360000000001</v>
      </c>
      <c r="AM57" t="s">
        <v>888</v>
      </c>
      <c r="AN57" t="s">
        <v>792</v>
      </c>
      <c r="AO57">
        <v>900.61743040800002</v>
      </c>
      <c r="AP57">
        <v>901.03797871299298</v>
      </c>
      <c r="AQ57">
        <v>8.7777279999999998</v>
      </c>
      <c r="AX57" t="s">
        <v>888</v>
      </c>
      <c r="AY57" t="s">
        <v>792</v>
      </c>
      <c r="AZ57">
        <v>900.63187374799998</v>
      </c>
      <c r="BA57">
        <v>901.03875547199198</v>
      </c>
      <c r="BB57">
        <v>9.2979199999999995</v>
      </c>
      <c r="BO57" t="s">
        <v>792</v>
      </c>
      <c r="BP57">
        <v>900.50229117399999</v>
      </c>
      <c r="BQ57">
        <v>901.00510025909102</v>
      </c>
      <c r="BR57">
        <v>8.7326720000000009</v>
      </c>
      <c r="CR57" t="s">
        <v>792</v>
      </c>
      <c r="CS57">
        <v>900.51065229200003</v>
      </c>
      <c r="CT57">
        <v>901.01041542598898</v>
      </c>
      <c r="CU57">
        <v>8.6507520000000007</v>
      </c>
      <c r="DA57" t="s">
        <v>792</v>
      </c>
      <c r="DB57">
        <v>900.59681933299998</v>
      </c>
      <c r="DC57">
        <v>901.01014042005397</v>
      </c>
      <c r="DD57">
        <v>8.7080959999999994</v>
      </c>
      <c r="DJ57" t="s">
        <v>792</v>
      </c>
      <c r="DK57">
        <v>900.46683156300003</v>
      </c>
      <c r="DL57">
        <v>901.00812901998802</v>
      </c>
      <c r="DM57">
        <v>8.7040000000000006</v>
      </c>
    </row>
    <row r="58" spans="1:117" x14ac:dyDescent="0.2">
      <c r="A58">
        <v>700</v>
      </c>
      <c r="B58">
        <v>2</v>
      </c>
      <c r="C58" t="str">
        <f t="shared" si="0"/>
        <v>700-02</v>
      </c>
      <c r="F58" t="s">
        <v>792</v>
      </c>
      <c r="G58">
        <v>900.46490067000002</v>
      </c>
      <c r="H58">
        <v>901.12902818299995</v>
      </c>
      <c r="I58">
        <v>13.029375999999999</v>
      </c>
      <c r="N58" t="s">
        <v>792</v>
      </c>
      <c r="O58">
        <v>900.46586124999999</v>
      </c>
      <c r="P58">
        <v>901.03070806301503</v>
      </c>
      <c r="Q58">
        <v>9.0931200000000008</v>
      </c>
      <c r="V58" t="s">
        <v>792</v>
      </c>
      <c r="W58">
        <v>900.48038974099995</v>
      </c>
      <c r="X58">
        <v>901.018754021002</v>
      </c>
      <c r="Y58">
        <v>11.85792</v>
      </c>
      <c r="AC58" t="s">
        <v>889</v>
      </c>
      <c r="AD58" t="s">
        <v>792</v>
      </c>
      <c r="AE58">
        <v>900.20509299000003</v>
      </c>
      <c r="AF58">
        <v>901.06632106099198</v>
      </c>
      <c r="AG58">
        <v>13.021184</v>
      </c>
      <c r="AM58" t="s">
        <v>889</v>
      </c>
      <c r="AN58" t="s">
        <v>792</v>
      </c>
      <c r="AO58">
        <v>900.61855696700002</v>
      </c>
      <c r="AP58">
        <v>901.04127044998995</v>
      </c>
      <c r="AQ58">
        <v>8.9620479999999993</v>
      </c>
      <c r="AX58" t="s">
        <v>889</v>
      </c>
      <c r="AY58" t="s">
        <v>792</v>
      </c>
      <c r="AZ58">
        <v>900.61639546499998</v>
      </c>
      <c r="BA58">
        <v>901.03691098201602</v>
      </c>
      <c r="BB58">
        <v>11.862016000000001</v>
      </c>
      <c r="BO58" t="s">
        <v>792</v>
      </c>
      <c r="BP58">
        <v>900.45920217000003</v>
      </c>
      <c r="BQ58">
        <v>901.00896413309897</v>
      </c>
      <c r="BR58">
        <v>9.0849279999999997</v>
      </c>
      <c r="CR58" t="s">
        <v>792</v>
      </c>
      <c r="CS58">
        <v>900.58317310400002</v>
      </c>
      <c r="CT58">
        <v>901.00710180203896</v>
      </c>
      <c r="CU58">
        <v>9.0357760000000003</v>
      </c>
      <c r="DA58" t="s">
        <v>792</v>
      </c>
      <c r="DB58">
        <v>900.59654358800003</v>
      </c>
      <c r="DC58">
        <v>901.01013837696496</v>
      </c>
      <c r="DD58">
        <v>9.0275839999999992</v>
      </c>
      <c r="DJ58" t="s">
        <v>792</v>
      </c>
      <c r="DK58">
        <v>900.45748176500001</v>
      </c>
      <c r="DL58">
        <v>901.011885624961</v>
      </c>
      <c r="DM58">
        <v>8.9907199999999996</v>
      </c>
    </row>
    <row r="59" spans="1:117" x14ac:dyDescent="0.2">
      <c r="A59">
        <v>700</v>
      </c>
      <c r="B59">
        <v>3</v>
      </c>
      <c r="C59" t="str">
        <f t="shared" si="0"/>
        <v>700-03</v>
      </c>
      <c r="F59" t="s">
        <v>793</v>
      </c>
      <c r="G59">
        <v>293.33733621800002</v>
      </c>
      <c r="H59">
        <v>293.63548066899199</v>
      </c>
      <c r="I59">
        <v>16000</v>
      </c>
      <c r="N59" t="s">
        <v>792</v>
      </c>
      <c r="O59">
        <v>900.817881693</v>
      </c>
      <c r="P59">
        <v>901.40193820701097</v>
      </c>
      <c r="Q59">
        <v>7481.1432960000002</v>
      </c>
      <c r="V59" t="s">
        <v>793</v>
      </c>
      <c r="W59">
        <v>286.19381038500001</v>
      </c>
      <c r="X59">
        <v>286.43127490699402</v>
      </c>
      <c r="Y59">
        <v>16000</v>
      </c>
      <c r="AC59" t="s">
        <v>890</v>
      </c>
      <c r="AD59" t="s">
        <v>793</v>
      </c>
      <c r="AE59">
        <v>301.40909507700002</v>
      </c>
      <c r="AF59">
        <v>301.68742976800399</v>
      </c>
      <c r="AG59">
        <v>16000</v>
      </c>
      <c r="AM59" t="s">
        <v>890</v>
      </c>
      <c r="AN59" t="s">
        <v>792</v>
      </c>
      <c r="AO59">
        <v>900.72696442999995</v>
      </c>
      <c r="AP59">
        <v>901.48826135799698</v>
      </c>
      <c r="AQ59">
        <v>7481.135104</v>
      </c>
      <c r="AX59" t="s">
        <v>890</v>
      </c>
      <c r="AY59" t="s">
        <v>793</v>
      </c>
      <c r="AZ59">
        <v>293.36675469599999</v>
      </c>
      <c r="BA59">
        <v>293.74154806399002</v>
      </c>
      <c r="BB59">
        <v>16000</v>
      </c>
      <c r="BO59" t="s">
        <v>792</v>
      </c>
      <c r="BP59">
        <v>900.78294387000005</v>
      </c>
      <c r="BQ59">
        <v>901.37799299601397</v>
      </c>
      <c r="BR59">
        <v>7481.1269119999997</v>
      </c>
      <c r="CR59" t="s">
        <v>792</v>
      </c>
      <c r="CS59">
        <v>900.80729706</v>
      </c>
      <c r="CT59">
        <v>901.39182714000299</v>
      </c>
      <c r="CU59">
        <v>7481.0654720000002</v>
      </c>
      <c r="DA59" t="s">
        <v>792</v>
      </c>
      <c r="DB59">
        <v>900.87322145799999</v>
      </c>
      <c r="DC59">
        <v>901.41016597999203</v>
      </c>
      <c r="DD59">
        <v>7481.1310080000003</v>
      </c>
      <c r="DJ59" t="s">
        <v>792</v>
      </c>
      <c r="DK59">
        <v>900.870818536</v>
      </c>
      <c r="DL59">
        <v>901.45449254591904</v>
      </c>
      <c r="DM59">
        <v>7481.1473919999999</v>
      </c>
    </row>
    <row r="60" spans="1:117" x14ac:dyDescent="0.2">
      <c r="A60">
        <v>700</v>
      </c>
      <c r="B60">
        <v>4</v>
      </c>
      <c r="C60" t="str">
        <f t="shared" si="0"/>
        <v>700-04</v>
      </c>
      <c r="F60" t="s">
        <v>793</v>
      </c>
      <c r="G60">
        <v>249.550807435</v>
      </c>
      <c r="H60">
        <v>249.78923266999399</v>
      </c>
      <c r="I60">
        <v>16000</v>
      </c>
      <c r="N60" t="s">
        <v>792</v>
      </c>
      <c r="O60">
        <v>901.219136789</v>
      </c>
      <c r="P60">
        <v>901.88881033900498</v>
      </c>
      <c r="Q60">
        <v>14920.17152</v>
      </c>
      <c r="V60" t="s">
        <v>793</v>
      </c>
      <c r="W60">
        <v>312.956914875</v>
      </c>
      <c r="X60">
        <v>313.38189569400799</v>
      </c>
      <c r="Y60">
        <v>16000</v>
      </c>
      <c r="AC60" t="s">
        <v>891</v>
      </c>
      <c r="AD60" t="s">
        <v>793</v>
      </c>
      <c r="AE60">
        <v>245.078564148</v>
      </c>
      <c r="AF60">
        <v>245.30268643598501</v>
      </c>
      <c r="AG60">
        <v>16000</v>
      </c>
      <c r="AM60" t="s">
        <v>891</v>
      </c>
      <c r="AN60" t="s">
        <v>792</v>
      </c>
      <c r="AO60">
        <v>901.12117005100004</v>
      </c>
      <c r="AP60">
        <v>901.83794928598195</v>
      </c>
      <c r="AQ60">
        <v>14920.269824000001</v>
      </c>
      <c r="AX60" t="s">
        <v>891</v>
      </c>
      <c r="AY60" t="s">
        <v>793</v>
      </c>
      <c r="AZ60">
        <v>299.48153785900001</v>
      </c>
      <c r="BA60">
        <v>299.806351167993</v>
      </c>
      <c r="BB60">
        <v>16000</v>
      </c>
      <c r="BO60" t="s">
        <v>792</v>
      </c>
      <c r="BP60">
        <v>901.19496984499995</v>
      </c>
      <c r="BQ60">
        <v>901.87063727201803</v>
      </c>
      <c r="BR60">
        <v>14920.196096</v>
      </c>
      <c r="CR60" t="s">
        <v>792</v>
      </c>
      <c r="CS60">
        <v>901.16421781899999</v>
      </c>
      <c r="CT60">
        <v>901.84773909207399</v>
      </c>
      <c r="CU60">
        <v>14920.290304</v>
      </c>
      <c r="DA60" t="s">
        <v>792</v>
      </c>
      <c r="DB60">
        <v>901.05355578399997</v>
      </c>
      <c r="DC60">
        <v>901.85747374501</v>
      </c>
      <c r="DD60">
        <v>14920.884223999999</v>
      </c>
      <c r="DJ60" t="s">
        <v>792</v>
      </c>
      <c r="DK60">
        <v>901.14629791100003</v>
      </c>
      <c r="DL60">
        <v>901.820048294961</v>
      </c>
      <c r="DM60">
        <v>14920.237056</v>
      </c>
    </row>
    <row r="61" spans="1:117" x14ac:dyDescent="0.2">
      <c r="A61">
        <v>700</v>
      </c>
      <c r="B61">
        <v>5</v>
      </c>
      <c r="C61" t="str">
        <f t="shared" si="0"/>
        <v>700-05</v>
      </c>
      <c r="F61" t="s">
        <v>793</v>
      </c>
      <c r="G61">
        <v>285.78859714499998</v>
      </c>
      <c r="H61">
        <v>286.11256474799302</v>
      </c>
      <c r="I61">
        <v>16000</v>
      </c>
      <c r="N61" t="s">
        <v>792</v>
      </c>
      <c r="O61">
        <v>900.59478191100004</v>
      </c>
      <c r="P61">
        <v>901.28035521699303</v>
      </c>
      <c r="Q61">
        <v>4038.7133439999998</v>
      </c>
      <c r="V61" t="s">
        <v>792</v>
      </c>
      <c r="W61">
        <v>900.71852880500001</v>
      </c>
      <c r="X61">
        <v>901.27883709900198</v>
      </c>
      <c r="Y61">
        <v>4239.4501120000004</v>
      </c>
      <c r="AC61" t="s">
        <v>892</v>
      </c>
      <c r="AD61" t="s">
        <v>793</v>
      </c>
      <c r="AE61">
        <v>275.43281568700002</v>
      </c>
      <c r="AF61">
        <v>275.68073296899001</v>
      </c>
      <c r="AG61">
        <v>16000</v>
      </c>
      <c r="AM61" t="s">
        <v>892</v>
      </c>
      <c r="AN61" t="s">
        <v>792</v>
      </c>
      <c r="AO61">
        <v>900.59310218300004</v>
      </c>
      <c r="AP61">
        <v>901.27271120698401</v>
      </c>
      <c r="AQ61">
        <v>4038.6396159999999</v>
      </c>
      <c r="AX61" t="s">
        <v>892</v>
      </c>
      <c r="AY61" t="s">
        <v>792</v>
      </c>
      <c r="AZ61">
        <v>900.57180929799995</v>
      </c>
      <c r="BA61">
        <v>901.28876050998201</v>
      </c>
      <c r="BB61">
        <v>4239.4378239999996</v>
      </c>
      <c r="BO61" t="s">
        <v>792</v>
      </c>
      <c r="BP61">
        <v>900.60487413099997</v>
      </c>
      <c r="BQ61">
        <v>901.27447255700804</v>
      </c>
      <c r="BR61">
        <v>4038.672384</v>
      </c>
      <c r="CR61" t="s">
        <v>792</v>
      </c>
      <c r="CS61">
        <v>900.64450301299996</v>
      </c>
      <c r="CT61">
        <v>901.26846702001001</v>
      </c>
      <c r="CU61">
        <v>4038.705152</v>
      </c>
      <c r="DA61" t="s">
        <v>792</v>
      </c>
      <c r="DB61">
        <v>900.65393314599999</v>
      </c>
      <c r="DC61">
        <v>901.300209690001</v>
      </c>
      <c r="DD61">
        <v>4038.7010559999999</v>
      </c>
      <c r="DJ61" t="s">
        <v>792</v>
      </c>
      <c r="DK61">
        <v>900.59984495799995</v>
      </c>
      <c r="DL61">
        <v>901.24344787304199</v>
      </c>
      <c r="DM61">
        <v>4038.6682879999998</v>
      </c>
    </row>
    <row r="62" spans="1:117" x14ac:dyDescent="0.2">
      <c r="A62">
        <v>700</v>
      </c>
      <c r="B62">
        <v>6</v>
      </c>
      <c r="C62" t="str">
        <f t="shared" si="0"/>
        <v>700-06</v>
      </c>
      <c r="F62" t="s">
        <v>793</v>
      </c>
      <c r="G62">
        <v>322.90458121400002</v>
      </c>
      <c r="H62">
        <v>323.17770831700102</v>
      </c>
      <c r="I62">
        <v>16000</v>
      </c>
      <c r="N62" t="s">
        <v>792</v>
      </c>
      <c r="O62">
        <v>900.83542049899995</v>
      </c>
      <c r="P62">
        <v>901.63680053700205</v>
      </c>
      <c r="Q62">
        <v>10440.908799999999</v>
      </c>
      <c r="V62" t="s">
        <v>793</v>
      </c>
      <c r="W62">
        <v>303.73298263800001</v>
      </c>
      <c r="X62">
        <v>303.953750582993</v>
      </c>
      <c r="Y62">
        <v>16000</v>
      </c>
      <c r="AC62" t="s">
        <v>893</v>
      </c>
      <c r="AD62" t="s">
        <v>793</v>
      </c>
      <c r="AE62">
        <v>334.769823761</v>
      </c>
      <c r="AF62">
        <v>335.07163634101698</v>
      </c>
      <c r="AG62">
        <v>16000</v>
      </c>
      <c r="AM62" t="s">
        <v>893</v>
      </c>
      <c r="AN62" t="s">
        <v>792</v>
      </c>
      <c r="AO62">
        <v>900.87606576400003</v>
      </c>
      <c r="AP62">
        <v>901.67245766898805</v>
      </c>
      <c r="AQ62">
        <v>10440.806399999999</v>
      </c>
      <c r="AX62" t="s">
        <v>893</v>
      </c>
      <c r="AY62" t="s">
        <v>793</v>
      </c>
      <c r="AZ62">
        <v>316.588640446</v>
      </c>
      <c r="BA62">
        <v>316.87192705902203</v>
      </c>
      <c r="BB62">
        <v>16000</v>
      </c>
      <c r="BO62" t="s">
        <v>792</v>
      </c>
      <c r="BP62">
        <v>900.96338216499998</v>
      </c>
      <c r="BQ62">
        <v>901.63291744608398</v>
      </c>
      <c r="BR62">
        <v>10440.876032</v>
      </c>
      <c r="CR62" t="s">
        <v>792</v>
      </c>
      <c r="CS62">
        <v>900.96810134299994</v>
      </c>
      <c r="CT62">
        <v>901.62931908702001</v>
      </c>
      <c r="CU62">
        <v>10440.830975999999</v>
      </c>
      <c r="DA62" t="s">
        <v>792</v>
      </c>
      <c r="DB62">
        <v>901.01251458599995</v>
      </c>
      <c r="DC62">
        <v>901.63665471307399</v>
      </c>
      <c r="DD62">
        <v>10451.075072</v>
      </c>
      <c r="DJ62" t="s">
        <v>792</v>
      </c>
      <c r="DK62">
        <v>900.87533863600004</v>
      </c>
      <c r="DL62">
        <v>901.60006891598402</v>
      </c>
      <c r="DM62">
        <v>10440.851456</v>
      </c>
    </row>
    <row r="63" spans="1:117" x14ac:dyDescent="0.2">
      <c r="A63">
        <v>700</v>
      </c>
      <c r="B63">
        <v>7</v>
      </c>
      <c r="C63" t="str">
        <f t="shared" si="0"/>
        <v>700-07</v>
      </c>
      <c r="F63" t="s">
        <v>792</v>
      </c>
      <c r="G63">
        <v>900.60978712099995</v>
      </c>
      <c r="H63">
        <v>901.02594699800795</v>
      </c>
      <c r="I63">
        <v>8.8350720000000003</v>
      </c>
      <c r="N63" t="s">
        <v>792</v>
      </c>
      <c r="O63">
        <v>900.530281995</v>
      </c>
      <c r="P63">
        <v>901.03803430401604</v>
      </c>
      <c r="Q63">
        <v>8.8309759999999997</v>
      </c>
      <c r="V63" t="s">
        <v>792</v>
      </c>
      <c r="W63">
        <v>900.22922961300003</v>
      </c>
      <c r="X63">
        <v>901.01633215599497</v>
      </c>
      <c r="Y63">
        <v>8.8023039999999995</v>
      </c>
      <c r="AC63" t="s">
        <v>894</v>
      </c>
      <c r="AD63" t="s">
        <v>792</v>
      </c>
      <c r="AE63">
        <v>900.58257210299996</v>
      </c>
      <c r="AF63">
        <v>901.03529263799999</v>
      </c>
      <c r="AG63">
        <v>8.8268799999999992</v>
      </c>
      <c r="AM63" t="s">
        <v>894</v>
      </c>
      <c r="AN63" t="s">
        <v>792</v>
      </c>
      <c r="AO63">
        <v>900.56319834700003</v>
      </c>
      <c r="AP63">
        <v>901.04217433399697</v>
      </c>
      <c r="AQ63">
        <v>8.8350720000000003</v>
      </c>
      <c r="AX63" t="s">
        <v>894</v>
      </c>
      <c r="AY63" t="s">
        <v>792</v>
      </c>
      <c r="AZ63">
        <v>900.56790247599997</v>
      </c>
      <c r="BA63">
        <v>901.03301268900395</v>
      </c>
      <c r="BB63">
        <v>8.8432639999999996</v>
      </c>
      <c r="BO63" t="s">
        <v>792</v>
      </c>
      <c r="BP63">
        <v>900.46793706000005</v>
      </c>
      <c r="BQ63">
        <v>901.008607990923</v>
      </c>
      <c r="BR63">
        <v>8.8309759999999997</v>
      </c>
      <c r="CR63" t="s">
        <v>792</v>
      </c>
      <c r="CS63">
        <v>900.48042937399998</v>
      </c>
      <c r="CT63">
        <v>901.00717591703801</v>
      </c>
      <c r="CU63">
        <v>8.8432639999999996</v>
      </c>
      <c r="DA63" t="s">
        <v>792</v>
      </c>
      <c r="DB63">
        <v>900.50024757200003</v>
      </c>
      <c r="DC63">
        <v>901.00870194495599</v>
      </c>
      <c r="DD63">
        <v>8.8104960000000005</v>
      </c>
      <c r="DJ63" t="s">
        <v>792</v>
      </c>
      <c r="DK63">
        <v>900.51308190700001</v>
      </c>
      <c r="DL63">
        <v>901.00790326204105</v>
      </c>
      <c r="DM63">
        <v>8.7900159999999996</v>
      </c>
    </row>
    <row r="64" spans="1:117" x14ac:dyDescent="0.2">
      <c r="A64">
        <v>700</v>
      </c>
      <c r="B64">
        <v>8</v>
      </c>
      <c r="C64" t="str">
        <f t="shared" si="0"/>
        <v>700-08</v>
      </c>
      <c r="F64" t="s">
        <v>793</v>
      </c>
      <c r="G64">
        <v>389.454860408</v>
      </c>
      <c r="H64">
        <v>389.76810542799598</v>
      </c>
      <c r="I64">
        <v>16000</v>
      </c>
      <c r="N64" t="s">
        <v>792</v>
      </c>
      <c r="O64">
        <v>901.16467461299999</v>
      </c>
      <c r="P64">
        <v>901.89499498298301</v>
      </c>
      <c r="Q64">
        <v>15194.304512000001</v>
      </c>
      <c r="V64" t="s">
        <v>793</v>
      </c>
      <c r="W64">
        <v>774.70450910600005</v>
      </c>
      <c r="X64">
        <v>775.21392034499104</v>
      </c>
      <c r="Y64">
        <v>16000</v>
      </c>
      <c r="AC64" t="s">
        <v>895</v>
      </c>
      <c r="AD64" t="s">
        <v>793</v>
      </c>
      <c r="AE64">
        <v>374.39203918700002</v>
      </c>
      <c r="AF64">
        <v>374.69719369700698</v>
      </c>
      <c r="AG64">
        <v>16000</v>
      </c>
      <c r="AM64" t="s">
        <v>895</v>
      </c>
      <c r="AN64" t="s">
        <v>792</v>
      </c>
      <c r="AO64">
        <v>901.26092959599998</v>
      </c>
      <c r="AP64">
        <v>901.90428954400704</v>
      </c>
      <c r="AQ64">
        <v>15194.312704</v>
      </c>
      <c r="AX64" t="s">
        <v>895</v>
      </c>
      <c r="AY64" t="s">
        <v>793</v>
      </c>
      <c r="AZ64">
        <v>808.36159149299999</v>
      </c>
      <c r="BA64">
        <v>808.98328274299195</v>
      </c>
      <c r="BB64">
        <v>16000</v>
      </c>
      <c r="BO64" t="s">
        <v>792</v>
      </c>
      <c r="BP64">
        <v>901.10121664300004</v>
      </c>
      <c r="BQ64">
        <v>901.81500745099004</v>
      </c>
      <c r="BR64">
        <v>15194.312704</v>
      </c>
      <c r="CR64" t="s">
        <v>792</v>
      </c>
      <c r="CS64">
        <v>901.15391963800005</v>
      </c>
      <c r="CT64">
        <v>901.80265065794799</v>
      </c>
      <c r="CU64">
        <v>15194.247168</v>
      </c>
      <c r="DA64" t="s">
        <v>792</v>
      </c>
      <c r="DB64">
        <v>901.08134736299996</v>
      </c>
      <c r="DC64">
        <v>901.78517455502799</v>
      </c>
      <c r="DD64">
        <v>15194.259456</v>
      </c>
      <c r="DJ64" t="s">
        <v>792</v>
      </c>
      <c r="DK64">
        <v>901.22293661599997</v>
      </c>
      <c r="DL64">
        <v>901.89076676697005</v>
      </c>
      <c r="DM64">
        <v>15194.27584</v>
      </c>
    </row>
    <row r="65" spans="1:117" x14ac:dyDescent="0.2">
      <c r="A65">
        <v>700</v>
      </c>
      <c r="B65">
        <v>9</v>
      </c>
      <c r="C65" t="str">
        <f t="shared" si="0"/>
        <v>700-09</v>
      </c>
      <c r="F65" t="s">
        <v>793</v>
      </c>
      <c r="G65">
        <v>281.06064777300003</v>
      </c>
      <c r="H65">
        <v>281.29967864899601</v>
      </c>
      <c r="I65">
        <v>16000</v>
      </c>
      <c r="N65" t="s">
        <v>792</v>
      </c>
      <c r="O65">
        <v>900.83089783699995</v>
      </c>
      <c r="P65">
        <v>901.50914470999805</v>
      </c>
      <c r="Q65">
        <v>9182.6954239999995</v>
      </c>
      <c r="V65" t="s">
        <v>793</v>
      </c>
      <c r="W65">
        <v>407.01583859099998</v>
      </c>
      <c r="X65">
        <v>407.339545683003</v>
      </c>
      <c r="Y65">
        <v>16000</v>
      </c>
      <c r="AC65" t="s">
        <v>896</v>
      </c>
      <c r="AD65" t="s">
        <v>793</v>
      </c>
      <c r="AE65">
        <v>285.26687088199998</v>
      </c>
      <c r="AF65">
        <v>285.53325105499198</v>
      </c>
      <c r="AG65">
        <v>16000</v>
      </c>
      <c r="AM65" t="s">
        <v>896</v>
      </c>
      <c r="AN65" t="s">
        <v>792</v>
      </c>
      <c r="AO65">
        <v>900.92642051899998</v>
      </c>
      <c r="AP65">
        <v>901.61061423999399</v>
      </c>
      <c r="AQ65">
        <v>9631.8750720000007</v>
      </c>
      <c r="AX65" t="s">
        <v>896</v>
      </c>
      <c r="AY65" t="s">
        <v>793</v>
      </c>
      <c r="AZ65">
        <v>420.396835082</v>
      </c>
      <c r="BA65">
        <v>420.74552666101903</v>
      </c>
      <c r="BB65">
        <v>16000</v>
      </c>
      <c r="BO65" t="s">
        <v>792</v>
      </c>
      <c r="BP65">
        <v>900.81291317199998</v>
      </c>
      <c r="BQ65">
        <v>901.47988291806496</v>
      </c>
      <c r="BR65">
        <v>9501.0078720000001</v>
      </c>
      <c r="CR65" t="s">
        <v>792</v>
      </c>
      <c r="CS65">
        <v>900.79058810599997</v>
      </c>
      <c r="CT65">
        <v>901.39892612001802</v>
      </c>
      <c r="CU65">
        <v>7963.6070399999999</v>
      </c>
      <c r="DA65" t="s">
        <v>792</v>
      </c>
      <c r="DB65">
        <v>900.75299916100005</v>
      </c>
      <c r="DC65">
        <v>901.41710793902098</v>
      </c>
      <c r="DD65">
        <v>7922.4381439999997</v>
      </c>
      <c r="DJ65" t="s">
        <v>792</v>
      </c>
      <c r="DK65">
        <v>900.74501798699998</v>
      </c>
      <c r="DL65">
        <v>901.41923536604702</v>
      </c>
      <c r="DM65">
        <v>7685.9351040000001</v>
      </c>
    </row>
    <row r="66" spans="1:117" x14ac:dyDescent="0.2">
      <c r="A66">
        <v>800</v>
      </c>
      <c r="B66">
        <v>1</v>
      </c>
      <c r="C66" t="str">
        <f t="shared" si="0"/>
        <v>800-01</v>
      </c>
      <c r="F66" t="s">
        <v>792</v>
      </c>
      <c r="G66">
        <v>900.747725242</v>
      </c>
      <c r="H66">
        <v>901.07607022000502</v>
      </c>
      <c r="I66">
        <v>773.42310399999997</v>
      </c>
      <c r="N66" t="s">
        <v>792</v>
      </c>
      <c r="O66">
        <v>900.59338947100002</v>
      </c>
      <c r="P66">
        <v>901.17352330201504</v>
      </c>
      <c r="Q66">
        <v>2270.3349760000001</v>
      </c>
      <c r="V66" t="s">
        <v>793</v>
      </c>
      <c r="W66">
        <v>338.11041963000002</v>
      </c>
      <c r="X66">
        <v>338.52005690798899</v>
      </c>
      <c r="Y66">
        <v>16000</v>
      </c>
      <c r="AC66" t="s">
        <v>897</v>
      </c>
      <c r="AD66" t="s">
        <v>792</v>
      </c>
      <c r="AE66">
        <v>900.59894763700004</v>
      </c>
      <c r="AF66">
        <v>901.08534406500905</v>
      </c>
      <c r="AG66">
        <v>773.341184</v>
      </c>
      <c r="AM66" t="s">
        <v>897</v>
      </c>
      <c r="AN66" t="s">
        <v>792</v>
      </c>
      <c r="AO66">
        <v>900.70924787000001</v>
      </c>
      <c r="AP66">
        <v>901.22369283699595</v>
      </c>
      <c r="AQ66">
        <v>2270.2407680000001</v>
      </c>
      <c r="AX66" t="s">
        <v>897</v>
      </c>
      <c r="AY66" t="s">
        <v>793</v>
      </c>
      <c r="AZ66">
        <v>326.96078279199997</v>
      </c>
      <c r="BA66">
        <v>327.225023341976</v>
      </c>
      <c r="BB66">
        <v>16000</v>
      </c>
      <c r="BO66" t="s">
        <v>792</v>
      </c>
      <c r="BP66">
        <v>900.57197914200003</v>
      </c>
      <c r="BQ66">
        <v>901.13424479297805</v>
      </c>
      <c r="BR66">
        <v>2270.3185920000001</v>
      </c>
      <c r="CR66" t="s">
        <v>792</v>
      </c>
      <c r="CS66">
        <v>900.59728063800003</v>
      </c>
      <c r="CT66">
        <v>901.13256557204295</v>
      </c>
      <c r="CU66">
        <v>2270.33088</v>
      </c>
      <c r="DA66" t="s">
        <v>792</v>
      </c>
      <c r="DB66">
        <v>900.58275659900005</v>
      </c>
      <c r="DC66">
        <v>901.13823127001501</v>
      </c>
      <c r="DD66">
        <v>2270.2489599999999</v>
      </c>
      <c r="DJ66" t="s">
        <v>792</v>
      </c>
      <c r="DK66">
        <v>900.59532242499995</v>
      </c>
      <c r="DL66">
        <v>901.14092845201901</v>
      </c>
      <c r="DM66">
        <v>2270.3103999999998</v>
      </c>
    </row>
    <row r="67" spans="1:117" x14ac:dyDescent="0.2">
      <c r="A67">
        <v>800</v>
      </c>
      <c r="B67">
        <v>2</v>
      </c>
      <c r="C67" t="str">
        <f t="shared" si="0"/>
        <v>800-02</v>
      </c>
      <c r="F67" t="s">
        <v>792</v>
      </c>
      <c r="G67">
        <v>900.71895856699996</v>
      </c>
      <c r="H67">
        <v>901.08056301501301</v>
      </c>
      <c r="I67">
        <v>833.937408</v>
      </c>
      <c r="N67" t="s">
        <v>792</v>
      </c>
      <c r="O67">
        <v>900.76434255100003</v>
      </c>
      <c r="P67">
        <v>901.04010409102102</v>
      </c>
      <c r="Q67">
        <v>21.540863999999999</v>
      </c>
      <c r="V67" t="s">
        <v>792</v>
      </c>
      <c r="W67">
        <v>900.56674167200003</v>
      </c>
      <c r="X67">
        <v>901.020062363997</v>
      </c>
      <c r="Y67">
        <v>43.130879999999998</v>
      </c>
      <c r="AC67" t="s">
        <v>898</v>
      </c>
      <c r="AD67" t="s">
        <v>792</v>
      </c>
      <c r="AE67">
        <v>900.29491190199997</v>
      </c>
      <c r="AF67">
        <v>901.08383697000602</v>
      </c>
      <c r="AG67">
        <v>833.94969600000002</v>
      </c>
      <c r="AM67" t="s">
        <v>898</v>
      </c>
      <c r="AN67" t="s">
        <v>792</v>
      </c>
      <c r="AO67">
        <v>900.71652265700004</v>
      </c>
      <c r="AP67">
        <v>901.04559599998095</v>
      </c>
      <c r="AQ67">
        <v>21.54496</v>
      </c>
      <c r="AX67" t="s">
        <v>898</v>
      </c>
      <c r="AY67" t="s">
        <v>792</v>
      </c>
      <c r="AZ67">
        <v>900.69381047399997</v>
      </c>
      <c r="BA67">
        <v>901.03984410600901</v>
      </c>
      <c r="BB67">
        <v>43.040768</v>
      </c>
      <c r="BO67" t="s">
        <v>792</v>
      </c>
      <c r="BP67">
        <v>900.49941701900002</v>
      </c>
      <c r="BQ67">
        <v>901.00845245702601</v>
      </c>
      <c r="BR67">
        <v>22.220800000000001</v>
      </c>
      <c r="CR67" t="s">
        <v>792</v>
      </c>
      <c r="CS67">
        <v>900.62255146799998</v>
      </c>
      <c r="CT67">
        <v>901.01824757200598</v>
      </c>
      <c r="CU67">
        <v>21.209088000000001</v>
      </c>
      <c r="DA67" t="s">
        <v>792</v>
      </c>
      <c r="DB67">
        <v>900.63863793400003</v>
      </c>
      <c r="DC67">
        <v>901.00973476900197</v>
      </c>
      <c r="DD67">
        <v>20.496383999999999</v>
      </c>
      <c r="DJ67" t="s">
        <v>792</v>
      </c>
      <c r="DK67">
        <v>900.58864962500002</v>
      </c>
      <c r="DL67">
        <v>901.04442958103004</v>
      </c>
      <c r="DM67">
        <v>21.307392</v>
      </c>
    </row>
    <row r="68" spans="1:117" x14ac:dyDescent="0.2">
      <c r="A68">
        <v>800</v>
      </c>
      <c r="B68">
        <v>3</v>
      </c>
      <c r="C68" t="str">
        <f t="shared" ref="C68:C131" si="1">A68&amp;"-0"&amp;B68</f>
        <v>800-03</v>
      </c>
      <c r="F68" t="s">
        <v>793</v>
      </c>
      <c r="G68">
        <v>388.24685687499999</v>
      </c>
      <c r="H68">
        <v>388.55899283199602</v>
      </c>
      <c r="I68">
        <v>16000</v>
      </c>
      <c r="N68" t="s">
        <v>792</v>
      </c>
      <c r="O68">
        <v>900.77478885999994</v>
      </c>
      <c r="P68">
        <v>901.06763006199606</v>
      </c>
      <c r="Q68">
        <v>304.66457600000001</v>
      </c>
      <c r="V68" t="s">
        <v>792</v>
      </c>
      <c r="W68">
        <v>900.520092901</v>
      </c>
      <c r="X68">
        <v>901.05229370899895</v>
      </c>
      <c r="Y68">
        <v>575.19308799999999</v>
      </c>
      <c r="AC68" t="s">
        <v>899</v>
      </c>
      <c r="AD68" t="s">
        <v>793</v>
      </c>
      <c r="AE68">
        <v>359.24753006700001</v>
      </c>
      <c r="AF68">
        <v>359.51802508698802</v>
      </c>
      <c r="AG68">
        <v>16000</v>
      </c>
      <c r="AM68" t="s">
        <v>899</v>
      </c>
      <c r="AN68" t="s">
        <v>792</v>
      </c>
      <c r="AO68">
        <v>900.76153183400004</v>
      </c>
      <c r="AP68">
        <v>901.07032417799905</v>
      </c>
      <c r="AQ68">
        <v>304.75059199999998</v>
      </c>
      <c r="AX68" t="s">
        <v>899</v>
      </c>
      <c r="AY68" t="s">
        <v>792</v>
      </c>
      <c r="AZ68">
        <v>900.752875668</v>
      </c>
      <c r="BA68">
        <v>901.078222715994</v>
      </c>
      <c r="BB68">
        <v>575.27910399999996</v>
      </c>
      <c r="BO68" t="s">
        <v>792</v>
      </c>
      <c r="BP68">
        <v>900.624308348</v>
      </c>
      <c r="BQ68">
        <v>901.03202530497197</v>
      </c>
      <c r="BR68">
        <v>304.72601600000002</v>
      </c>
      <c r="CR68" t="s">
        <v>792</v>
      </c>
      <c r="CS68">
        <v>900.71774383299999</v>
      </c>
      <c r="CT68">
        <v>901.03302094596404</v>
      </c>
      <c r="CU68">
        <v>304.72192000000001</v>
      </c>
      <c r="DA68" t="s">
        <v>792</v>
      </c>
      <c r="DB68">
        <v>900.65382936900005</v>
      </c>
      <c r="DC68">
        <v>901.03514161996998</v>
      </c>
      <c r="DD68">
        <v>304.68505599999997</v>
      </c>
      <c r="DJ68" t="s">
        <v>792</v>
      </c>
      <c r="DK68">
        <v>900.66726069699996</v>
      </c>
      <c r="DL68">
        <v>901.03770518500801</v>
      </c>
      <c r="DM68">
        <v>304.766976</v>
      </c>
    </row>
    <row r="69" spans="1:117" ht="16" x14ac:dyDescent="0.2">
      <c r="A69">
        <v>800</v>
      </c>
      <c r="B69">
        <v>4</v>
      </c>
      <c r="C69" t="str">
        <f t="shared" si="1"/>
        <v>800-04</v>
      </c>
      <c r="F69" t="s">
        <v>792</v>
      </c>
      <c r="G69">
        <v>900.79553403800003</v>
      </c>
      <c r="H69">
        <v>901.24594123299096</v>
      </c>
      <c r="I69">
        <v>2636.017664</v>
      </c>
      <c r="K69">
        <v>932521398</v>
      </c>
      <c r="N69" t="s">
        <v>792</v>
      </c>
      <c r="O69">
        <v>900.36739830299996</v>
      </c>
      <c r="P69">
        <v>901.03030952299002</v>
      </c>
      <c r="Q69">
        <v>14.729215999999999</v>
      </c>
      <c r="S69">
        <v>932521398</v>
      </c>
      <c r="V69" t="s">
        <v>792</v>
      </c>
      <c r="W69">
        <v>900.21254110500001</v>
      </c>
      <c r="X69">
        <v>901.01347341299697</v>
      </c>
      <c r="Y69">
        <v>17.87904</v>
      </c>
      <c r="AC69" t="s">
        <v>900</v>
      </c>
      <c r="AD69" t="s">
        <v>792</v>
      </c>
      <c r="AE69">
        <v>900.66301364499998</v>
      </c>
      <c r="AF69">
        <v>901.22160377699697</v>
      </c>
      <c r="AG69">
        <v>2636.0872960000002</v>
      </c>
      <c r="AI69" s="5">
        <v>932521398</v>
      </c>
      <c r="AJ69">
        <v>5.0760600000000003E-2</v>
      </c>
      <c r="AK69" s="1">
        <v>1.57131E-17</v>
      </c>
      <c r="AL69" s="1"/>
      <c r="AM69" s="1" t="s">
        <v>900</v>
      </c>
      <c r="AN69" t="s">
        <v>792</v>
      </c>
      <c r="AO69">
        <v>900.52037272099994</v>
      </c>
      <c r="AP69">
        <v>901.044924782007</v>
      </c>
      <c r="AQ69">
        <v>14.598144</v>
      </c>
      <c r="AX69" s="1" t="s">
        <v>900</v>
      </c>
      <c r="AY69" t="s">
        <v>792</v>
      </c>
      <c r="AZ69">
        <v>900.56751756699998</v>
      </c>
      <c r="BA69">
        <v>901.040271224977</v>
      </c>
      <c r="BB69">
        <v>17.887232000000001</v>
      </c>
      <c r="BO69" t="s">
        <v>792</v>
      </c>
      <c r="BP69">
        <v>766.40381918699995</v>
      </c>
      <c r="BQ69">
        <v>931.25027328799399</v>
      </c>
      <c r="BR69">
        <v>14.782463999999999</v>
      </c>
      <c r="CR69" t="s">
        <v>792</v>
      </c>
      <c r="CS69">
        <v>764.04896302500003</v>
      </c>
      <c r="CT69">
        <v>931.20949815097197</v>
      </c>
      <c r="CU69">
        <v>14.766080000000001</v>
      </c>
      <c r="DA69" t="s">
        <v>792</v>
      </c>
      <c r="DB69">
        <v>900.73212455999999</v>
      </c>
      <c r="DC69">
        <v>901.00802041403904</v>
      </c>
      <c r="DD69">
        <v>14.78656</v>
      </c>
      <c r="DJ69" t="s">
        <v>792</v>
      </c>
      <c r="DK69">
        <v>900.70496959299999</v>
      </c>
      <c r="DL69">
        <v>901.01066066604096</v>
      </c>
      <c r="DM69">
        <v>14.815232</v>
      </c>
    </row>
    <row r="70" spans="1:117" x14ac:dyDescent="0.2">
      <c r="A70">
        <v>800</v>
      </c>
      <c r="B70">
        <v>5</v>
      </c>
      <c r="C70" t="str">
        <f t="shared" si="1"/>
        <v>800-05</v>
      </c>
      <c r="F70" t="s">
        <v>792</v>
      </c>
      <c r="G70">
        <v>900.46162750500002</v>
      </c>
      <c r="H70">
        <v>901.04810110700703</v>
      </c>
      <c r="I70">
        <v>219.46368000000001</v>
      </c>
      <c r="N70" t="s">
        <v>792</v>
      </c>
      <c r="O70">
        <v>900.71788433300003</v>
      </c>
      <c r="P70">
        <v>901.03653880098102</v>
      </c>
      <c r="Q70">
        <v>15.904768000000001</v>
      </c>
      <c r="V70" t="s">
        <v>792</v>
      </c>
      <c r="W70">
        <v>900.61358619999999</v>
      </c>
      <c r="X70">
        <v>901.01986639900099</v>
      </c>
      <c r="Y70">
        <v>27.627520000000001</v>
      </c>
      <c r="AC70" t="s">
        <v>901</v>
      </c>
      <c r="AD70" t="s">
        <v>792</v>
      </c>
      <c r="AE70">
        <v>900.53138542600004</v>
      </c>
      <c r="AF70">
        <v>901.05469233202098</v>
      </c>
      <c r="AG70">
        <v>219.52511999999999</v>
      </c>
      <c r="AM70" t="s">
        <v>901</v>
      </c>
      <c r="AN70" t="s">
        <v>792</v>
      </c>
      <c r="AO70">
        <v>900.62532965900004</v>
      </c>
      <c r="AP70">
        <v>901.04351359501004</v>
      </c>
      <c r="AQ70">
        <v>15.937536</v>
      </c>
      <c r="AX70" t="s">
        <v>901</v>
      </c>
      <c r="AY70" t="s">
        <v>792</v>
      </c>
      <c r="AZ70">
        <v>900.70315056799996</v>
      </c>
      <c r="BA70">
        <v>901.03877157601505</v>
      </c>
      <c r="BB70">
        <v>27.570176</v>
      </c>
      <c r="BO70" t="s">
        <v>792</v>
      </c>
      <c r="BP70">
        <v>900.74325966200001</v>
      </c>
      <c r="BQ70">
        <v>901.00699049490504</v>
      </c>
      <c r="BR70">
        <v>16.130047999999999</v>
      </c>
      <c r="CR70" t="s">
        <v>792</v>
      </c>
      <c r="CS70">
        <v>900.73495251099996</v>
      </c>
      <c r="CT70">
        <v>901.00998031999904</v>
      </c>
      <c r="CU70">
        <v>16.162815999999999</v>
      </c>
      <c r="DA70" t="s">
        <v>792</v>
      </c>
      <c r="DB70">
        <v>900.76904848100003</v>
      </c>
      <c r="DC70">
        <v>901.01181169901895</v>
      </c>
      <c r="DD70">
        <v>16.039936000000001</v>
      </c>
      <c r="DJ70" t="s">
        <v>792</v>
      </c>
      <c r="DK70">
        <v>900.63500809000004</v>
      </c>
      <c r="DL70">
        <v>901.01171580597202</v>
      </c>
      <c r="DM70">
        <v>15.925248</v>
      </c>
    </row>
    <row r="71" spans="1:117" x14ac:dyDescent="0.2">
      <c r="A71">
        <v>800</v>
      </c>
      <c r="B71">
        <v>6</v>
      </c>
      <c r="C71" t="str">
        <f t="shared" si="1"/>
        <v>800-06</v>
      </c>
      <c r="F71" t="s">
        <v>793</v>
      </c>
      <c r="G71">
        <v>418.17396400199999</v>
      </c>
      <c r="H71">
        <v>418.54044433802397</v>
      </c>
      <c r="I71">
        <v>16000</v>
      </c>
      <c r="N71" t="s">
        <v>792</v>
      </c>
      <c r="O71">
        <v>900.92288983799995</v>
      </c>
      <c r="P71">
        <v>901.46204786200497</v>
      </c>
      <c r="Q71">
        <v>7357.6366079999998</v>
      </c>
      <c r="V71" t="s">
        <v>793</v>
      </c>
      <c r="W71">
        <v>373.31515100199999</v>
      </c>
      <c r="X71">
        <v>373.639538270988</v>
      </c>
      <c r="Y71">
        <v>16000</v>
      </c>
      <c r="AC71" t="s">
        <v>902</v>
      </c>
      <c r="AD71" t="s">
        <v>793</v>
      </c>
      <c r="AE71">
        <v>410.08142751999998</v>
      </c>
      <c r="AF71">
        <v>410.41905903798698</v>
      </c>
      <c r="AG71">
        <v>16000</v>
      </c>
      <c r="AM71" t="s">
        <v>902</v>
      </c>
      <c r="AN71" t="s">
        <v>792</v>
      </c>
      <c r="AO71">
        <v>900.97381410599996</v>
      </c>
      <c r="AP71">
        <v>901.51999042698299</v>
      </c>
      <c r="AQ71">
        <v>7359.2872960000004</v>
      </c>
      <c r="AX71" t="s">
        <v>902</v>
      </c>
      <c r="AY71" t="s">
        <v>793</v>
      </c>
      <c r="AZ71">
        <v>330.98709936</v>
      </c>
      <c r="BA71">
        <v>331.21745980301</v>
      </c>
      <c r="BB71">
        <v>16000</v>
      </c>
      <c r="BO71" t="s">
        <v>792</v>
      </c>
      <c r="BP71">
        <v>901.02640055699999</v>
      </c>
      <c r="BQ71">
        <v>901.50836065399903</v>
      </c>
      <c r="BR71">
        <v>7359.746048</v>
      </c>
      <c r="CR71" t="s">
        <v>792</v>
      </c>
      <c r="CS71">
        <v>900.99700812799995</v>
      </c>
      <c r="CT71">
        <v>901.48432171891898</v>
      </c>
      <c r="CU71">
        <v>7359.9795199999999</v>
      </c>
      <c r="DA71" t="s">
        <v>792</v>
      </c>
      <c r="DB71">
        <v>901.00510948700003</v>
      </c>
      <c r="DC71">
        <v>901.48049541504497</v>
      </c>
      <c r="DD71">
        <v>7359.9713279999996</v>
      </c>
      <c r="DJ71" t="s">
        <v>792</v>
      </c>
      <c r="DK71">
        <v>901.07104590799997</v>
      </c>
      <c r="DL71">
        <v>901.48255861504003</v>
      </c>
      <c r="DM71">
        <v>7359.9877120000001</v>
      </c>
    </row>
    <row r="72" spans="1:117" x14ac:dyDescent="0.2">
      <c r="A72">
        <v>800</v>
      </c>
      <c r="B72">
        <v>7</v>
      </c>
      <c r="C72" t="str">
        <f t="shared" si="1"/>
        <v>800-07</v>
      </c>
      <c r="F72" t="s">
        <v>793</v>
      </c>
      <c r="G72">
        <v>347.07468112499998</v>
      </c>
      <c r="H72">
        <v>347.32907012099099</v>
      </c>
      <c r="I72">
        <v>16000</v>
      </c>
      <c r="N72" t="s">
        <v>792</v>
      </c>
      <c r="O72">
        <v>901.006662054</v>
      </c>
      <c r="P72">
        <v>902.25042208199704</v>
      </c>
      <c r="Q72">
        <v>65.716223999999997</v>
      </c>
      <c r="S72">
        <v>197335339</v>
      </c>
      <c r="V72" t="s">
        <v>792</v>
      </c>
      <c r="W72">
        <v>901.15994709999995</v>
      </c>
      <c r="X72">
        <v>902.67349762399601</v>
      </c>
      <c r="Y72">
        <v>2277.5562239999999</v>
      </c>
      <c r="AC72" t="s">
        <v>903</v>
      </c>
      <c r="AD72" t="s">
        <v>793</v>
      </c>
      <c r="AE72">
        <v>372.54315026699999</v>
      </c>
      <c r="AF72">
        <v>372.85512069900801</v>
      </c>
      <c r="AG72">
        <v>16000</v>
      </c>
      <c r="AM72" t="s">
        <v>903</v>
      </c>
      <c r="AN72" t="s">
        <v>792</v>
      </c>
      <c r="AO72">
        <v>900.19326328299996</v>
      </c>
      <c r="AP72">
        <v>901.04503862099898</v>
      </c>
      <c r="AQ72">
        <v>65.736704000000003</v>
      </c>
      <c r="AS72">
        <v>197335339</v>
      </c>
      <c r="AT72">
        <v>189.358</v>
      </c>
      <c r="AU72" s="1">
        <v>1.44159E-6</v>
      </c>
      <c r="AV72" s="1"/>
      <c r="AW72" s="1"/>
      <c r="AX72" t="s">
        <v>903</v>
      </c>
      <c r="AY72" t="s">
        <v>792</v>
      </c>
      <c r="AZ72">
        <v>900.58493330700003</v>
      </c>
      <c r="BA72">
        <v>901.23331887999598</v>
      </c>
      <c r="BB72">
        <v>2277.56032</v>
      </c>
      <c r="BE72">
        <v>197335339</v>
      </c>
      <c r="BF72">
        <v>194.20699999999999</v>
      </c>
      <c r="BG72" s="1">
        <v>1.44159E-6</v>
      </c>
      <c r="BO72" t="s">
        <v>792</v>
      </c>
      <c r="BP72">
        <v>219.804795552</v>
      </c>
      <c r="BQ72">
        <v>931.12504823203199</v>
      </c>
      <c r="BR72">
        <v>65.851392000000004</v>
      </c>
      <c r="CR72" t="s">
        <v>792</v>
      </c>
      <c r="CS72">
        <v>219.194833133</v>
      </c>
      <c r="CT72">
        <v>931.05182951607196</v>
      </c>
      <c r="CU72">
        <v>65.769471999999993</v>
      </c>
      <c r="DA72" t="s">
        <v>792</v>
      </c>
      <c r="DB72">
        <v>644.57915836200004</v>
      </c>
      <c r="DC72">
        <v>931.26107033202402</v>
      </c>
      <c r="DD72">
        <v>65.712128000000007</v>
      </c>
      <c r="DJ72" t="s">
        <v>792</v>
      </c>
      <c r="DK72">
        <v>645.51380446200005</v>
      </c>
      <c r="DL72">
        <v>931.15854141104501</v>
      </c>
      <c r="DM72">
        <v>65.777664000000001</v>
      </c>
    </row>
    <row r="73" spans="1:117" x14ac:dyDescent="0.2">
      <c r="A73">
        <v>800</v>
      </c>
      <c r="B73">
        <v>8</v>
      </c>
      <c r="C73" t="str">
        <f t="shared" si="1"/>
        <v>800-08</v>
      </c>
      <c r="F73" t="s">
        <v>793</v>
      </c>
      <c r="G73">
        <v>266.88078327800002</v>
      </c>
      <c r="H73">
        <v>267.12083838198998</v>
      </c>
      <c r="I73">
        <v>16000</v>
      </c>
      <c r="N73" t="s">
        <v>792</v>
      </c>
      <c r="O73">
        <v>900.61541942099996</v>
      </c>
      <c r="P73">
        <v>901.19096148799804</v>
      </c>
      <c r="Q73">
        <v>2062.139392</v>
      </c>
      <c r="V73" t="s">
        <v>792</v>
      </c>
      <c r="W73">
        <v>900.75538942900005</v>
      </c>
      <c r="X73">
        <v>901.18578784201202</v>
      </c>
      <c r="Y73">
        <v>2515.2675840000002</v>
      </c>
      <c r="AC73" t="s">
        <v>904</v>
      </c>
      <c r="AD73" t="s">
        <v>793</v>
      </c>
      <c r="AE73">
        <v>258.93554730199997</v>
      </c>
      <c r="AF73">
        <v>259.16182537100298</v>
      </c>
      <c r="AG73">
        <v>16000</v>
      </c>
      <c r="AM73" t="s">
        <v>904</v>
      </c>
      <c r="AN73" t="s">
        <v>792</v>
      </c>
      <c r="AO73">
        <v>900.73389185799999</v>
      </c>
      <c r="AP73">
        <v>901.19798921601603</v>
      </c>
      <c r="AQ73">
        <v>2062.0697599999999</v>
      </c>
      <c r="AX73" t="s">
        <v>904</v>
      </c>
      <c r="AY73" t="s">
        <v>792</v>
      </c>
      <c r="AZ73">
        <v>900.75519294200001</v>
      </c>
      <c r="BA73">
        <v>901.25137797999196</v>
      </c>
      <c r="BB73">
        <v>2515.02592</v>
      </c>
      <c r="BO73" t="s">
        <v>792</v>
      </c>
      <c r="BP73">
        <v>900.70963636600004</v>
      </c>
      <c r="BQ73">
        <v>901.151925734011</v>
      </c>
      <c r="BR73">
        <v>2062.1434880000002</v>
      </c>
      <c r="CR73" t="s">
        <v>792</v>
      </c>
      <c r="CS73">
        <v>900.74244389800003</v>
      </c>
      <c r="CT73">
        <v>901.15700224007003</v>
      </c>
      <c r="CU73">
        <v>2062.1271040000001</v>
      </c>
      <c r="DA73" t="s">
        <v>792</v>
      </c>
      <c r="DB73">
        <v>900.77717439800006</v>
      </c>
      <c r="DC73">
        <v>901.16602568898804</v>
      </c>
      <c r="DD73">
        <v>2062.1598720000002</v>
      </c>
      <c r="DJ73" t="s">
        <v>792</v>
      </c>
      <c r="DK73">
        <v>900.80824359899998</v>
      </c>
      <c r="DL73">
        <v>901.173111086012</v>
      </c>
      <c r="DM73">
        <v>2062.1803519999999</v>
      </c>
    </row>
    <row r="74" spans="1:117" x14ac:dyDescent="0.2">
      <c r="A74">
        <v>800</v>
      </c>
      <c r="B74">
        <v>9</v>
      </c>
      <c r="C74" t="str">
        <f t="shared" si="1"/>
        <v>800-09</v>
      </c>
      <c r="F74" t="s">
        <v>793</v>
      </c>
      <c r="G74">
        <v>264.02549627299999</v>
      </c>
      <c r="H74">
        <v>264.25515105001898</v>
      </c>
      <c r="I74">
        <v>16000</v>
      </c>
      <c r="N74" t="s">
        <v>792</v>
      </c>
      <c r="O74">
        <v>900.61618016800003</v>
      </c>
      <c r="P74">
        <v>901.11433248102503</v>
      </c>
      <c r="Q74">
        <v>1092.513792</v>
      </c>
      <c r="V74" t="s">
        <v>792</v>
      </c>
      <c r="W74">
        <v>900.78334211799995</v>
      </c>
      <c r="X74">
        <v>901.19117154799403</v>
      </c>
      <c r="Y74">
        <v>2225.9138560000001</v>
      </c>
      <c r="AC74" t="s">
        <v>905</v>
      </c>
      <c r="AD74" t="s">
        <v>793</v>
      </c>
      <c r="AE74">
        <v>254.275946734</v>
      </c>
      <c r="AF74">
        <v>254.48029246498399</v>
      </c>
      <c r="AG74">
        <v>16000</v>
      </c>
      <c r="AM74" t="s">
        <v>905</v>
      </c>
      <c r="AN74" t="s">
        <v>792</v>
      </c>
      <c r="AO74">
        <v>900.49925293000001</v>
      </c>
      <c r="AP74">
        <v>901.12828490801598</v>
      </c>
      <c r="AQ74">
        <v>1092.4236800000001</v>
      </c>
      <c r="AX74" t="s">
        <v>905</v>
      </c>
      <c r="AY74" t="s">
        <v>792</v>
      </c>
      <c r="AZ74">
        <v>900.72834091799996</v>
      </c>
      <c r="BA74">
        <v>901.22318773498398</v>
      </c>
      <c r="BB74">
        <v>2225.9712</v>
      </c>
      <c r="BO74" t="s">
        <v>792</v>
      </c>
      <c r="BP74">
        <v>900.70141581300004</v>
      </c>
      <c r="BQ74">
        <v>901.10133209405399</v>
      </c>
      <c r="BR74">
        <v>1092.435968</v>
      </c>
      <c r="CR74" t="s">
        <v>792</v>
      </c>
      <c r="CS74">
        <v>900.61792191999996</v>
      </c>
      <c r="CT74">
        <v>901.09376287402097</v>
      </c>
      <c r="CU74">
        <v>1092.3909120000001</v>
      </c>
      <c r="DA74" t="s">
        <v>792</v>
      </c>
      <c r="DB74">
        <v>900.56009349999999</v>
      </c>
      <c r="DC74">
        <v>901.08465952495999</v>
      </c>
      <c r="DD74">
        <v>1092.5506559999999</v>
      </c>
      <c r="DJ74" t="s">
        <v>792</v>
      </c>
      <c r="DK74">
        <v>900.66352354799994</v>
      </c>
      <c r="DL74">
        <v>901.09811586607202</v>
      </c>
      <c r="DM74">
        <v>1092.530176</v>
      </c>
    </row>
    <row r="75" spans="1:117" x14ac:dyDescent="0.2">
      <c r="A75">
        <v>900</v>
      </c>
      <c r="B75">
        <v>1</v>
      </c>
      <c r="C75" t="str">
        <f t="shared" si="1"/>
        <v>900-01</v>
      </c>
      <c r="F75" t="s">
        <v>792</v>
      </c>
      <c r="G75">
        <v>900.45935064800005</v>
      </c>
      <c r="H75">
        <v>901.037263995996</v>
      </c>
      <c r="I75">
        <v>32.698368000000002</v>
      </c>
      <c r="N75" t="s">
        <v>792</v>
      </c>
      <c r="O75">
        <v>900.53186347500002</v>
      </c>
      <c r="P75">
        <v>901.03234020297498</v>
      </c>
      <c r="Q75">
        <v>11.698176</v>
      </c>
      <c r="V75" t="s">
        <v>792</v>
      </c>
      <c r="W75">
        <v>900.58048927000004</v>
      </c>
      <c r="X75">
        <v>901.01856631300996</v>
      </c>
      <c r="Y75">
        <v>20.295680000000001</v>
      </c>
      <c r="AC75" t="s">
        <v>906</v>
      </c>
      <c r="AD75" t="s">
        <v>792</v>
      </c>
      <c r="AE75">
        <v>900.420728822</v>
      </c>
      <c r="AF75">
        <v>901.03607111301903</v>
      </c>
      <c r="AG75">
        <v>32.694271999999998</v>
      </c>
      <c r="AM75" t="s">
        <v>906</v>
      </c>
      <c r="AN75" t="s">
        <v>792</v>
      </c>
      <c r="AO75">
        <v>900.20344078300002</v>
      </c>
      <c r="AP75">
        <v>901.04474753298496</v>
      </c>
      <c r="AQ75">
        <v>11.583487999999999</v>
      </c>
      <c r="AX75" t="s">
        <v>906</v>
      </c>
      <c r="AY75" t="s">
        <v>792</v>
      </c>
      <c r="AZ75">
        <v>900.52688756600003</v>
      </c>
      <c r="BA75">
        <v>901.03985938298797</v>
      </c>
      <c r="BB75">
        <v>20.275200000000002</v>
      </c>
      <c r="BO75" t="s">
        <v>792</v>
      </c>
      <c r="BP75">
        <v>900.246303485</v>
      </c>
      <c r="BQ75">
        <v>901.16750819899596</v>
      </c>
      <c r="BR75">
        <v>17.44896</v>
      </c>
      <c r="CR75" t="s">
        <v>792</v>
      </c>
      <c r="CS75">
        <v>900.34114621699996</v>
      </c>
      <c r="CT75">
        <v>901.00799451</v>
      </c>
      <c r="CU75">
        <v>11.546624</v>
      </c>
      <c r="DA75" t="s">
        <v>792</v>
      </c>
      <c r="DB75">
        <v>900.56994544199995</v>
      </c>
      <c r="DC75">
        <v>901.00849523406896</v>
      </c>
      <c r="DD75">
        <v>11.579392</v>
      </c>
      <c r="DJ75" t="s">
        <v>792</v>
      </c>
      <c r="DK75">
        <v>900.37971336700002</v>
      </c>
      <c r="DL75">
        <v>901.00799540593198</v>
      </c>
      <c r="DM75">
        <v>11.63264</v>
      </c>
    </row>
    <row r="76" spans="1:117" x14ac:dyDescent="0.2">
      <c r="A76">
        <v>900</v>
      </c>
      <c r="B76">
        <v>2</v>
      </c>
      <c r="C76" t="str">
        <f t="shared" si="1"/>
        <v>900-02</v>
      </c>
      <c r="F76" t="s">
        <v>793</v>
      </c>
      <c r="G76">
        <v>647.97893777800005</v>
      </c>
      <c r="H76">
        <v>648.52516982401698</v>
      </c>
      <c r="I76">
        <v>16000</v>
      </c>
      <c r="N76" t="s">
        <v>792</v>
      </c>
      <c r="O76">
        <v>900.73157042100001</v>
      </c>
      <c r="P76">
        <v>901.32709879800598</v>
      </c>
      <c r="Q76">
        <v>4594.1268479999999</v>
      </c>
      <c r="V76" t="s">
        <v>792</v>
      </c>
      <c r="W76">
        <v>901.04753216899996</v>
      </c>
      <c r="X76">
        <v>901.58583576399496</v>
      </c>
      <c r="Y76">
        <v>9696.0880639999996</v>
      </c>
      <c r="AC76" t="s">
        <v>907</v>
      </c>
      <c r="AD76" t="s">
        <v>793</v>
      </c>
      <c r="AE76">
        <v>674.48660142899996</v>
      </c>
      <c r="AF76">
        <v>675.12912095899799</v>
      </c>
      <c r="AG76">
        <v>16000</v>
      </c>
      <c r="AM76" t="s">
        <v>907</v>
      </c>
      <c r="AN76" t="s">
        <v>792</v>
      </c>
      <c r="AO76">
        <v>900.61311889299998</v>
      </c>
      <c r="AP76">
        <v>901.33593445300301</v>
      </c>
      <c r="AQ76">
        <v>4594.0654080000004</v>
      </c>
      <c r="AX76" t="s">
        <v>907</v>
      </c>
      <c r="AY76" t="s">
        <v>792</v>
      </c>
      <c r="AZ76">
        <v>900.959565097</v>
      </c>
      <c r="BA76">
        <v>901.62150187601196</v>
      </c>
      <c r="BB76">
        <v>9696.1126399999994</v>
      </c>
      <c r="BO76" t="s">
        <v>792</v>
      </c>
      <c r="BP76">
        <v>900.551357983</v>
      </c>
      <c r="BQ76">
        <v>901.307933417963</v>
      </c>
      <c r="BR76">
        <v>4594.1596159999999</v>
      </c>
      <c r="CR76" t="s">
        <v>792</v>
      </c>
      <c r="CS76">
        <v>900.67429539</v>
      </c>
      <c r="CT76">
        <v>901.25751541496697</v>
      </c>
      <c r="CU76">
        <v>4594.0654080000004</v>
      </c>
      <c r="DA76" t="s">
        <v>792</v>
      </c>
      <c r="DB76">
        <v>900.68300336300001</v>
      </c>
      <c r="DC76">
        <v>901.27478384703795</v>
      </c>
      <c r="DD76">
        <v>4594.0735999999997</v>
      </c>
      <c r="DJ76" t="s">
        <v>792</v>
      </c>
      <c r="DK76">
        <v>900.69777676199999</v>
      </c>
      <c r="DL76">
        <v>901.274815510027</v>
      </c>
      <c r="DM76">
        <v>4594.0695040000001</v>
      </c>
    </row>
    <row r="77" spans="1:117" x14ac:dyDescent="0.2">
      <c r="A77">
        <v>900</v>
      </c>
      <c r="B77">
        <v>3</v>
      </c>
      <c r="C77" t="str">
        <f t="shared" si="1"/>
        <v>900-03</v>
      </c>
      <c r="F77" t="s">
        <v>793</v>
      </c>
      <c r="G77">
        <v>366.538666288</v>
      </c>
      <c r="H77">
        <v>366.90657938399801</v>
      </c>
      <c r="I77">
        <v>16000</v>
      </c>
      <c r="N77" t="s">
        <v>792</v>
      </c>
      <c r="O77">
        <v>901.18972686500001</v>
      </c>
      <c r="P77">
        <v>901.86018339300006</v>
      </c>
      <c r="Q77">
        <v>14906.544128</v>
      </c>
      <c r="V77" t="s">
        <v>793</v>
      </c>
      <c r="W77">
        <v>358.646707123</v>
      </c>
      <c r="X77">
        <v>359.00150271199499</v>
      </c>
      <c r="Y77">
        <v>16000</v>
      </c>
      <c r="AC77" t="s">
        <v>908</v>
      </c>
      <c r="AD77" t="s">
        <v>793</v>
      </c>
      <c r="AE77">
        <v>358.23981279600002</v>
      </c>
      <c r="AF77">
        <v>358.568621666985</v>
      </c>
      <c r="AG77">
        <v>16000</v>
      </c>
      <c r="AM77" t="s">
        <v>908</v>
      </c>
      <c r="AN77" t="s">
        <v>792</v>
      </c>
      <c r="AO77">
        <v>901.16613682299999</v>
      </c>
      <c r="AP77">
        <v>901.87492702697602</v>
      </c>
      <c r="AQ77">
        <v>14906.597376</v>
      </c>
      <c r="AX77" t="s">
        <v>908</v>
      </c>
      <c r="AY77" t="s">
        <v>793</v>
      </c>
      <c r="AZ77">
        <v>339.77320929799998</v>
      </c>
      <c r="BA77">
        <v>340.13407367499798</v>
      </c>
      <c r="BB77">
        <v>16000</v>
      </c>
      <c r="BO77" t="s">
        <v>792</v>
      </c>
      <c r="BP77">
        <v>901.14416343699997</v>
      </c>
      <c r="BQ77">
        <v>901.84941823896895</v>
      </c>
      <c r="BR77">
        <v>14906.53184</v>
      </c>
      <c r="CR77" t="s">
        <v>792</v>
      </c>
      <c r="CS77">
        <v>901.20800094000003</v>
      </c>
      <c r="CT77">
        <v>901.84955557202898</v>
      </c>
      <c r="CU77">
        <v>14906.638336</v>
      </c>
      <c r="DA77" t="s">
        <v>792</v>
      </c>
      <c r="DB77">
        <v>901.36667421200002</v>
      </c>
      <c r="DC77">
        <v>901.93398924195196</v>
      </c>
      <c r="DD77">
        <v>14906.560512</v>
      </c>
      <c r="DJ77" t="s">
        <v>792</v>
      </c>
      <c r="DK77">
        <v>901.222246713</v>
      </c>
      <c r="DL77">
        <v>901.86102622398096</v>
      </c>
      <c r="DM77">
        <v>14906.576896</v>
      </c>
    </row>
    <row r="78" spans="1:117" x14ac:dyDescent="0.2">
      <c r="A78">
        <v>900</v>
      </c>
      <c r="B78">
        <v>4</v>
      </c>
      <c r="C78" t="str">
        <f t="shared" si="1"/>
        <v>900-04</v>
      </c>
      <c r="F78" t="s">
        <v>793</v>
      </c>
      <c r="G78">
        <v>402.82990833100001</v>
      </c>
      <c r="H78">
        <v>403.30594043599501</v>
      </c>
      <c r="I78">
        <v>16000</v>
      </c>
      <c r="N78" t="s">
        <v>792</v>
      </c>
      <c r="O78">
        <v>901.00218121</v>
      </c>
      <c r="P78">
        <v>902.25951187600697</v>
      </c>
      <c r="Q78">
        <v>10.932224</v>
      </c>
      <c r="S78">
        <v>108921962</v>
      </c>
      <c r="V78" t="s">
        <v>792</v>
      </c>
      <c r="W78">
        <v>901.00272693900001</v>
      </c>
      <c r="X78">
        <v>902.56991122500006</v>
      </c>
      <c r="Y78">
        <v>13.311999999999999</v>
      </c>
      <c r="AC78" t="s">
        <v>909</v>
      </c>
      <c r="AD78" t="s">
        <v>793</v>
      </c>
      <c r="AE78">
        <v>388.22756268199998</v>
      </c>
      <c r="AF78">
        <v>388.62621059000901</v>
      </c>
      <c r="AG78">
        <v>16000</v>
      </c>
      <c r="AM78" t="s">
        <v>909</v>
      </c>
      <c r="AN78" t="s">
        <v>792</v>
      </c>
      <c r="AO78">
        <v>900.99737023099999</v>
      </c>
      <c r="AP78">
        <v>902.19855399700396</v>
      </c>
      <c r="AQ78">
        <v>10.788864</v>
      </c>
      <c r="AS78">
        <v>108921962</v>
      </c>
      <c r="AT78">
        <v>82.971299999999999</v>
      </c>
      <c r="AU78" s="1">
        <v>2.6896999999999999E-8</v>
      </c>
      <c r="AV78" s="1"/>
      <c r="AW78" s="1"/>
      <c r="AX78" t="s">
        <v>909</v>
      </c>
      <c r="AY78" t="s">
        <v>792</v>
      </c>
      <c r="AZ78">
        <v>901.00127026200005</v>
      </c>
      <c r="BA78">
        <v>902.11120953998704</v>
      </c>
      <c r="BB78">
        <v>13.414400000000001</v>
      </c>
      <c r="BE78">
        <v>108921962</v>
      </c>
      <c r="BF78">
        <v>83.600899999999996</v>
      </c>
      <c r="BG78" s="1">
        <v>2.6896999999999999E-8</v>
      </c>
      <c r="BO78" t="s">
        <v>792</v>
      </c>
      <c r="BP78">
        <v>110.426394819</v>
      </c>
      <c r="BQ78">
        <v>931.27483466605099</v>
      </c>
      <c r="BR78">
        <v>11.169791999999999</v>
      </c>
      <c r="CR78" t="s">
        <v>792</v>
      </c>
      <c r="CS78">
        <v>108.175082327</v>
      </c>
      <c r="CT78">
        <v>931.21652236091904</v>
      </c>
      <c r="CU78">
        <v>10.948608</v>
      </c>
      <c r="DA78" t="s">
        <v>792</v>
      </c>
      <c r="DB78">
        <v>284.26918361700001</v>
      </c>
      <c r="DC78">
        <v>931.15142863302003</v>
      </c>
      <c r="DD78">
        <v>10.833920000000001</v>
      </c>
      <c r="DJ78" t="s">
        <v>792</v>
      </c>
      <c r="DK78">
        <v>281.22188835100002</v>
      </c>
      <c r="DL78">
        <v>931.06234563700798</v>
      </c>
      <c r="DM78">
        <v>11.157503999999999</v>
      </c>
    </row>
    <row r="79" spans="1:117" x14ac:dyDescent="0.2">
      <c r="A79">
        <v>900</v>
      </c>
      <c r="B79">
        <v>5</v>
      </c>
      <c r="C79" t="str">
        <f t="shared" si="1"/>
        <v>900-05</v>
      </c>
      <c r="F79" t="s">
        <v>793</v>
      </c>
      <c r="G79">
        <v>319.74852039500001</v>
      </c>
      <c r="H79">
        <v>320.06681242000099</v>
      </c>
      <c r="I79">
        <v>16000</v>
      </c>
      <c r="N79" t="s">
        <v>792</v>
      </c>
      <c r="O79">
        <v>901.28470989599998</v>
      </c>
      <c r="P79">
        <v>901.91552309299004</v>
      </c>
      <c r="Q79">
        <v>15238.59456</v>
      </c>
      <c r="V79" t="s">
        <v>793</v>
      </c>
      <c r="W79">
        <v>252.60521384200001</v>
      </c>
      <c r="X79">
        <v>252.87441992599599</v>
      </c>
      <c r="Y79">
        <v>16000</v>
      </c>
      <c r="AC79" t="s">
        <v>910</v>
      </c>
      <c r="AD79" t="s">
        <v>793</v>
      </c>
      <c r="AE79">
        <v>329.31005549000002</v>
      </c>
      <c r="AF79">
        <v>329.64759125901003</v>
      </c>
      <c r="AG79">
        <v>16000</v>
      </c>
      <c r="AM79" t="s">
        <v>910</v>
      </c>
      <c r="AN79" t="s">
        <v>792</v>
      </c>
      <c r="AO79">
        <v>901.65688570600003</v>
      </c>
      <c r="AP79">
        <v>902.30185080898798</v>
      </c>
      <c r="AQ79">
        <v>15309.49632</v>
      </c>
      <c r="AX79" t="s">
        <v>910</v>
      </c>
      <c r="AY79" t="s">
        <v>793</v>
      </c>
      <c r="AZ79">
        <v>264.983251198</v>
      </c>
      <c r="BA79">
        <v>265.35125200700702</v>
      </c>
      <c r="BB79">
        <v>16000</v>
      </c>
      <c r="BO79" t="s">
        <v>793</v>
      </c>
      <c r="BP79">
        <v>891.03368195099995</v>
      </c>
      <c r="BQ79">
        <v>891.95204817201</v>
      </c>
      <c r="BR79">
        <v>16000</v>
      </c>
      <c r="CR79" t="s">
        <v>792</v>
      </c>
      <c r="CS79">
        <v>901.26283734000003</v>
      </c>
      <c r="CT79">
        <v>901.86258279299295</v>
      </c>
      <c r="CU79">
        <v>15692.292095999999</v>
      </c>
      <c r="DA79" t="s">
        <v>792</v>
      </c>
      <c r="DB79">
        <v>901.19094004999999</v>
      </c>
      <c r="DC79">
        <v>901.80443632905303</v>
      </c>
      <c r="DD79">
        <v>15079.87456</v>
      </c>
      <c r="DJ79" t="s">
        <v>792</v>
      </c>
      <c r="DK79">
        <v>901.28005784699997</v>
      </c>
      <c r="DL79">
        <v>901.86349025298796</v>
      </c>
      <c r="DM79">
        <v>15493.025792</v>
      </c>
    </row>
    <row r="80" spans="1:117" x14ac:dyDescent="0.2">
      <c r="A80">
        <v>900</v>
      </c>
      <c r="B80">
        <v>6</v>
      </c>
      <c r="C80" t="str">
        <f t="shared" si="1"/>
        <v>900-06</v>
      </c>
      <c r="F80" t="s">
        <v>793</v>
      </c>
      <c r="G80">
        <v>874.83450091099996</v>
      </c>
      <c r="H80">
        <v>875.63025720199198</v>
      </c>
      <c r="I80">
        <v>16000</v>
      </c>
      <c r="N80" t="s">
        <v>792</v>
      </c>
      <c r="O80">
        <v>900.59643241200001</v>
      </c>
      <c r="P80">
        <v>901.05463363599802</v>
      </c>
      <c r="Q80">
        <v>304.66048000000001</v>
      </c>
      <c r="V80" t="s">
        <v>792</v>
      </c>
      <c r="W80">
        <v>900.65388525799995</v>
      </c>
      <c r="X80">
        <v>901.05900515300095</v>
      </c>
      <c r="Y80">
        <v>504.80742400000003</v>
      </c>
      <c r="AC80" t="s">
        <v>911</v>
      </c>
      <c r="AD80" t="s">
        <v>793</v>
      </c>
      <c r="AE80">
        <v>866.81160497999997</v>
      </c>
      <c r="AF80">
        <v>867.65303719902295</v>
      </c>
      <c r="AG80">
        <v>16000</v>
      </c>
      <c r="AM80" t="s">
        <v>911</v>
      </c>
      <c r="AN80" t="s">
        <v>792</v>
      </c>
      <c r="AO80">
        <v>900.57624852499998</v>
      </c>
      <c r="AP80">
        <v>901.10201712700598</v>
      </c>
      <c r="AQ80">
        <v>304.79155200000002</v>
      </c>
      <c r="AX80" t="s">
        <v>911</v>
      </c>
      <c r="AY80" t="s">
        <v>792</v>
      </c>
      <c r="AZ80">
        <v>900.610461364</v>
      </c>
      <c r="BA80">
        <v>901.08083247099398</v>
      </c>
      <c r="BB80">
        <v>504.79513600000001</v>
      </c>
      <c r="BO80" t="s">
        <v>792</v>
      </c>
      <c r="BP80">
        <v>900.42039233699995</v>
      </c>
      <c r="BQ80">
        <v>901.03499905601996</v>
      </c>
      <c r="BR80">
        <v>304.52940799999999</v>
      </c>
      <c r="CR80" t="s">
        <v>792</v>
      </c>
      <c r="CS80">
        <v>900.60510625300003</v>
      </c>
      <c r="CT80">
        <v>901.03182475198901</v>
      </c>
      <c r="CU80">
        <v>304.62771199999997</v>
      </c>
      <c r="DA80" t="s">
        <v>792</v>
      </c>
      <c r="DB80">
        <v>900.630174711</v>
      </c>
      <c r="DC80">
        <v>901.03443723893702</v>
      </c>
      <c r="DD80">
        <v>304.541696</v>
      </c>
      <c r="DJ80" t="s">
        <v>792</v>
      </c>
      <c r="DK80">
        <v>900.57958563600005</v>
      </c>
      <c r="DL80">
        <v>901.034399024094</v>
      </c>
      <c r="DM80">
        <v>304.52121599999998</v>
      </c>
    </row>
    <row r="81" spans="1:117" x14ac:dyDescent="0.2">
      <c r="A81">
        <v>900</v>
      </c>
      <c r="B81">
        <v>7</v>
      </c>
      <c r="C81" t="str">
        <f t="shared" si="1"/>
        <v>900-07</v>
      </c>
      <c r="F81" t="s">
        <v>793</v>
      </c>
      <c r="G81">
        <v>435.10017264200002</v>
      </c>
      <c r="H81">
        <v>435.59449991100701</v>
      </c>
      <c r="I81">
        <v>16000</v>
      </c>
      <c r="N81" t="s">
        <v>792</v>
      </c>
      <c r="O81">
        <v>901.27041224000004</v>
      </c>
      <c r="P81">
        <v>901.97029182599999</v>
      </c>
      <c r="Q81">
        <v>15842.48832</v>
      </c>
      <c r="V81" t="s">
        <v>793</v>
      </c>
      <c r="W81">
        <v>349.27656354099997</v>
      </c>
      <c r="X81">
        <v>349.570631206006</v>
      </c>
      <c r="Y81">
        <v>16000</v>
      </c>
      <c r="AC81" t="s">
        <v>912</v>
      </c>
      <c r="AD81" t="s">
        <v>793</v>
      </c>
      <c r="AE81">
        <v>417.370231547</v>
      </c>
      <c r="AF81">
        <v>417.76872077199999</v>
      </c>
      <c r="AG81">
        <v>16000</v>
      </c>
      <c r="AM81" t="s">
        <v>912</v>
      </c>
      <c r="AN81" t="s">
        <v>792</v>
      </c>
      <c r="AO81">
        <v>901.29184270500002</v>
      </c>
      <c r="AP81">
        <v>901.97057336999501</v>
      </c>
      <c r="AQ81">
        <v>15830.695936</v>
      </c>
      <c r="AX81" t="s">
        <v>912</v>
      </c>
      <c r="AY81" t="s">
        <v>793</v>
      </c>
      <c r="AZ81">
        <v>343.39237315899999</v>
      </c>
      <c r="BA81">
        <v>343.64884537897802</v>
      </c>
      <c r="BB81">
        <v>16000</v>
      </c>
      <c r="BO81" t="s">
        <v>792</v>
      </c>
      <c r="BP81">
        <v>901.06677589000003</v>
      </c>
      <c r="BQ81">
        <v>901.93091969692603</v>
      </c>
      <c r="BR81">
        <v>15201.124352000001</v>
      </c>
      <c r="CR81" t="s">
        <v>792</v>
      </c>
      <c r="CS81">
        <v>901.18492389100004</v>
      </c>
      <c r="CT81">
        <v>901.87285652605306</v>
      </c>
      <c r="CU81">
        <v>15892.791295999999</v>
      </c>
      <c r="DA81" t="s">
        <v>792</v>
      </c>
      <c r="DB81">
        <v>901.13601143300002</v>
      </c>
      <c r="DC81">
        <v>901.83684152504395</v>
      </c>
      <c r="DD81">
        <v>15218.966528000001</v>
      </c>
      <c r="DJ81" t="s">
        <v>793</v>
      </c>
      <c r="DK81">
        <v>883.74450744299997</v>
      </c>
      <c r="DL81">
        <v>884.31588722998197</v>
      </c>
      <c r="DM81">
        <v>16000</v>
      </c>
    </row>
    <row r="82" spans="1:117" x14ac:dyDescent="0.2">
      <c r="A82">
        <v>900</v>
      </c>
      <c r="B82">
        <v>8</v>
      </c>
      <c r="C82" t="str">
        <f t="shared" si="1"/>
        <v>900-08</v>
      </c>
      <c r="F82" t="s">
        <v>793</v>
      </c>
      <c r="G82">
        <v>283.44144225399998</v>
      </c>
      <c r="H82">
        <v>283.69868195400301</v>
      </c>
      <c r="I82">
        <v>16000</v>
      </c>
      <c r="N82" t="s">
        <v>792</v>
      </c>
      <c r="O82">
        <v>900.57713651300003</v>
      </c>
      <c r="P82">
        <v>901.03425044700202</v>
      </c>
      <c r="Q82">
        <v>21.553152000000001</v>
      </c>
      <c r="V82" t="s">
        <v>792</v>
      </c>
      <c r="W82">
        <v>900.57753135200005</v>
      </c>
      <c r="X82">
        <v>901.02078029500206</v>
      </c>
      <c r="Y82">
        <v>28.250112000000001</v>
      </c>
      <c r="AC82" t="s">
        <v>913</v>
      </c>
      <c r="AD82" t="s">
        <v>793</v>
      </c>
      <c r="AE82">
        <v>292.96268531999999</v>
      </c>
      <c r="AF82">
        <v>293.370775487012</v>
      </c>
      <c r="AG82">
        <v>16000</v>
      </c>
      <c r="AM82" t="s">
        <v>913</v>
      </c>
      <c r="AN82" t="s">
        <v>792</v>
      </c>
      <c r="AO82">
        <v>900.28142052400005</v>
      </c>
      <c r="AP82">
        <v>901.04345459400702</v>
      </c>
      <c r="AQ82">
        <v>21.54496</v>
      </c>
      <c r="AX82" t="s">
        <v>913</v>
      </c>
      <c r="AY82" t="s">
        <v>792</v>
      </c>
      <c r="AZ82">
        <v>900.62451302700003</v>
      </c>
      <c r="BA82">
        <v>901.05385370901695</v>
      </c>
      <c r="BB82">
        <v>28.225536000000002</v>
      </c>
      <c r="BO82" t="s">
        <v>792</v>
      </c>
      <c r="BP82">
        <v>900.05303704599999</v>
      </c>
      <c r="BQ82">
        <v>901.02279441803603</v>
      </c>
      <c r="BR82">
        <v>21.282816</v>
      </c>
      <c r="CR82" t="s">
        <v>792</v>
      </c>
      <c r="CS82">
        <v>900.54404951000004</v>
      </c>
      <c r="CT82">
        <v>901.00881935702603</v>
      </c>
      <c r="CU82">
        <v>21.635072000000001</v>
      </c>
      <c r="DA82" t="s">
        <v>792</v>
      </c>
      <c r="DB82">
        <v>900.57517019900001</v>
      </c>
      <c r="DC82">
        <v>901.05619992502</v>
      </c>
      <c r="DD82">
        <v>20.496383999999999</v>
      </c>
      <c r="DJ82" t="s">
        <v>792</v>
      </c>
      <c r="DK82">
        <v>901.00264837600002</v>
      </c>
      <c r="DL82">
        <v>902.70019458397201</v>
      </c>
      <c r="DM82">
        <v>21.417984000000001</v>
      </c>
    </row>
    <row r="83" spans="1:117" x14ac:dyDescent="0.2">
      <c r="A83">
        <v>900</v>
      </c>
      <c r="B83">
        <v>9</v>
      </c>
      <c r="C83" t="str">
        <f t="shared" si="1"/>
        <v>900-09</v>
      </c>
      <c r="F83" t="s">
        <v>793</v>
      </c>
      <c r="G83">
        <v>272.82437983099999</v>
      </c>
      <c r="H83">
        <v>273.131613618985</v>
      </c>
      <c r="I83">
        <v>16000</v>
      </c>
      <c r="N83" t="s">
        <v>793</v>
      </c>
      <c r="O83">
        <v>594.99837245699996</v>
      </c>
      <c r="P83">
        <v>595.50958954199405</v>
      </c>
      <c r="Q83">
        <v>16000</v>
      </c>
      <c r="V83" t="s">
        <v>793</v>
      </c>
      <c r="W83">
        <v>293.26139294799998</v>
      </c>
      <c r="X83">
        <v>293.45050615000901</v>
      </c>
      <c r="Y83">
        <v>16000</v>
      </c>
      <c r="AC83" t="s">
        <v>914</v>
      </c>
      <c r="AD83" t="s">
        <v>793</v>
      </c>
      <c r="AE83">
        <v>264.60447728499997</v>
      </c>
      <c r="AF83">
        <v>264.92291662900197</v>
      </c>
      <c r="AG83">
        <v>16000</v>
      </c>
      <c r="AM83" t="s">
        <v>914</v>
      </c>
      <c r="AN83" t="s">
        <v>793</v>
      </c>
      <c r="AO83">
        <v>592.45020705900004</v>
      </c>
      <c r="AP83">
        <v>593.09656294700096</v>
      </c>
      <c r="AQ83">
        <v>16000</v>
      </c>
      <c r="AX83" t="s">
        <v>914</v>
      </c>
      <c r="AY83" t="s">
        <v>793</v>
      </c>
      <c r="AZ83">
        <v>314.53130529600003</v>
      </c>
      <c r="BA83">
        <v>314.79166947901803</v>
      </c>
      <c r="BB83">
        <v>16000</v>
      </c>
      <c r="BO83" t="s">
        <v>793</v>
      </c>
      <c r="BP83">
        <v>566.02656572000001</v>
      </c>
      <c r="BQ83">
        <v>566.562377049936</v>
      </c>
      <c r="BR83">
        <v>16000</v>
      </c>
      <c r="CR83" t="s">
        <v>793</v>
      </c>
      <c r="CS83">
        <v>593.41741097600004</v>
      </c>
      <c r="CT83">
        <v>594.04452125309001</v>
      </c>
      <c r="CU83">
        <v>16000</v>
      </c>
      <c r="DA83" t="s">
        <v>793</v>
      </c>
      <c r="DB83">
        <v>567.69233834500005</v>
      </c>
      <c r="DC83">
        <v>568.08002080302595</v>
      </c>
      <c r="DD83">
        <v>16000</v>
      </c>
      <c r="DJ83" t="s">
        <v>793</v>
      </c>
      <c r="DK83">
        <v>594.32133513999997</v>
      </c>
      <c r="DL83">
        <v>594.75183874403501</v>
      </c>
      <c r="DM83">
        <v>16000</v>
      </c>
    </row>
    <row r="84" spans="1:117" x14ac:dyDescent="0.2">
      <c r="A84">
        <v>1000</v>
      </c>
      <c r="B84">
        <v>1</v>
      </c>
      <c r="C84" t="str">
        <f t="shared" si="1"/>
        <v>1000-01</v>
      </c>
      <c r="F84" t="s">
        <v>793</v>
      </c>
      <c r="G84">
        <v>450.43795879599998</v>
      </c>
      <c r="H84">
        <v>450.85891068400798</v>
      </c>
      <c r="I84">
        <v>16000</v>
      </c>
      <c r="N84" t="s">
        <v>792</v>
      </c>
      <c r="O84">
        <v>900.79166739000004</v>
      </c>
      <c r="P84">
        <v>901.54969756901801</v>
      </c>
      <c r="Q84">
        <v>9694.3513600000006</v>
      </c>
      <c r="V84" t="s">
        <v>793</v>
      </c>
      <c r="W84">
        <v>323.45374560900001</v>
      </c>
      <c r="X84">
        <v>323.67783324100299</v>
      </c>
      <c r="Y84">
        <v>16000</v>
      </c>
      <c r="AC84" t="s">
        <v>915</v>
      </c>
      <c r="AD84" t="s">
        <v>793</v>
      </c>
      <c r="AE84">
        <v>454.91475658100001</v>
      </c>
      <c r="AF84">
        <v>455.34681283400198</v>
      </c>
      <c r="AG84">
        <v>16000</v>
      </c>
      <c r="AM84" t="s">
        <v>915</v>
      </c>
      <c r="AN84" t="s">
        <v>792</v>
      </c>
      <c r="AO84">
        <v>900.81580006800004</v>
      </c>
      <c r="AP84">
        <v>901.62639776398998</v>
      </c>
      <c r="AQ84">
        <v>9467.0766079999994</v>
      </c>
      <c r="AX84" t="s">
        <v>915</v>
      </c>
      <c r="AY84" t="s">
        <v>793</v>
      </c>
      <c r="AZ84">
        <v>315.54649961400003</v>
      </c>
      <c r="BA84">
        <v>315.77193244697901</v>
      </c>
      <c r="BB84">
        <v>16000</v>
      </c>
      <c r="BO84" t="s">
        <v>792</v>
      </c>
      <c r="BP84">
        <v>900.790575644</v>
      </c>
      <c r="BQ84">
        <v>901.493365392962</v>
      </c>
      <c r="BR84">
        <v>9424.8755199999996</v>
      </c>
      <c r="CR84" t="s">
        <v>792</v>
      </c>
      <c r="CS84">
        <v>900.84903096599999</v>
      </c>
      <c r="CT84">
        <v>901.52327412902298</v>
      </c>
      <c r="CU84">
        <v>9505.1284479999995</v>
      </c>
      <c r="DA84" t="s">
        <v>792</v>
      </c>
      <c r="DB84">
        <v>900.60746233400005</v>
      </c>
      <c r="DC84">
        <v>901.50255086296204</v>
      </c>
      <c r="DD84">
        <v>9331.3187839999991</v>
      </c>
      <c r="DJ84" t="s">
        <v>792</v>
      </c>
      <c r="DK84">
        <v>900.80532736999999</v>
      </c>
      <c r="DL84">
        <v>901.48452976497299</v>
      </c>
      <c r="DM84">
        <v>9453.9120640000001</v>
      </c>
    </row>
    <row r="85" spans="1:117" x14ac:dyDescent="0.2">
      <c r="A85">
        <v>1000</v>
      </c>
      <c r="B85">
        <v>2</v>
      </c>
      <c r="C85" t="str">
        <f t="shared" si="1"/>
        <v>1000-02</v>
      </c>
      <c r="F85" t="s">
        <v>793</v>
      </c>
      <c r="G85">
        <v>302.94756744199998</v>
      </c>
      <c r="H85">
        <v>303.33143422700198</v>
      </c>
      <c r="I85">
        <v>16000</v>
      </c>
      <c r="N85" t="s">
        <v>792</v>
      </c>
      <c r="O85">
        <v>900.43099769399998</v>
      </c>
      <c r="P85">
        <v>901.07048273799501</v>
      </c>
      <c r="Q85">
        <v>943.22688000000005</v>
      </c>
      <c r="V85" t="s">
        <v>792</v>
      </c>
      <c r="W85">
        <v>900.58426110599999</v>
      </c>
      <c r="X85">
        <v>901.08780651399798</v>
      </c>
      <c r="Y85">
        <v>1172.209664</v>
      </c>
      <c r="AC85" t="s">
        <v>916</v>
      </c>
      <c r="AD85" t="s">
        <v>793</v>
      </c>
      <c r="AE85">
        <v>301.25968962399998</v>
      </c>
      <c r="AF85">
        <v>301.55638084100701</v>
      </c>
      <c r="AG85">
        <v>16000</v>
      </c>
      <c r="AM85" t="s">
        <v>916</v>
      </c>
      <c r="AN85" t="s">
        <v>792</v>
      </c>
      <c r="AO85">
        <v>900.42025803700005</v>
      </c>
      <c r="AP85">
        <v>901.085401457996</v>
      </c>
      <c r="AQ85">
        <v>943.23916799999995</v>
      </c>
      <c r="AX85" t="s">
        <v>916</v>
      </c>
      <c r="AY85" t="s">
        <v>792</v>
      </c>
      <c r="AZ85">
        <v>900.56801208900004</v>
      </c>
      <c r="BA85">
        <v>901.12684445097602</v>
      </c>
      <c r="BB85">
        <v>1172.226048</v>
      </c>
      <c r="BO85" t="s">
        <v>792</v>
      </c>
      <c r="BP85">
        <v>900.44065221699998</v>
      </c>
      <c r="BQ85">
        <v>901.05139710398998</v>
      </c>
      <c r="BR85">
        <v>943.23916799999995</v>
      </c>
      <c r="CR85" t="s">
        <v>792</v>
      </c>
      <c r="CS85">
        <v>900.43653433999998</v>
      </c>
      <c r="CT85">
        <v>901.04937470098901</v>
      </c>
      <c r="CU85">
        <v>943.21868800000004</v>
      </c>
      <c r="DA85" t="s">
        <v>792</v>
      </c>
      <c r="DB85">
        <v>900.47540962999994</v>
      </c>
      <c r="DC85">
        <v>901.05065474205105</v>
      </c>
      <c r="DD85">
        <v>943.21049600000003</v>
      </c>
      <c r="DJ85" t="s">
        <v>792</v>
      </c>
      <c r="DK85">
        <v>900.42395317700004</v>
      </c>
      <c r="DL85">
        <v>901.06723420496496</v>
      </c>
      <c r="DM85">
        <v>943.19001600000001</v>
      </c>
    </row>
    <row r="86" spans="1:117" x14ac:dyDescent="0.2">
      <c r="A86">
        <v>1000</v>
      </c>
      <c r="B86">
        <v>3</v>
      </c>
      <c r="C86" t="str">
        <f t="shared" si="1"/>
        <v>1000-03</v>
      </c>
      <c r="F86" t="s">
        <v>793</v>
      </c>
      <c r="G86">
        <v>267.84460561700001</v>
      </c>
      <c r="H86">
        <v>268.098628566993</v>
      </c>
      <c r="I86">
        <v>16000</v>
      </c>
      <c r="N86" t="s">
        <v>793</v>
      </c>
      <c r="O86">
        <v>785.00263811599996</v>
      </c>
      <c r="P86">
        <v>785.70770783201397</v>
      </c>
      <c r="Q86">
        <v>16000</v>
      </c>
      <c r="V86" t="s">
        <v>793</v>
      </c>
      <c r="W86">
        <v>228.16475950899999</v>
      </c>
      <c r="X86">
        <v>228.34016749598899</v>
      </c>
      <c r="Y86">
        <v>16000</v>
      </c>
      <c r="AC86" t="s">
        <v>917</v>
      </c>
      <c r="AD86" t="s">
        <v>793</v>
      </c>
      <c r="AE86">
        <v>271.32480610300001</v>
      </c>
      <c r="AF86">
        <v>271.58105059599598</v>
      </c>
      <c r="AG86">
        <v>16000</v>
      </c>
      <c r="AM86" t="s">
        <v>917</v>
      </c>
      <c r="AN86" t="s">
        <v>793</v>
      </c>
      <c r="AO86">
        <v>782.29875594400005</v>
      </c>
      <c r="AP86">
        <v>783.02324056698103</v>
      </c>
      <c r="AQ86">
        <v>16000</v>
      </c>
      <c r="AX86" t="s">
        <v>917</v>
      </c>
      <c r="AY86" t="s">
        <v>793</v>
      </c>
      <c r="AZ86">
        <v>243.529617159</v>
      </c>
      <c r="BA86">
        <v>243.771640856983</v>
      </c>
      <c r="BB86">
        <v>16000</v>
      </c>
      <c r="BO86" t="s">
        <v>793</v>
      </c>
      <c r="BP86">
        <v>765.74945002799996</v>
      </c>
      <c r="BQ86">
        <v>766.90593595802704</v>
      </c>
      <c r="BR86">
        <v>16000</v>
      </c>
      <c r="CR86" t="s">
        <v>793</v>
      </c>
      <c r="CS86">
        <v>788.81702316999997</v>
      </c>
      <c r="CT86">
        <v>789.53031576203603</v>
      </c>
      <c r="CU86">
        <v>16000</v>
      </c>
      <c r="DA86" t="s">
        <v>793</v>
      </c>
      <c r="DB86">
        <v>765.25389788300004</v>
      </c>
      <c r="DC86">
        <v>765.83366465696599</v>
      </c>
      <c r="DD86">
        <v>16000</v>
      </c>
      <c r="DJ86" t="s">
        <v>793</v>
      </c>
      <c r="DK86">
        <v>770.62475383799995</v>
      </c>
      <c r="DL86">
        <v>771.17166126903601</v>
      </c>
      <c r="DM86">
        <v>16000</v>
      </c>
    </row>
    <row r="87" spans="1:117" x14ac:dyDescent="0.2">
      <c r="A87">
        <v>1000</v>
      </c>
      <c r="B87">
        <v>4</v>
      </c>
      <c r="C87" t="str">
        <f t="shared" si="1"/>
        <v>1000-04</v>
      </c>
      <c r="F87" t="s">
        <v>793</v>
      </c>
      <c r="G87">
        <v>349.09711611400002</v>
      </c>
      <c r="H87">
        <v>349.49126619100502</v>
      </c>
      <c r="I87">
        <v>16000</v>
      </c>
      <c r="N87" t="s">
        <v>792</v>
      </c>
      <c r="O87">
        <v>900.88344276500004</v>
      </c>
      <c r="P87">
        <v>901.57656938099501</v>
      </c>
      <c r="Q87">
        <v>10420.875264</v>
      </c>
      <c r="V87" t="s">
        <v>792</v>
      </c>
      <c r="W87">
        <v>901.25422711199997</v>
      </c>
      <c r="X87">
        <v>901.87622751800495</v>
      </c>
      <c r="Y87">
        <v>15441.571840000001</v>
      </c>
      <c r="AC87" t="s">
        <v>918</v>
      </c>
      <c r="AD87" t="s">
        <v>793</v>
      </c>
      <c r="AE87">
        <v>348.37115927100001</v>
      </c>
      <c r="AF87">
        <v>348.692080142995</v>
      </c>
      <c r="AG87">
        <v>16000</v>
      </c>
      <c r="AM87" t="s">
        <v>918</v>
      </c>
      <c r="AN87" t="s">
        <v>792</v>
      </c>
      <c r="AO87">
        <v>900.74761833900004</v>
      </c>
      <c r="AP87">
        <v>901.56353920200399</v>
      </c>
      <c r="AQ87">
        <v>10332.061696000001</v>
      </c>
      <c r="AX87" t="s">
        <v>918</v>
      </c>
      <c r="AY87" t="s">
        <v>792</v>
      </c>
      <c r="AZ87">
        <v>900.88740633600003</v>
      </c>
      <c r="BA87">
        <v>901.87864110697399</v>
      </c>
      <c r="BB87">
        <v>15441.301503999999</v>
      </c>
      <c r="BO87" t="s">
        <v>792</v>
      </c>
      <c r="BP87">
        <v>900.85170389799998</v>
      </c>
      <c r="BQ87">
        <v>901.581319055054</v>
      </c>
      <c r="BR87">
        <v>9916.4200959999998</v>
      </c>
      <c r="CR87" t="s">
        <v>792</v>
      </c>
      <c r="CS87">
        <v>901.15997685800005</v>
      </c>
      <c r="CT87">
        <v>901.84719422995101</v>
      </c>
      <c r="CU87">
        <v>14889.476096</v>
      </c>
      <c r="DA87" t="s">
        <v>792</v>
      </c>
      <c r="DB87">
        <v>901.04186651099997</v>
      </c>
      <c r="DC87">
        <v>901.740442501963</v>
      </c>
      <c r="DD87">
        <v>14889.517056000001</v>
      </c>
      <c r="DJ87" t="s">
        <v>792</v>
      </c>
      <c r="DK87">
        <v>900.74833299399995</v>
      </c>
      <c r="DL87">
        <v>901.56456584704495</v>
      </c>
      <c r="DM87">
        <v>10281.775104</v>
      </c>
    </row>
    <row r="88" spans="1:117" x14ac:dyDescent="0.2">
      <c r="A88">
        <v>1000</v>
      </c>
      <c r="B88">
        <v>5</v>
      </c>
      <c r="C88" t="str">
        <f t="shared" si="1"/>
        <v>1000-05</v>
      </c>
      <c r="F88" t="s">
        <v>793</v>
      </c>
      <c r="G88">
        <v>273.87453345799997</v>
      </c>
      <c r="H88">
        <v>274.12588145100699</v>
      </c>
      <c r="I88">
        <v>16000</v>
      </c>
      <c r="N88" t="s">
        <v>793</v>
      </c>
      <c r="O88">
        <v>663.06970320100004</v>
      </c>
      <c r="P88">
        <v>663.62299305997999</v>
      </c>
      <c r="Q88">
        <v>16000</v>
      </c>
      <c r="V88" t="s">
        <v>793</v>
      </c>
      <c r="W88">
        <v>312.64827724999998</v>
      </c>
      <c r="X88">
        <v>312.90636624798901</v>
      </c>
      <c r="Y88">
        <v>16000</v>
      </c>
      <c r="AC88" t="s">
        <v>919</v>
      </c>
      <c r="AD88" t="s">
        <v>793</v>
      </c>
      <c r="AE88">
        <v>274.56951914199999</v>
      </c>
      <c r="AF88">
        <v>274.83786791600801</v>
      </c>
      <c r="AG88">
        <v>16000</v>
      </c>
      <c r="AM88" t="s">
        <v>919</v>
      </c>
      <c r="AN88" t="s">
        <v>793</v>
      </c>
      <c r="AO88">
        <v>663.28898936500002</v>
      </c>
      <c r="AP88">
        <v>663.84552952399804</v>
      </c>
      <c r="AQ88">
        <v>16000</v>
      </c>
      <c r="AX88" t="s">
        <v>919</v>
      </c>
      <c r="AY88" t="s">
        <v>793</v>
      </c>
      <c r="AZ88">
        <v>323.44657573400002</v>
      </c>
      <c r="BA88">
        <v>323.764106108021</v>
      </c>
      <c r="BB88">
        <v>16000</v>
      </c>
      <c r="BO88" t="s">
        <v>793</v>
      </c>
      <c r="BP88">
        <v>667.46882209900002</v>
      </c>
      <c r="BQ88">
        <v>668.03785616595997</v>
      </c>
      <c r="BR88">
        <v>16000</v>
      </c>
      <c r="CR88" t="s">
        <v>793</v>
      </c>
      <c r="CS88">
        <v>664.18592837100005</v>
      </c>
      <c r="CT88">
        <v>664.67229039699305</v>
      </c>
      <c r="CU88">
        <v>16000</v>
      </c>
      <c r="DA88" t="s">
        <v>793</v>
      </c>
      <c r="DB88">
        <v>682.98588156000005</v>
      </c>
      <c r="DC88">
        <v>683.71238068805496</v>
      </c>
      <c r="DD88">
        <v>16000</v>
      </c>
      <c r="DJ88" t="s">
        <v>793</v>
      </c>
      <c r="DK88">
        <v>656.06675297000004</v>
      </c>
      <c r="DL88">
        <v>656.55288298695802</v>
      </c>
      <c r="DM88">
        <v>16000</v>
      </c>
    </row>
    <row r="89" spans="1:117" x14ac:dyDescent="0.2">
      <c r="A89">
        <v>1000</v>
      </c>
      <c r="B89">
        <v>6</v>
      </c>
      <c r="C89" t="str">
        <f t="shared" si="1"/>
        <v>1000-06</v>
      </c>
      <c r="F89" t="s">
        <v>793</v>
      </c>
      <c r="G89">
        <v>251.09907551200001</v>
      </c>
      <c r="H89">
        <v>251.45683451399901</v>
      </c>
      <c r="I89">
        <v>16000</v>
      </c>
      <c r="N89" t="s">
        <v>792</v>
      </c>
      <c r="O89">
        <v>900.55083214000001</v>
      </c>
      <c r="P89">
        <v>901.27578969599494</v>
      </c>
      <c r="Q89">
        <v>3666.0060159999998</v>
      </c>
      <c r="V89" t="s">
        <v>792</v>
      </c>
      <c r="W89">
        <v>900.73907356899997</v>
      </c>
      <c r="X89">
        <v>901.27691516299001</v>
      </c>
      <c r="Y89">
        <v>3724.8286720000001</v>
      </c>
      <c r="AC89" t="s">
        <v>920</v>
      </c>
      <c r="AD89" t="s">
        <v>793</v>
      </c>
      <c r="AE89">
        <v>250.412556239</v>
      </c>
      <c r="AF89">
        <v>250.661078405973</v>
      </c>
      <c r="AG89">
        <v>16000</v>
      </c>
      <c r="AM89" t="s">
        <v>920</v>
      </c>
      <c r="AN89" t="s">
        <v>792</v>
      </c>
      <c r="AO89">
        <v>900.36913307099996</v>
      </c>
      <c r="AP89">
        <v>901.269329681003</v>
      </c>
      <c r="AQ89">
        <v>3666.0346880000002</v>
      </c>
      <c r="AX89" t="s">
        <v>920</v>
      </c>
      <c r="AY89" t="s">
        <v>792</v>
      </c>
      <c r="AZ89">
        <v>900.69767796500003</v>
      </c>
      <c r="BA89">
        <v>901.29005036398303</v>
      </c>
      <c r="BB89">
        <v>3724.7221760000002</v>
      </c>
      <c r="BO89" t="s">
        <v>792</v>
      </c>
      <c r="BP89">
        <v>900.54625066100004</v>
      </c>
      <c r="BQ89">
        <v>901.23416215594602</v>
      </c>
      <c r="BR89">
        <v>3665.9773439999999</v>
      </c>
      <c r="CR89" t="s">
        <v>792</v>
      </c>
      <c r="CS89">
        <v>900.51443181599996</v>
      </c>
      <c r="CT89">
        <v>901.21691093302798</v>
      </c>
      <c r="CU89">
        <v>3666.026496</v>
      </c>
      <c r="DA89" t="s">
        <v>792</v>
      </c>
      <c r="DB89">
        <v>900.53429076199996</v>
      </c>
      <c r="DC89">
        <v>901.23501016606997</v>
      </c>
      <c r="DD89">
        <v>3666.0019200000002</v>
      </c>
      <c r="DJ89" t="s">
        <v>792</v>
      </c>
      <c r="DK89">
        <v>900.56717202699997</v>
      </c>
      <c r="DL89">
        <v>901.24254567897799</v>
      </c>
      <c r="DM89">
        <v>3666.0387839999999</v>
      </c>
    </row>
    <row r="90" spans="1:117" x14ac:dyDescent="0.2">
      <c r="A90">
        <v>1000</v>
      </c>
      <c r="B90">
        <v>7</v>
      </c>
      <c r="C90" t="str">
        <f t="shared" si="1"/>
        <v>1000-07</v>
      </c>
      <c r="F90" t="s">
        <v>793</v>
      </c>
      <c r="G90">
        <v>262.887710137</v>
      </c>
      <c r="H90">
        <v>263.22493615199301</v>
      </c>
      <c r="I90">
        <v>16000</v>
      </c>
      <c r="N90" t="s">
        <v>793</v>
      </c>
      <c r="O90">
        <v>700.73535996700002</v>
      </c>
      <c r="P90">
        <v>701.39366052200705</v>
      </c>
      <c r="Q90">
        <v>16000</v>
      </c>
      <c r="V90" t="s">
        <v>793</v>
      </c>
      <c r="W90">
        <v>432.17932356900002</v>
      </c>
      <c r="X90">
        <v>432.573643270996</v>
      </c>
      <c r="Y90">
        <v>16000</v>
      </c>
      <c r="AC90" t="s">
        <v>921</v>
      </c>
      <c r="AD90" t="s">
        <v>793</v>
      </c>
      <c r="AE90">
        <v>262.63546230899999</v>
      </c>
      <c r="AF90">
        <v>262.932301905006</v>
      </c>
      <c r="AG90">
        <v>16000</v>
      </c>
      <c r="AM90" t="s">
        <v>921</v>
      </c>
      <c r="AN90" t="s">
        <v>793</v>
      </c>
      <c r="AO90">
        <v>704.30006337099996</v>
      </c>
      <c r="AP90">
        <v>704.92569162000996</v>
      </c>
      <c r="AQ90">
        <v>16000</v>
      </c>
      <c r="AX90" t="s">
        <v>921</v>
      </c>
      <c r="AY90" t="s">
        <v>793</v>
      </c>
      <c r="AZ90">
        <v>425.866931185</v>
      </c>
      <c r="BA90">
        <v>426.241324425995</v>
      </c>
      <c r="BB90">
        <v>16000</v>
      </c>
      <c r="BO90" t="s">
        <v>793</v>
      </c>
      <c r="BP90">
        <v>702.09824677799998</v>
      </c>
      <c r="BQ90">
        <v>702.67870806000406</v>
      </c>
      <c r="BR90">
        <v>16000</v>
      </c>
      <c r="CR90" t="s">
        <v>793</v>
      </c>
      <c r="CS90">
        <v>708.57161469100004</v>
      </c>
      <c r="CT90">
        <v>709.15646854497004</v>
      </c>
      <c r="CU90">
        <v>16000</v>
      </c>
      <c r="DA90" t="s">
        <v>793</v>
      </c>
      <c r="DB90">
        <v>713.22290128899999</v>
      </c>
      <c r="DC90">
        <v>713.89035630691797</v>
      </c>
      <c r="DD90">
        <v>16000</v>
      </c>
      <c r="DJ90" t="s">
        <v>793</v>
      </c>
      <c r="DK90">
        <v>714.23251892899998</v>
      </c>
      <c r="DL90">
        <v>714.89344605698705</v>
      </c>
      <c r="DM90">
        <v>16000</v>
      </c>
    </row>
    <row r="91" spans="1:117" x14ac:dyDescent="0.2">
      <c r="A91">
        <v>1000</v>
      </c>
      <c r="B91">
        <v>8</v>
      </c>
      <c r="C91" t="str">
        <f t="shared" si="1"/>
        <v>1000-08</v>
      </c>
      <c r="F91" t="s">
        <v>793</v>
      </c>
      <c r="G91">
        <v>287.48356566400003</v>
      </c>
      <c r="H91">
        <v>287.78106176000398</v>
      </c>
      <c r="I91">
        <v>16000</v>
      </c>
      <c r="N91" t="s">
        <v>792</v>
      </c>
      <c r="O91">
        <v>900.82723470099995</v>
      </c>
      <c r="P91">
        <v>901.59833308798204</v>
      </c>
      <c r="Q91">
        <v>10521.067520000001</v>
      </c>
      <c r="V91" t="s">
        <v>793</v>
      </c>
      <c r="W91">
        <v>305.24589153400001</v>
      </c>
      <c r="X91">
        <v>305.66074921098999</v>
      </c>
      <c r="Y91">
        <v>16000</v>
      </c>
      <c r="AC91" t="s">
        <v>922</v>
      </c>
      <c r="AD91" t="s">
        <v>793</v>
      </c>
      <c r="AE91">
        <v>290.33938035800003</v>
      </c>
      <c r="AF91">
        <v>290.680896350007</v>
      </c>
      <c r="AG91">
        <v>16000</v>
      </c>
      <c r="AM91" t="s">
        <v>922</v>
      </c>
      <c r="AN91" t="s">
        <v>792</v>
      </c>
      <c r="AO91">
        <v>900.92998198800001</v>
      </c>
      <c r="AP91">
        <v>901.701326365</v>
      </c>
      <c r="AQ91">
        <v>10521.063424</v>
      </c>
      <c r="AX91" t="s">
        <v>922</v>
      </c>
      <c r="AY91" t="s">
        <v>793</v>
      </c>
      <c r="AZ91">
        <v>294.09185460499998</v>
      </c>
      <c r="BA91">
        <v>294.36328369000603</v>
      </c>
      <c r="BB91">
        <v>16000</v>
      </c>
      <c r="BO91" t="s">
        <v>792</v>
      </c>
      <c r="BP91">
        <v>901.59957768200002</v>
      </c>
      <c r="BQ91">
        <v>902.64389062603004</v>
      </c>
      <c r="BR91">
        <v>10521.124863999999</v>
      </c>
      <c r="CR91" t="s">
        <v>792</v>
      </c>
      <c r="CS91">
        <v>900.89063871500002</v>
      </c>
      <c r="CT91">
        <v>901.59924795303903</v>
      </c>
      <c r="CU91">
        <v>10521.133056000001</v>
      </c>
      <c r="DA91" t="s">
        <v>792</v>
      </c>
      <c r="DB91">
        <v>900.83601309400001</v>
      </c>
      <c r="DC91">
        <v>901.56305550201796</v>
      </c>
      <c r="DD91">
        <v>10521.100288</v>
      </c>
      <c r="DJ91" t="s">
        <v>792</v>
      </c>
      <c r="DK91">
        <v>900.93810521199998</v>
      </c>
      <c r="DL91">
        <v>901.638419643975</v>
      </c>
      <c r="DM91">
        <v>10521.186304000001</v>
      </c>
    </row>
    <row r="92" spans="1:117" x14ac:dyDescent="0.2">
      <c r="A92">
        <v>1000</v>
      </c>
      <c r="B92">
        <v>9</v>
      </c>
      <c r="C92" t="str">
        <f t="shared" si="1"/>
        <v>1000-09</v>
      </c>
      <c r="F92" t="s">
        <v>793</v>
      </c>
      <c r="G92">
        <v>262.36976121100003</v>
      </c>
      <c r="H92">
        <v>262.65681015400298</v>
      </c>
      <c r="I92">
        <v>16000</v>
      </c>
      <c r="N92" t="s">
        <v>792</v>
      </c>
      <c r="O92">
        <v>900.76636056899997</v>
      </c>
      <c r="P92">
        <v>901.48927865299595</v>
      </c>
      <c r="Q92">
        <v>7385.870336</v>
      </c>
      <c r="V92" t="s">
        <v>793</v>
      </c>
      <c r="W92">
        <v>244.07689500500001</v>
      </c>
      <c r="X92">
        <v>244.301508309989</v>
      </c>
      <c r="Y92">
        <v>16000</v>
      </c>
      <c r="AC92" t="s">
        <v>923</v>
      </c>
      <c r="AD92" t="s">
        <v>793</v>
      </c>
      <c r="AE92">
        <v>260.84487040300002</v>
      </c>
      <c r="AF92">
        <v>261.13779170001999</v>
      </c>
      <c r="AG92">
        <v>16000</v>
      </c>
      <c r="AM92" t="s">
        <v>923</v>
      </c>
      <c r="AN92" t="s">
        <v>792</v>
      </c>
      <c r="AO92">
        <v>900.65596497800004</v>
      </c>
      <c r="AP92">
        <v>901.441066022001</v>
      </c>
      <c r="AQ92">
        <v>7385.82528</v>
      </c>
      <c r="AX92" t="s">
        <v>923</v>
      </c>
      <c r="AY92" t="s">
        <v>793</v>
      </c>
      <c r="AZ92">
        <v>235.278147838</v>
      </c>
      <c r="BA92">
        <v>235.503420410008</v>
      </c>
      <c r="BB92">
        <v>16000</v>
      </c>
      <c r="BO92" t="s">
        <v>792</v>
      </c>
      <c r="BP92">
        <v>900.72165951600005</v>
      </c>
      <c r="BQ92">
        <v>901.380948083009</v>
      </c>
      <c r="BR92">
        <v>7385.8826239999999</v>
      </c>
      <c r="CR92" t="s">
        <v>792</v>
      </c>
      <c r="CS92">
        <v>900.70868789799999</v>
      </c>
      <c r="CT92">
        <v>901.40744874707798</v>
      </c>
      <c r="CU92">
        <v>7385.8498559999998</v>
      </c>
      <c r="DA92" t="s">
        <v>792</v>
      </c>
      <c r="DB92">
        <v>901.35973159800005</v>
      </c>
      <c r="DC92">
        <v>902.41469137603406</v>
      </c>
      <c r="DD92">
        <v>7385.7843199999998</v>
      </c>
      <c r="DJ92" t="s">
        <v>792</v>
      </c>
      <c r="DK92">
        <v>900.70597084999997</v>
      </c>
      <c r="DL92">
        <v>901.41116275999195</v>
      </c>
      <c r="DM92">
        <v>7385.8416639999996</v>
      </c>
    </row>
    <row r="93" spans="1:117" x14ac:dyDescent="0.2">
      <c r="A93">
        <v>2000</v>
      </c>
      <c r="B93">
        <v>1</v>
      </c>
      <c r="C93" t="str">
        <f t="shared" si="1"/>
        <v>2000-01</v>
      </c>
      <c r="F93" t="s">
        <v>793</v>
      </c>
      <c r="G93">
        <v>582.11914469199996</v>
      </c>
      <c r="H93">
        <v>582.72520883100503</v>
      </c>
      <c r="I93">
        <v>16000</v>
      </c>
      <c r="N93" t="s">
        <v>792</v>
      </c>
      <c r="O93">
        <v>900.39668273799998</v>
      </c>
      <c r="P93">
        <v>901.03813226401599</v>
      </c>
      <c r="Q93">
        <v>30.576640000000001</v>
      </c>
      <c r="V93" t="s">
        <v>792</v>
      </c>
      <c r="W93">
        <v>900.4434215</v>
      </c>
      <c r="X93">
        <v>901.01623632699102</v>
      </c>
      <c r="Y93">
        <v>42.700800000000001</v>
      </c>
      <c r="AC93" t="s">
        <v>924</v>
      </c>
      <c r="AD93" t="s">
        <v>793</v>
      </c>
      <c r="AE93">
        <v>580.43816354600006</v>
      </c>
      <c r="AF93">
        <v>580.96108900901095</v>
      </c>
      <c r="AG93">
        <v>16000</v>
      </c>
      <c r="AM93" t="s">
        <v>924</v>
      </c>
      <c r="AN93" t="s">
        <v>792</v>
      </c>
      <c r="AO93">
        <v>900.45897315399998</v>
      </c>
      <c r="AP93">
        <v>901.04454218901799</v>
      </c>
      <c r="AQ93">
        <v>30.457856</v>
      </c>
      <c r="AX93" t="s">
        <v>924</v>
      </c>
      <c r="AY93" t="s">
        <v>792</v>
      </c>
      <c r="AZ93">
        <v>900.25743851899995</v>
      </c>
      <c r="BA93">
        <v>901.03909343900102</v>
      </c>
      <c r="BB93">
        <v>42.647551999999997</v>
      </c>
      <c r="BO93" t="s">
        <v>792</v>
      </c>
      <c r="BP93">
        <v>900.60900916499997</v>
      </c>
      <c r="BQ93">
        <v>901.01328622997903</v>
      </c>
      <c r="BR93">
        <v>30.855167999999999</v>
      </c>
      <c r="CR93" t="s">
        <v>792</v>
      </c>
      <c r="CS93">
        <v>900.62766445299997</v>
      </c>
      <c r="CT93">
        <v>901.01611483690795</v>
      </c>
      <c r="CU93">
        <v>30.466048000000001</v>
      </c>
      <c r="DA93" t="s">
        <v>792</v>
      </c>
      <c r="DB93">
        <v>900.54442005099997</v>
      </c>
      <c r="DC93">
        <v>901.01387265603898</v>
      </c>
      <c r="DD93">
        <v>30.494720000000001</v>
      </c>
      <c r="DJ93" t="s">
        <v>792</v>
      </c>
      <c r="DK93">
        <v>900.60608682199995</v>
      </c>
      <c r="DL93">
        <v>901.01132523303295</v>
      </c>
      <c r="DM93">
        <v>30.502911999999998</v>
      </c>
    </row>
    <row r="94" spans="1:117" x14ac:dyDescent="0.2">
      <c r="A94">
        <v>2000</v>
      </c>
      <c r="B94">
        <v>2</v>
      </c>
      <c r="C94" t="str">
        <f t="shared" si="1"/>
        <v>2000-02</v>
      </c>
      <c r="F94" t="s">
        <v>793</v>
      </c>
      <c r="G94">
        <v>250.22619452199999</v>
      </c>
      <c r="H94">
        <v>250.517418327988</v>
      </c>
      <c r="I94">
        <v>16000</v>
      </c>
      <c r="N94" t="s">
        <v>792</v>
      </c>
      <c r="O94">
        <v>900.72056358500004</v>
      </c>
      <c r="P94">
        <v>901.52777131099697</v>
      </c>
      <c r="Q94">
        <v>8522.3956479999997</v>
      </c>
      <c r="V94" t="s">
        <v>793</v>
      </c>
      <c r="W94">
        <v>327.93804776899998</v>
      </c>
      <c r="X94">
        <v>328.252815163999</v>
      </c>
      <c r="Y94">
        <v>16000</v>
      </c>
      <c r="AC94" t="s">
        <v>925</v>
      </c>
      <c r="AD94" t="s">
        <v>793</v>
      </c>
      <c r="AE94">
        <v>244.57435914300001</v>
      </c>
      <c r="AF94">
        <v>244.85483867800201</v>
      </c>
      <c r="AG94">
        <v>16000</v>
      </c>
      <c r="AM94" t="s">
        <v>925</v>
      </c>
      <c r="AN94" t="s">
        <v>792</v>
      </c>
      <c r="AO94">
        <v>900.71818734500005</v>
      </c>
      <c r="AP94">
        <v>901.49129543401</v>
      </c>
      <c r="AQ94">
        <v>8522.3792639999992</v>
      </c>
      <c r="AX94" t="s">
        <v>925</v>
      </c>
      <c r="AY94" t="s">
        <v>793</v>
      </c>
      <c r="AZ94">
        <v>318.26600759399997</v>
      </c>
      <c r="BA94">
        <v>318.52879911500997</v>
      </c>
      <c r="BB94">
        <v>16000</v>
      </c>
      <c r="BO94" t="s">
        <v>792</v>
      </c>
      <c r="BP94">
        <v>901.11953424599994</v>
      </c>
      <c r="BQ94">
        <v>901.59220479096905</v>
      </c>
      <c r="BR94">
        <v>8562.4422400000003</v>
      </c>
      <c r="CR94" t="s">
        <v>792</v>
      </c>
      <c r="CS94">
        <v>901.03023053000004</v>
      </c>
      <c r="CT94">
        <v>901.52505090495094</v>
      </c>
      <c r="CU94">
        <v>8522.7929600000007</v>
      </c>
      <c r="DA94" t="s">
        <v>792</v>
      </c>
      <c r="DB94">
        <v>900.87794292199999</v>
      </c>
      <c r="DC94">
        <v>901.52607001608703</v>
      </c>
      <c r="DD94">
        <v>8522.8298240000004</v>
      </c>
      <c r="DJ94" t="s">
        <v>792</v>
      </c>
      <c r="DK94">
        <v>900.94773721599995</v>
      </c>
      <c r="DL94">
        <v>901.55113573500398</v>
      </c>
      <c r="DM94">
        <v>8522.7888640000001</v>
      </c>
    </row>
    <row r="95" spans="1:117" x14ac:dyDescent="0.2">
      <c r="A95">
        <v>2000</v>
      </c>
      <c r="B95">
        <v>3</v>
      </c>
      <c r="C95" t="str">
        <f t="shared" si="1"/>
        <v>2000-03</v>
      </c>
      <c r="F95" t="s">
        <v>793</v>
      </c>
      <c r="G95">
        <v>307.74923450799997</v>
      </c>
      <c r="H95">
        <v>308.06941320399301</v>
      </c>
      <c r="I95">
        <v>16000</v>
      </c>
      <c r="N95" t="s">
        <v>792</v>
      </c>
      <c r="O95">
        <v>900.69148761700001</v>
      </c>
      <c r="P95">
        <v>901.46240371098895</v>
      </c>
      <c r="Q95">
        <v>7514.9721600000003</v>
      </c>
      <c r="V95" t="s">
        <v>793</v>
      </c>
      <c r="W95">
        <v>647.19680921700001</v>
      </c>
      <c r="X95">
        <v>647.92150491299901</v>
      </c>
      <c r="Y95">
        <v>16000</v>
      </c>
      <c r="AC95" t="s">
        <v>926</v>
      </c>
      <c r="AD95" t="s">
        <v>793</v>
      </c>
      <c r="AE95">
        <v>314.65199078500001</v>
      </c>
      <c r="AF95">
        <v>315.08791970301502</v>
      </c>
      <c r="AG95">
        <v>16000</v>
      </c>
      <c r="AM95" t="s">
        <v>926</v>
      </c>
      <c r="AN95" t="s">
        <v>792</v>
      </c>
      <c r="AO95">
        <v>900.80344073200001</v>
      </c>
      <c r="AP95">
        <v>901.482625842007</v>
      </c>
      <c r="AQ95">
        <v>7514.9352959999997</v>
      </c>
      <c r="AX95" t="s">
        <v>926</v>
      </c>
      <c r="AY95" t="s">
        <v>793</v>
      </c>
      <c r="AZ95">
        <v>667.359824688</v>
      </c>
      <c r="BA95">
        <v>668.10779063700397</v>
      </c>
      <c r="BB95">
        <v>16000</v>
      </c>
      <c r="BO95" t="s">
        <v>792</v>
      </c>
      <c r="BP95">
        <v>900.89989123999999</v>
      </c>
      <c r="BQ95">
        <v>901.45214587799205</v>
      </c>
      <c r="BR95">
        <v>7516.0248320000001</v>
      </c>
      <c r="CR95" t="s">
        <v>792</v>
      </c>
      <c r="CS95">
        <v>901.08136970999999</v>
      </c>
      <c r="CT95">
        <v>901.56947328895296</v>
      </c>
      <c r="CU95">
        <v>9169.1089919999995</v>
      </c>
      <c r="DA95" t="s">
        <v>792</v>
      </c>
      <c r="DB95">
        <v>900.76351920000002</v>
      </c>
      <c r="DC95">
        <v>901.39795909204895</v>
      </c>
      <c r="DD95">
        <v>7516.0453120000002</v>
      </c>
      <c r="DJ95" t="s">
        <v>792</v>
      </c>
      <c r="DK95">
        <v>900.99693724300005</v>
      </c>
      <c r="DL95">
        <v>901.49079330696202</v>
      </c>
      <c r="DM95">
        <v>7611.7237759999998</v>
      </c>
    </row>
    <row r="96" spans="1:117" x14ac:dyDescent="0.2">
      <c r="A96">
        <v>2000</v>
      </c>
      <c r="B96">
        <v>4</v>
      </c>
      <c r="C96" t="str">
        <f t="shared" si="1"/>
        <v>2000-04</v>
      </c>
      <c r="F96" t="s">
        <v>793</v>
      </c>
      <c r="G96">
        <v>253.005707871</v>
      </c>
      <c r="H96">
        <v>253.24168507200301</v>
      </c>
      <c r="I96">
        <v>16000</v>
      </c>
      <c r="N96" t="s">
        <v>792</v>
      </c>
      <c r="O96">
        <v>900.77881397399995</v>
      </c>
      <c r="P96">
        <v>901.595148168999</v>
      </c>
      <c r="Q96">
        <v>10078.117888000001</v>
      </c>
      <c r="V96" t="s">
        <v>793</v>
      </c>
      <c r="W96">
        <v>324.156788689</v>
      </c>
      <c r="X96">
        <v>324.44591418100703</v>
      </c>
      <c r="Y96">
        <v>16000</v>
      </c>
      <c r="AC96" t="s">
        <v>927</v>
      </c>
      <c r="AD96" t="s">
        <v>793</v>
      </c>
      <c r="AE96">
        <v>249.62426269299999</v>
      </c>
      <c r="AF96">
        <v>249.88869227899701</v>
      </c>
      <c r="AG96">
        <v>16000</v>
      </c>
      <c r="AM96" t="s">
        <v>927</v>
      </c>
      <c r="AN96" t="s">
        <v>792</v>
      </c>
      <c r="AO96">
        <v>901.329464723</v>
      </c>
      <c r="AP96">
        <v>901.92701896198503</v>
      </c>
      <c r="AQ96">
        <v>14911.746048000001</v>
      </c>
      <c r="AX96" t="s">
        <v>927</v>
      </c>
      <c r="AY96" t="s">
        <v>793</v>
      </c>
      <c r="AZ96">
        <v>310.288242287</v>
      </c>
      <c r="BA96">
        <v>310.55462788601199</v>
      </c>
      <c r="BB96">
        <v>16000</v>
      </c>
      <c r="BO96" t="s">
        <v>792</v>
      </c>
      <c r="BP96">
        <v>901.20585370699996</v>
      </c>
      <c r="BQ96">
        <v>901.78185215900805</v>
      </c>
      <c r="BR96">
        <v>14911.811583999999</v>
      </c>
      <c r="CR96" t="s">
        <v>792</v>
      </c>
      <c r="CS96">
        <v>901.087684029</v>
      </c>
      <c r="CT96">
        <v>901.68059871206003</v>
      </c>
      <c r="CU96">
        <v>14911.807488</v>
      </c>
      <c r="DA96" t="s">
        <v>792</v>
      </c>
      <c r="DB96">
        <v>900.89424329099995</v>
      </c>
      <c r="DC96">
        <v>901.56394970195799</v>
      </c>
      <c r="DD96">
        <v>10436.071424</v>
      </c>
      <c r="DJ96" t="s">
        <v>792</v>
      </c>
      <c r="DK96">
        <v>900.79541270599998</v>
      </c>
      <c r="DL96">
        <v>901.75348095002096</v>
      </c>
      <c r="DM96">
        <v>14911.725568</v>
      </c>
    </row>
    <row r="97" spans="1:117" x14ac:dyDescent="0.2">
      <c r="A97">
        <v>2000</v>
      </c>
      <c r="B97">
        <v>5</v>
      </c>
      <c r="C97" t="str">
        <f t="shared" si="1"/>
        <v>2000-05</v>
      </c>
      <c r="F97" t="s">
        <v>792</v>
      </c>
      <c r="G97">
        <v>900.20889267300004</v>
      </c>
      <c r="H97">
        <v>901.020783907995</v>
      </c>
      <c r="I97">
        <v>17.473535999999999</v>
      </c>
      <c r="N97" t="s">
        <v>792</v>
      </c>
      <c r="O97">
        <v>900.52786540800003</v>
      </c>
      <c r="P97">
        <v>901.03459176799504</v>
      </c>
      <c r="Q97">
        <v>14.856192</v>
      </c>
      <c r="V97" t="s">
        <v>792</v>
      </c>
      <c r="W97">
        <v>900.47654182099996</v>
      </c>
      <c r="X97">
        <v>901.01238936699497</v>
      </c>
      <c r="Y97">
        <v>15.286272</v>
      </c>
      <c r="AC97" t="s">
        <v>928</v>
      </c>
      <c r="AD97" t="s">
        <v>792</v>
      </c>
      <c r="AE97">
        <v>900.47565701200006</v>
      </c>
      <c r="AF97">
        <v>901.03347514700704</v>
      </c>
      <c r="AG97">
        <v>17.539072000000001</v>
      </c>
      <c r="AM97" t="s">
        <v>928</v>
      </c>
      <c r="AN97" t="s">
        <v>792</v>
      </c>
      <c r="AO97">
        <v>900.63067360000002</v>
      </c>
      <c r="AP97">
        <v>901.03900458000101</v>
      </c>
      <c r="AQ97">
        <v>14.635007999999999</v>
      </c>
      <c r="AX97" t="s">
        <v>928</v>
      </c>
      <c r="AY97" t="s">
        <v>792</v>
      </c>
      <c r="AZ97">
        <v>900.59843831199998</v>
      </c>
      <c r="BA97">
        <v>901.03984319401195</v>
      </c>
      <c r="BB97">
        <v>15.38048</v>
      </c>
      <c r="BO97" t="s">
        <v>792</v>
      </c>
      <c r="BP97">
        <v>900.65131088500004</v>
      </c>
      <c r="BQ97">
        <v>901.00878908997402</v>
      </c>
      <c r="BR97">
        <v>14.467072</v>
      </c>
      <c r="CR97" t="s">
        <v>792</v>
      </c>
      <c r="CS97">
        <v>900.58582353300005</v>
      </c>
      <c r="CT97">
        <v>901.00911580503396</v>
      </c>
      <c r="CU97">
        <v>14.532608</v>
      </c>
      <c r="DA97" t="s">
        <v>792</v>
      </c>
      <c r="DB97">
        <v>900.56837061299996</v>
      </c>
      <c r="DC97">
        <v>901.00651101500205</v>
      </c>
      <c r="DD97">
        <v>14.72512</v>
      </c>
      <c r="DJ97" t="s">
        <v>792</v>
      </c>
      <c r="DK97">
        <v>900.54280842200001</v>
      </c>
      <c r="DL97">
        <v>901.01031202101103</v>
      </c>
      <c r="DM97">
        <v>14.647296000000001</v>
      </c>
    </row>
    <row r="98" spans="1:117" x14ac:dyDescent="0.2">
      <c r="A98">
        <v>2000</v>
      </c>
      <c r="B98">
        <v>6</v>
      </c>
      <c r="C98" t="str">
        <f t="shared" si="1"/>
        <v>2000-06</v>
      </c>
      <c r="F98" t="s">
        <v>793</v>
      </c>
      <c r="G98">
        <v>298.22583375200003</v>
      </c>
      <c r="H98">
        <v>298.48290112300299</v>
      </c>
      <c r="I98">
        <v>16000</v>
      </c>
      <c r="N98" t="s">
        <v>792</v>
      </c>
      <c r="O98">
        <v>901.35828432999995</v>
      </c>
      <c r="P98">
        <v>902.00764392898395</v>
      </c>
      <c r="Q98">
        <v>14905.667584000001</v>
      </c>
      <c r="V98" t="s">
        <v>793</v>
      </c>
      <c r="W98">
        <v>519.28586867299998</v>
      </c>
      <c r="X98">
        <v>519.75264948300901</v>
      </c>
      <c r="Y98">
        <v>16000</v>
      </c>
      <c r="AC98" t="s">
        <v>929</v>
      </c>
      <c r="AD98" t="s">
        <v>793</v>
      </c>
      <c r="AE98">
        <v>314.24517816399998</v>
      </c>
      <c r="AF98">
        <v>314.57242481200899</v>
      </c>
      <c r="AG98">
        <v>16000</v>
      </c>
      <c r="AM98" t="s">
        <v>929</v>
      </c>
      <c r="AN98" t="s">
        <v>792</v>
      </c>
      <c r="AO98">
        <v>900.98780075800005</v>
      </c>
      <c r="AP98">
        <v>901.86473650499795</v>
      </c>
      <c r="AQ98">
        <v>14905.683967999999</v>
      </c>
      <c r="AX98" t="s">
        <v>929</v>
      </c>
      <c r="AY98" t="s">
        <v>793</v>
      </c>
      <c r="AZ98">
        <v>495.25355326200003</v>
      </c>
      <c r="BA98">
        <v>495.58100739898498</v>
      </c>
      <c r="BB98">
        <v>16000</v>
      </c>
      <c r="BO98" t="s">
        <v>792</v>
      </c>
      <c r="BP98">
        <v>901.06411160799996</v>
      </c>
      <c r="BQ98">
        <v>901.82925517600904</v>
      </c>
      <c r="BR98">
        <v>14905.696255999999</v>
      </c>
      <c r="CR98" t="s">
        <v>792</v>
      </c>
      <c r="CS98">
        <v>901.15527303500005</v>
      </c>
      <c r="CT98">
        <v>901.72883197292595</v>
      </c>
      <c r="CU98">
        <v>14905.749503999999</v>
      </c>
      <c r="DA98" t="s">
        <v>792</v>
      </c>
      <c r="DB98">
        <v>901.15437354799997</v>
      </c>
      <c r="DC98">
        <v>901.81704650504901</v>
      </c>
      <c r="DD98">
        <v>14905.749503999999</v>
      </c>
      <c r="DJ98" t="s">
        <v>792</v>
      </c>
      <c r="DK98">
        <v>901.77298471300003</v>
      </c>
      <c r="DL98">
        <v>902.82339746400203</v>
      </c>
      <c r="DM98">
        <v>14905.663488</v>
      </c>
    </row>
    <row r="99" spans="1:117" x14ac:dyDescent="0.2">
      <c r="A99">
        <v>2000</v>
      </c>
      <c r="B99">
        <v>7</v>
      </c>
      <c r="C99" t="str">
        <f t="shared" si="1"/>
        <v>2000-07</v>
      </c>
      <c r="F99" t="s">
        <v>793</v>
      </c>
      <c r="G99">
        <v>258.83180474300002</v>
      </c>
      <c r="H99">
        <v>259.10223879999802</v>
      </c>
      <c r="I99">
        <v>16000</v>
      </c>
      <c r="N99" t="s">
        <v>792</v>
      </c>
      <c r="O99">
        <v>900.96241923299999</v>
      </c>
      <c r="P99">
        <v>901.55686242700904</v>
      </c>
      <c r="Q99">
        <v>8621.1747840000007</v>
      </c>
      <c r="V99" t="s">
        <v>793</v>
      </c>
      <c r="W99">
        <v>242.468595765</v>
      </c>
      <c r="X99">
        <v>242.73552612900599</v>
      </c>
      <c r="Y99">
        <v>16000</v>
      </c>
      <c r="AC99" t="s">
        <v>930</v>
      </c>
      <c r="AD99" t="s">
        <v>793</v>
      </c>
      <c r="AE99">
        <v>260.58133175699999</v>
      </c>
      <c r="AF99">
        <v>260.87826954099</v>
      </c>
      <c r="AG99">
        <v>16000</v>
      </c>
      <c r="AM99" t="s">
        <v>930</v>
      </c>
      <c r="AN99" t="s">
        <v>792</v>
      </c>
      <c r="AO99">
        <v>900.74241049600005</v>
      </c>
      <c r="AP99">
        <v>901.53860555199196</v>
      </c>
      <c r="AQ99">
        <v>8621.2157439999992</v>
      </c>
      <c r="AX99" t="s">
        <v>930</v>
      </c>
      <c r="AY99" t="s">
        <v>793</v>
      </c>
      <c r="AZ99">
        <v>233.588615465</v>
      </c>
      <c r="BA99">
        <v>233.78842897899401</v>
      </c>
      <c r="BB99">
        <v>16000</v>
      </c>
      <c r="BO99" t="s">
        <v>792</v>
      </c>
      <c r="BP99">
        <v>900.55834547699999</v>
      </c>
      <c r="BQ99">
        <v>901.48089583800095</v>
      </c>
      <c r="BR99">
        <v>8621.1420159999998</v>
      </c>
      <c r="CR99" t="s">
        <v>792</v>
      </c>
      <c r="CS99">
        <v>901.00059156299994</v>
      </c>
      <c r="CT99">
        <v>901.53585776302498</v>
      </c>
      <c r="CU99">
        <v>8621.2116480000004</v>
      </c>
      <c r="DA99" t="s">
        <v>792</v>
      </c>
      <c r="DB99">
        <v>900.71901522899998</v>
      </c>
      <c r="DC99">
        <v>901.599659082014</v>
      </c>
      <c r="DD99">
        <v>9337.2047359999997</v>
      </c>
      <c r="DJ99" t="s">
        <v>792</v>
      </c>
      <c r="DK99">
        <v>900.89749636199997</v>
      </c>
      <c r="DL99">
        <v>901.514237110968</v>
      </c>
      <c r="DM99">
        <v>8621.6499199999998</v>
      </c>
    </row>
    <row r="100" spans="1:117" x14ac:dyDescent="0.2">
      <c r="A100">
        <v>2000</v>
      </c>
      <c r="B100">
        <v>8</v>
      </c>
      <c r="C100" t="str">
        <f t="shared" si="1"/>
        <v>2000-08</v>
      </c>
      <c r="F100" t="s">
        <v>793</v>
      </c>
      <c r="G100">
        <v>284.63850855499999</v>
      </c>
      <c r="H100">
        <v>284.95059929499899</v>
      </c>
      <c r="I100">
        <v>16000</v>
      </c>
      <c r="N100" t="s">
        <v>793</v>
      </c>
      <c r="O100">
        <v>854.15114109800004</v>
      </c>
      <c r="P100">
        <v>854.80643164599303</v>
      </c>
      <c r="Q100">
        <v>16000</v>
      </c>
      <c r="V100" t="s">
        <v>793</v>
      </c>
      <c r="W100">
        <v>340.526669384</v>
      </c>
      <c r="X100">
        <v>340.80445082200401</v>
      </c>
      <c r="Y100">
        <v>16000</v>
      </c>
      <c r="AC100" t="s">
        <v>931</v>
      </c>
      <c r="AD100" t="s">
        <v>793</v>
      </c>
      <c r="AE100">
        <v>275.57270638099999</v>
      </c>
      <c r="AF100">
        <v>275.89137980598002</v>
      </c>
      <c r="AG100">
        <v>16000</v>
      </c>
      <c r="AM100" t="s">
        <v>931</v>
      </c>
      <c r="AN100" t="s">
        <v>793</v>
      </c>
      <c r="AO100">
        <v>871.35900070299999</v>
      </c>
      <c r="AP100">
        <v>872.23786564701004</v>
      </c>
      <c r="AQ100">
        <v>16000</v>
      </c>
      <c r="AX100" t="s">
        <v>931</v>
      </c>
      <c r="AY100" t="s">
        <v>793</v>
      </c>
      <c r="AZ100">
        <v>347.33163368700002</v>
      </c>
      <c r="BA100">
        <v>347.70050631297602</v>
      </c>
      <c r="BB100">
        <v>16000</v>
      </c>
      <c r="BO100" t="s">
        <v>793</v>
      </c>
      <c r="BP100">
        <v>778.44518987200001</v>
      </c>
      <c r="BQ100">
        <v>778.88217566197204</v>
      </c>
      <c r="BR100">
        <v>16000</v>
      </c>
      <c r="CR100" t="s">
        <v>793</v>
      </c>
      <c r="CS100">
        <v>831.39572565000003</v>
      </c>
      <c r="CT100">
        <v>831.92355672898702</v>
      </c>
      <c r="CU100">
        <v>16000</v>
      </c>
      <c r="DA100" t="s">
        <v>793</v>
      </c>
      <c r="DB100">
        <v>848.786699957</v>
      </c>
      <c r="DC100">
        <v>849.94194526702597</v>
      </c>
      <c r="DD100">
        <v>16000</v>
      </c>
      <c r="DJ100" t="s">
        <v>793</v>
      </c>
      <c r="DK100">
        <v>825.53536260199996</v>
      </c>
      <c r="DL100">
        <v>826.04539871099405</v>
      </c>
      <c r="DM100">
        <v>16000</v>
      </c>
    </row>
    <row r="101" spans="1:117" x14ac:dyDescent="0.2">
      <c r="A101">
        <v>2000</v>
      </c>
      <c r="B101">
        <v>9</v>
      </c>
      <c r="C101" t="str">
        <f t="shared" si="1"/>
        <v>2000-09</v>
      </c>
      <c r="F101" t="s">
        <v>793</v>
      </c>
      <c r="G101">
        <v>616.23202273699997</v>
      </c>
      <c r="H101">
        <v>616.75161930399099</v>
      </c>
      <c r="I101">
        <v>16000</v>
      </c>
      <c r="N101" t="s">
        <v>792</v>
      </c>
      <c r="O101">
        <v>900.98576458499997</v>
      </c>
      <c r="P101">
        <v>901.79579226500903</v>
      </c>
      <c r="Q101">
        <v>14945.570815999999</v>
      </c>
      <c r="V101" t="s">
        <v>793</v>
      </c>
      <c r="W101">
        <v>344.79597899999999</v>
      </c>
      <c r="X101">
        <v>345.04173641599402</v>
      </c>
      <c r="Y101">
        <v>16000</v>
      </c>
      <c r="AC101" t="s">
        <v>932</v>
      </c>
      <c r="AD101" t="s">
        <v>793</v>
      </c>
      <c r="AE101">
        <v>579.44181760499998</v>
      </c>
      <c r="AF101">
        <v>579.86941624499696</v>
      </c>
      <c r="AG101">
        <v>16000</v>
      </c>
      <c r="AM101" t="s">
        <v>932</v>
      </c>
      <c r="AN101" t="s">
        <v>792</v>
      </c>
      <c r="AO101">
        <v>901.000313914</v>
      </c>
      <c r="AP101">
        <v>901.80415554702597</v>
      </c>
      <c r="AQ101">
        <v>14943.694847999999</v>
      </c>
      <c r="AX101" t="s">
        <v>932</v>
      </c>
      <c r="AY101" t="s">
        <v>793</v>
      </c>
      <c r="AZ101">
        <v>360.17948710100001</v>
      </c>
      <c r="BA101">
        <v>360.541799129016</v>
      </c>
      <c r="BB101">
        <v>16000</v>
      </c>
      <c r="BO101" t="s">
        <v>792</v>
      </c>
      <c r="BP101">
        <v>901.16262925900003</v>
      </c>
      <c r="BQ101">
        <v>901.78950611397102</v>
      </c>
      <c r="BR101">
        <v>15124.054016</v>
      </c>
      <c r="CR101" t="s">
        <v>793</v>
      </c>
      <c r="CS101">
        <v>878.784804237</v>
      </c>
      <c r="CT101">
        <v>879.32006636902202</v>
      </c>
      <c r="CU101">
        <v>16000</v>
      </c>
      <c r="DA101" t="s">
        <v>792</v>
      </c>
      <c r="DB101">
        <v>901.729480825</v>
      </c>
      <c r="DC101">
        <v>903.31101544503997</v>
      </c>
      <c r="DD101">
        <v>15455.997952</v>
      </c>
      <c r="DJ101" t="s">
        <v>793</v>
      </c>
      <c r="DK101">
        <v>890.66922448399998</v>
      </c>
      <c r="DL101">
        <v>891.22051051899302</v>
      </c>
      <c r="DM101">
        <v>16000</v>
      </c>
    </row>
    <row r="102" spans="1:117" x14ac:dyDescent="0.2">
      <c r="A102">
        <v>3000</v>
      </c>
      <c r="B102">
        <v>1</v>
      </c>
      <c r="C102" t="str">
        <f t="shared" si="1"/>
        <v>3000-01</v>
      </c>
      <c r="F102" t="s">
        <v>793</v>
      </c>
      <c r="G102">
        <v>268.30529043799999</v>
      </c>
      <c r="H102">
        <v>268.499615934997</v>
      </c>
      <c r="I102">
        <v>16000</v>
      </c>
      <c r="N102" t="s">
        <v>792</v>
      </c>
      <c r="O102">
        <v>901.27275374299995</v>
      </c>
      <c r="P102">
        <v>901.82218290699495</v>
      </c>
      <c r="Q102">
        <v>15003.136</v>
      </c>
      <c r="V102" t="s">
        <v>793</v>
      </c>
      <c r="W102">
        <v>635.65050912599997</v>
      </c>
      <c r="X102">
        <v>636.22975562998897</v>
      </c>
      <c r="Y102">
        <v>16000</v>
      </c>
      <c r="AC102" t="s">
        <v>933</v>
      </c>
      <c r="AD102" t="s">
        <v>793</v>
      </c>
      <c r="AE102">
        <v>276.798249849</v>
      </c>
      <c r="AF102">
        <v>277.16349226501097</v>
      </c>
      <c r="AG102">
        <v>16000</v>
      </c>
      <c r="AM102" t="s">
        <v>933</v>
      </c>
      <c r="AN102" t="s">
        <v>792</v>
      </c>
      <c r="AO102">
        <v>901.19518481199998</v>
      </c>
      <c r="AP102">
        <v>901.80096493498399</v>
      </c>
      <c r="AQ102">
        <v>15003.078656</v>
      </c>
      <c r="AX102" t="s">
        <v>933</v>
      </c>
      <c r="AY102" t="s">
        <v>793</v>
      </c>
      <c r="AZ102">
        <v>625.67023580099999</v>
      </c>
      <c r="BA102">
        <v>626.28141064700299</v>
      </c>
      <c r="BB102">
        <v>16000</v>
      </c>
      <c r="BO102" t="s">
        <v>792</v>
      </c>
      <c r="BP102">
        <v>901.12891494999997</v>
      </c>
      <c r="BQ102">
        <v>901.74795110098705</v>
      </c>
      <c r="BR102">
        <v>15003.09504</v>
      </c>
      <c r="CR102" t="s">
        <v>792</v>
      </c>
      <c r="CS102">
        <v>901.26649021799994</v>
      </c>
      <c r="CT102">
        <v>901.82262390095195</v>
      </c>
      <c r="CU102">
        <v>15003.15648</v>
      </c>
      <c r="DA102" t="s">
        <v>792</v>
      </c>
      <c r="DB102">
        <v>901.18049157999997</v>
      </c>
      <c r="DC102">
        <v>901.75710534397501</v>
      </c>
      <c r="DD102">
        <v>15003.140095999999</v>
      </c>
      <c r="DJ102" t="s">
        <v>792</v>
      </c>
      <c r="DK102">
        <v>901.20771792200003</v>
      </c>
      <c r="DL102">
        <v>901.76989259908396</v>
      </c>
      <c r="DM102">
        <v>15003.078656</v>
      </c>
    </row>
    <row r="103" spans="1:117" x14ac:dyDescent="0.2">
      <c r="A103">
        <v>3000</v>
      </c>
      <c r="B103">
        <v>2</v>
      </c>
      <c r="C103" t="str">
        <f t="shared" si="1"/>
        <v>3000-02</v>
      </c>
      <c r="F103" t="s">
        <v>793</v>
      </c>
      <c r="G103">
        <v>285.41984109399999</v>
      </c>
      <c r="H103">
        <v>285.70659864899</v>
      </c>
      <c r="I103">
        <v>16000</v>
      </c>
      <c r="N103" t="s">
        <v>792</v>
      </c>
      <c r="O103">
        <v>900.87425776400005</v>
      </c>
      <c r="P103">
        <v>901.59931908498402</v>
      </c>
      <c r="Q103">
        <v>10301.800448</v>
      </c>
      <c r="V103" t="s">
        <v>793</v>
      </c>
      <c r="W103">
        <v>277.96572436700001</v>
      </c>
      <c r="X103">
        <v>278.23262265599601</v>
      </c>
      <c r="Y103">
        <v>16000</v>
      </c>
      <c r="AC103" t="s">
        <v>934</v>
      </c>
      <c r="AD103" t="s">
        <v>793</v>
      </c>
      <c r="AE103">
        <v>283.46968845800001</v>
      </c>
      <c r="AF103">
        <v>283.78995911398601</v>
      </c>
      <c r="AG103">
        <v>16000</v>
      </c>
      <c r="AM103" t="s">
        <v>934</v>
      </c>
      <c r="AN103" t="s">
        <v>792</v>
      </c>
      <c r="AO103">
        <v>901.10289617900003</v>
      </c>
      <c r="AP103">
        <v>901.71026137599199</v>
      </c>
      <c r="AQ103">
        <v>10300.735488</v>
      </c>
      <c r="AX103" t="s">
        <v>934</v>
      </c>
      <c r="AY103" t="s">
        <v>793</v>
      </c>
      <c r="AZ103">
        <v>274.973767603</v>
      </c>
      <c r="BA103">
        <v>275.253649582999</v>
      </c>
      <c r="BB103">
        <v>16000</v>
      </c>
      <c r="BO103" t="s">
        <v>792</v>
      </c>
      <c r="BP103">
        <v>900.99485861400001</v>
      </c>
      <c r="BQ103">
        <v>901.61256876500499</v>
      </c>
      <c r="BR103">
        <v>10300.755967999999</v>
      </c>
      <c r="CR103" t="s">
        <v>792</v>
      </c>
      <c r="CS103">
        <v>901.06616005000001</v>
      </c>
      <c r="CT103">
        <v>901.62396903301101</v>
      </c>
      <c r="CU103">
        <v>10327.171071999999</v>
      </c>
      <c r="DA103" t="s">
        <v>792</v>
      </c>
      <c r="DB103">
        <v>900.968046039</v>
      </c>
      <c r="DC103">
        <v>901.64018849493004</v>
      </c>
      <c r="DD103">
        <v>10300.768255999999</v>
      </c>
      <c r="DJ103" t="s">
        <v>792</v>
      </c>
      <c r="DK103">
        <v>901.220892058</v>
      </c>
      <c r="DL103">
        <v>901.73735670000303</v>
      </c>
      <c r="DM103">
        <v>10551.750656</v>
      </c>
    </row>
    <row r="104" spans="1:117" x14ac:dyDescent="0.2">
      <c r="A104">
        <v>3000</v>
      </c>
      <c r="B104">
        <v>3</v>
      </c>
      <c r="C104" t="str">
        <f t="shared" si="1"/>
        <v>3000-03</v>
      </c>
      <c r="F104" t="s">
        <v>793</v>
      </c>
      <c r="G104">
        <v>240.51760868299999</v>
      </c>
      <c r="H104">
        <v>240.75687623699099</v>
      </c>
      <c r="I104">
        <v>16000</v>
      </c>
      <c r="N104" t="s">
        <v>792</v>
      </c>
      <c r="O104">
        <v>901.350013042</v>
      </c>
      <c r="P104">
        <v>901.95366802901799</v>
      </c>
      <c r="Q104">
        <v>14927.753215999999</v>
      </c>
      <c r="V104" t="s">
        <v>793</v>
      </c>
      <c r="W104">
        <v>352.77931713300001</v>
      </c>
      <c r="X104">
        <v>353.00448808199098</v>
      </c>
      <c r="Y104">
        <v>16000</v>
      </c>
      <c r="AC104" t="s">
        <v>935</v>
      </c>
      <c r="AD104" t="s">
        <v>793</v>
      </c>
      <c r="AE104">
        <v>240.79882419899999</v>
      </c>
      <c r="AF104">
        <v>241.024381825001</v>
      </c>
      <c r="AG104">
        <v>16000</v>
      </c>
      <c r="AM104" t="s">
        <v>935</v>
      </c>
      <c r="AN104" t="s">
        <v>792</v>
      </c>
      <c r="AO104">
        <v>900.73601434600005</v>
      </c>
      <c r="AP104">
        <v>901.66066068998703</v>
      </c>
      <c r="AQ104">
        <v>10185.46176</v>
      </c>
      <c r="AX104" t="s">
        <v>935</v>
      </c>
      <c r="AY104" t="s">
        <v>793</v>
      </c>
      <c r="AZ104">
        <v>378.66010631</v>
      </c>
      <c r="BA104">
        <v>379.025759875017</v>
      </c>
      <c r="BB104">
        <v>16000</v>
      </c>
      <c r="BO104" t="s">
        <v>792</v>
      </c>
      <c r="BP104">
        <v>900.94739217999995</v>
      </c>
      <c r="BQ104">
        <v>901.83817888901103</v>
      </c>
      <c r="BR104">
        <v>14927.720448</v>
      </c>
      <c r="CR104" t="s">
        <v>792</v>
      </c>
      <c r="CS104">
        <v>900.89422182099997</v>
      </c>
      <c r="CT104">
        <v>901.59455667599104</v>
      </c>
      <c r="CU104">
        <v>10270.724096</v>
      </c>
      <c r="DA104" t="s">
        <v>792</v>
      </c>
      <c r="DB104">
        <v>900.92090974400003</v>
      </c>
      <c r="DC104">
        <v>901.63399854791305</v>
      </c>
      <c r="DD104">
        <v>10590.732287999999</v>
      </c>
      <c r="DJ104" t="s">
        <v>792</v>
      </c>
      <c r="DK104">
        <v>900.87357689199996</v>
      </c>
      <c r="DL104">
        <v>901.58711781899899</v>
      </c>
      <c r="DM104">
        <v>10185.560063999999</v>
      </c>
    </row>
    <row r="105" spans="1:117" x14ac:dyDescent="0.2">
      <c r="A105">
        <v>3000</v>
      </c>
      <c r="B105">
        <v>4</v>
      </c>
      <c r="C105" t="str">
        <f t="shared" si="1"/>
        <v>3000-04</v>
      </c>
      <c r="F105" t="s">
        <v>793</v>
      </c>
      <c r="G105">
        <v>258.53009854200002</v>
      </c>
      <c r="H105">
        <v>258.81165799198698</v>
      </c>
      <c r="I105">
        <v>16000</v>
      </c>
      <c r="N105" t="s">
        <v>793</v>
      </c>
      <c r="O105">
        <v>745.36582776800003</v>
      </c>
      <c r="P105">
        <v>745.98482066998201</v>
      </c>
      <c r="Q105">
        <v>16000</v>
      </c>
      <c r="V105" t="s">
        <v>793</v>
      </c>
      <c r="W105">
        <v>240.895198806</v>
      </c>
      <c r="X105">
        <v>241.14391566799799</v>
      </c>
      <c r="Y105">
        <v>16000</v>
      </c>
      <c r="AC105" t="s">
        <v>936</v>
      </c>
      <c r="AD105" t="s">
        <v>793</v>
      </c>
      <c r="AE105">
        <v>269.47697736399999</v>
      </c>
      <c r="AF105">
        <v>269.81712064502</v>
      </c>
      <c r="AG105">
        <v>16000</v>
      </c>
      <c r="AM105" t="s">
        <v>936</v>
      </c>
      <c r="AN105" t="s">
        <v>793</v>
      </c>
      <c r="AO105">
        <v>743.21841240900005</v>
      </c>
      <c r="AP105">
        <v>743.92142132000299</v>
      </c>
      <c r="AQ105">
        <v>16000</v>
      </c>
      <c r="AX105" t="s">
        <v>936</v>
      </c>
      <c r="AY105" t="s">
        <v>793</v>
      </c>
      <c r="AZ105">
        <v>224.29583413899999</v>
      </c>
      <c r="BA105">
        <v>224.56679659298899</v>
      </c>
      <c r="BB105">
        <v>16000</v>
      </c>
      <c r="BO105" t="s">
        <v>793</v>
      </c>
      <c r="BP105">
        <v>728.42795216900004</v>
      </c>
      <c r="BQ105">
        <v>729.05198001302699</v>
      </c>
      <c r="BR105">
        <v>16000</v>
      </c>
      <c r="CR105" t="s">
        <v>793</v>
      </c>
      <c r="CS105">
        <v>725.88697568299995</v>
      </c>
      <c r="CT105">
        <v>726.36770476796596</v>
      </c>
      <c r="CU105">
        <v>16000</v>
      </c>
      <c r="DA105" t="s">
        <v>793</v>
      </c>
      <c r="DB105">
        <v>734.50407175700002</v>
      </c>
      <c r="DC105">
        <v>735.09397740894894</v>
      </c>
      <c r="DD105">
        <v>16000</v>
      </c>
      <c r="DJ105" t="s">
        <v>793</v>
      </c>
      <c r="DK105">
        <v>740.51570298700005</v>
      </c>
      <c r="DL105">
        <v>741.11665460793301</v>
      </c>
      <c r="DM105">
        <v>16000</v>
      </c>
    </row>
    <row r="106" spans="1:117" x14ac:dyDescent="0.2">
      <c r="A106">
        <v>3000</v>
      </c>
      <c r="B106">
        <v>5</v>
      </c>
      <c r="C106" t="str">
        <f t="shared" si="1"/>
        <v>3000-05</v>
      </c>
      <c r="F106" t="s">
        <v>793</v>
      </c>
      <c r="G106">
        <v>336.67932731799999</v>
      </c>
      <c r="H106">
        <v>336.96810977499899</v>
      </c>
      <c r="I106">
        <v>16000</v>
      </c>
      <c r="N106" t="s">
        <v>793</v>
      </c>
      <c r="O106">
        <v>789.40168693299995</v>
      </c>
      <c r="P106">
        <v>790.10793234099401</v>
      </c>
      <c r="Q106">
        <v>16000</v>
      </c>
      <c r="V106" t="s">
        <v>793</v>
      </c>
      <c r="W106">
        <v>325.12804368399998</v>
      </c>
      <c r="X106">
        <v>325.50783231599701</v>
      </c>
      <c r="Y106">
        <v>16000</v>
      </c>
      <c r="AC106" t="s">
        <v>937</v>
      </c>
      <c r="AD106" t="s">
        <v>793</v>
      </c>
      <c r="AE106">
        <v>337.81699579299999</v>
      </c>
      <c r="AF106">
        <v>338.13064126300702</v>
      </c>
      <c r="AG106">
        <v>16000</v>
      </c>
      <c r="AM106" t="s">
        <v>937</v>
      </c>
      <c r="AN106" t="s">
        <v>793</v>
      </c>
      <c r="AO106">
        <v>786.88196169599996</v>
      </c>
      <c r="AP106">
        <v>787.67277381499298</v>
      </c>
      <c r="AQ106">
        <v>16000</v>
      </c>
      <c r="AX106" t="s">
        <v>937</v>
      </c>
      <c r="AY106" t="s">
        <v>793</v>
      </c>
      <c r="AZ106">
        <v>317.85088365199999</v>
      </c>
      <c r="BA106">
        <v>318.15921674098303</v>
      </c>
      <c r="BB106">
        <v>16000</v>
      </c>
      <c r="BO106" t="s">
        <v>793</v>
      </c>
      <c r="BP106">
        <v>786.70952483799999</v>
      </c>
      <c r="BQ106">
        <v>787.66289589903295</v>
      </c>
      <c r="BR106">
        <v>16000.004096000001</v>
      </c>
      <c r="CR106" t="s">
        <v>793</v>
      </c>
      <c r="CS106">
        <v>780.32831966499998</v>
      </c>
      <c r="CT106">
        <v>780.96670378500096</v>
      </c>
      <c r="CU106">
        <v>16000</v>
      </c>
      <c r="DA106" t="s">
        <v>793</v>
      </c>
      <c r="DB106">
        <v>780.45974282700001</v>
      </c>
      <c r="DC106">
        <v>781.00276768102697</v>
      </c>
      <c r="DD106">
        <v>16000</v>
      </c>
      <c r="DJ106" t="s">
        <v>793</v>
      </c>
      <c r="DK106">
        <v>782.11050053899999</v>
      </c>
      <c r="DL106">
        <v>782.702397390035</v>
      </c>
      <c r="DM106">
        <v>16000</v>
      </c>
    </row>
    <row r="107" spans="1:117" x14ac:dyDescent="0.2">
      <c r="A107">
        <v>3000</v>
      </c>
      <c r="B107">
        <v>6</v>
      </c>
      <c r="C107" t="str">
        <f t="shared" si="1"/>
        <v>3000-06</v>
      </c>
      <c r="F107" t="s">
        <v>793</v>
      </c>
      <c r="G107">
        <v>271.62205207300002</v>
      </c>
      <c r="H107">
        <v>271.96004959200201</v>
      </c>
      <c r="I107">
        <v>16000</v>
      </c>
      <c r="N107" t="s">
        <v>792</v>
      </c>
      <c r="O107">
        <v>900.94512350399998</v>
      </c>
      <c r="P107">
        <v>901.76756707299501</v>
      </c>
      <c r="Q107">
        <v>14924.300288</v>
      </c>
      <c r="V107" t="s">
        <v>793</v>
      </c>
      <c r="W107">
        <v>454.38299967</v>
      </c>
      <c r="X107">
        <v>454.83707107100003</v>
      </c>
      <c r="Y107">
        <v>16000</v>
      </c>
      <c r="AC107" t="s">
        <v>938</v>
      </c>
      <c r="AD107" t="s">
        <v>793</v>
      </c>
      <c r="AE107">
        <v>267.942629275</v>
      </c>
      <c r="AF107">
        <v>268.195778763009</v>
      </c>
      <c r="AG107">
        <v>16000</v>
      </c>
      <c r="AM107" t="s">
        <v>938</v>
      </c>
      <c r="AN107" t="s">
        <v>792</v>
      </c>
      <c r="AO107">
        <v>901.00845111399997</v>
      </c>
      <c r="AP107">
        <v>901.76985493401298</v>
      </c>
      <c r="AQ107">
        <v>14924.554239999999</v>
      </c>
      <c r="AX107" t="s">
        <v>938</v>
      </c>
      <c r="AY107" t="s">
        <v>793</v>
      </c>
      <c r="AZ107">
        <v>458.920008741</v>
      </c>
      <c r="BA107">
        <v>459.28614506797697</v>
      </c>
      <c r="BB107">
        <v>16000</v>
      </c>
      <c r="BO107" t="s">
        <v>792</v>
      </c>
      <c r="BP107">
        <v>900.86046795799996</v>
      </c>
      <c r="BQ107">
        <v>901.79424828296703</v>
      </c>
      <c r="BR107">
        <v>14924.185600000001</v>
      </c>
      <c r="CR107" t="s">
        <v>792</v>
      </c>
      <c r="CS107">
        <v>901.07814812200002</v>
      </c>
      <c r="CT107">
        <v>901.74790831201199</v>
      </c>
      <c r="CU107">
        <v>14924.24704</v>
      </c>
      <c r="DA107" t="s">
        <v>792</v>
      </c>
      <c r="DB107">
        <v>901.14078615699998</v>
      </c>
      <c r="DC107">
        <v>901.78576167696099</v>
      </c>
      <c r="DD107">
        <v>14924.775423999999</v>
      </c>
      <c r="DJ107" t="s">
        <v>792</v>
      </c>
      <c r="DK107">
        <v>901.10947052100005</v>
      </c>
      <c r="DL107">
        <v>901.75302809895902</v>
      </c>
      <c r="DM107">
        <v>14924.255232</v>
      </c>
    </row>
    <row r="108" spans="1:117" x14ac:dyDescent="0.2">
      <c r="A108">
        <v>3000</v>
      </c>
      <c r="B108">
        <v>7</v>
      </c>
      <c r="C108" t="str">
        <f t="shared" si="1"/>
        <v>3000-07</v>
      </c>
      <c r="F108" t="s">
        <v>793</v>
      </c>
      <c r="G108">
        <v>343.04800103500003</v>
      </c>
      <c r="H108">
        <v>343.41577640600701</v>
      </c>
      <c r="I108">
        <v>16000</v>
      </c>
      <c r="N108" t="s">
        <v>792</v>
      </c>
      <c r="O108">
        <v>900.71700633499995</v>
      </c>
      <c r="P108">
        <v>901.64621201599903</v>
      </c>
      <c r="Q108">
        <v>8135.417856</v>
      </c>
      <c r="V108" t="s">
        <v>793</v>
      </c>
      <c r="W108">
        <v>258.56895111099999</v>
      </c>
      <c r="X108">
        <v>258.820254959995</v>
      </c>
      <c r="Y108">
        <v>16000</v>
      </c>
      <c r="AC108" t="s">
        <v>939</v>
      </c>
      <c r="AD108" t="s">
        <v>793</v>
      </c>
      <c r="AE108">
        <v>343.37022203399999</v>
      </c>
      <c r="AF108">
        <v>343.652534286986</v>
      </c>
      <c r="AG108">
        <v>16000</v>
      </c>
      <c r="AM108" t="s">
        <v>939</v>
      </c>
      <c r="AN108" t="s">
        <v>792</v>
      </c>
      <c r="AO108">
        <v>900.91634880599997</v>
      </c>
      <c r="AP108">
        <v>901.54305200499903</v>
      </c>
      <c r="AQ108">
        <v>8135.3400320000001</v>
      </c>
      <c r="AX108" t="s">
        <v>939</v>
      </c>
      <c r="AY108" t="s">
        <v>793</v>
      </c>
      <c r="AZ108">
        <v>253.841023331</v>
      </c>
      <c r="BA108">
        <v>254.16259402100599</v>
      </c>
      <c r="BB108">
        <v>16000</v>
      </c>
      <c r="BO108" t="s">
        <v>792</v>
      </c>
      <c r="BP108">
        <v>900.40452521400005</v>
      </c>
      <c r="BQ108">
        <v>901.41527620900797</v>
      </c>
      <c r="BR108">
        <v>8135.3359360000004</v>
      </c>
      <c r="CR108" t="s">
        <v>792</v>
      </c>
      <c r="CS108">
        <v>900.75640189000001</v>
      </c>
      <c r="CT108">
        <v>901.41742227808504</v>
      </c>
      <c r="CU108">
        <v>8135.3113599999997</v>
      </c>
      <c r="DA108" t="s">
        <v>792</v>
      </c>
      <c r="DB108">
        <v>900.72805324599994</v>
      </c>
      <c r="DC108">
        <v>901.39339161396401</v>
      </c>
      <c r="DD108">
        <v>8135.3605120000002</v>
      </c>
      <c r="DJ108" t="s">
        <v>792</v>
      </c>
      <c r="DK108">
        <v>900.92455141799996</v>
      </c>
      <c r="DL108">
        <v>901.49736062297598</v>
      </c>
      <c r="DM108">
        <v>8135.3605120000002</v>
      </c>
    </row>
    <row r="109" spans="1:117" x14ac:dyDescent="0.2">
      <c r="A109">
        <v>3000</v>
      </c>
      <c r="B109">
        <v>8</v>
      </c>
      <c r="C109" t="str">
        <f t="shared" si="1"/>
        <v>3000-08</v>
      </c>
      <c r="F109" t="s">
        <v>793</v>
      </c>
      <c r="G109">
        <v>327.59544387699998</v>
      </c>
      <c r="H109">
        <v>327.87892896498602</v>
      </c>
      <c r="I109">
        <v>16000</v>
      </c>
      <c r="N109" t="s">
        <v>792</v>
      </c>
      <c r="O109">
        <v>901.15850951200002</v>
      </c>
      <c r="P109">
        <v>901.93839474397805</v>
      </c>
      <c r="Q109">
        <v>14971.269120000001</v>
      </c>
      <c r="V109" t="s">
        <v>793</v>
      </c>
      <c r="W109">
        <v>317.12780223499999</v>
      </c>
      <c r="X109">
        <v>317.46364615599998</v>
      </c>
      <c r="Y109">
        <v>16000</v>
      </c>
      <c r="AC109" t="s">
        <v>940</v>
      </c>
      <c r="AD109" t="s">
        <v>793</v>
      </c>
      <c r="AE109">
        <v>328.44329129400001</v>
      </c>
      <c r="AF109">
        <v>328.74410800798699</v>
      </c>
      <c r="AG109">
        <v>16000</v>
      </c>
      <c r="AM109" t="s">
        <v>940</v>
      </c>
      <c r="AN109" t="s">
        <v>792</v>
      </c>
      <c r="AO109">
        <v>900.96021605600004</v>
      </c>
      <c r="AP109">
        <v>901.80067377799401</v>
      </c>
      <c r="AQ109">
        <v>14971.211776</v>
      </c>
      <c r="AX109" t="s">
        <v>940</v>
      </c>
      <c r="AY109" t="s">
        <v>793</v>
      </c>
      <c r="AZ109">
        <v>314.91615663699997</v>
      </c>
      <c r="BA109">
        <v>315.23381061101099</v>
      </c>
      <c r="BB109">
        <v>16000</v>
      </c>
      <c r="BO109" t="s">
        <v>792</v>
      </c>
      <c r="BP109">
        <v>900.90743281699997</v>
      </c>
      <c r="BQ109">
        <v>901.89654768397997</v>
      </c>
      <c r="BR109">
        <v>14971.355136</v>
      </c>
      <c r="CR109" t="s">
        <v>792</v>
      </c>
      <c r="CS109">
        <v>901.22021886899995</v>
      </c>
      <c r="CT109">
        <v>901.79901118599798</v>
      </c>
      <c r="CU109">
        <v>14971.285503999999</v>
      </c>
      <c r="DA109" t="s">
        <v>792</v>
      </c>
      <c r="DB109">
        <v>901.15402593900001</v>
      </c>
      <c r="DC109">
        <v>901.82841175200804</v>
      </c>
      <c r="DD109">
        <v>14971.228160000001</v>
      </c>
      <c r="DJ109" t="s">
        <v>792</v>
      </c>
      <c r="DK109">
        <v>901.74740463499995</v>
      </c>
      <c r="DL109">
        <v>902.93867036502297</v>
      </c>
      <c r="DM109">
        <v>14971.236352</v>
      </c>
    </row>
    <row r="110" spans="1:117" x14ac:dyDescent="0.2">
      <c r="A110">
        <v>3000</v>
      </c>
      <c r="B110">
        <v>9</v>
      </c>
      <c r="C110" t="str">
        <f t="shared" si="1"/>
        <v>3000-09</v>
      </c>
      <c r="F110" t="s">
        <v>793</v>
      </c>
      <c r="G110">
        <v>307.561993196</v>
      </c>
      <c r="H110">
        <v>307.86389353699599</v>
      </c>
      <c r="I110">
        <v>16000</v>
      </c>
      <c r="N110" t="s">
        <v>793</v>
      </c>
      <c r="O110">
        <v>690.48207285800004</v>
      </c>
      <c r="P110">
        <v>691.18842823299894</v>
      </c>
      <c r="Q110">
        <v>16000</v>
      </c>
      <c r="V110" t="s">
        <v>793</v>
      </c>
      <c r="W110">
        <v>337.073463672</v>
      </c>
      <c r="X110">
        <v>337.32936606099202</v>
      </c>
      <c r="Y110">
        <v>16000</v>
      </c>
      <c r="AC110" t="s">
        <v>941</v>
      </c>
      <c r="AD110" t="s">
        <v>793</v>
      </c>
      <c r="AE110">
        <v>304.29222677600001</v>
      </c>
      <c r="AF110">
        <v>304.66691469601898</v>
      </c>
      <c r="AG110">
        <v>16000</v>
      </c>
      <c r="AM110" t="s">
        <v>941</v>
      </c>
      <c r="AN110" t="s">
        <v>793</v>
      </c>
      <c r="AO110">
        <v>684.75595167200004</v>
      </c>
      <c r="AP110">
        <v>685.29713960300398</v>
      </c>
      <c r="AQ110">
        <v>16000</v>
      </c>
      <c r="AX110" t="s">
        <v>941</v>
      </c>
      <c r="AY110" t="s">
        <v>793</v>
      </c>
      <c r="AZ110">
        <v>341.88798187499998</v>
      </c>
      <c r="BA110">
        <v>342.18959878699297</v>
      </c>
      <c r="BB110">
        <v>16000</v>
      </c>
      <c r="BO110" t="s">
        <v>793</v>
      </c>
      <c r="BP110">
        <v>675.56537813800003</v>
      </c>
      <c r="BQ110">
        <v>676.52260064805103</v>
      </c>
      <c r="BR110">
        <v>16000</v>
      </c>
      <c r="CR110" t="s">
        <v>793</v>
      </c>
      <c r="CS110">
        <v>693.14523645300005</v>
      </c>
      <c r="CT110">
        <v>693.74727749999101</v>
      </c>
      <c r="CU110">
        <v>16000</v>
      </c>
      <c r="DA110" t="s">
        <v>793</v>
      </c>
      <c r="DB110">
        <v>679.85181070700003</v>
      </c>
      <c r="DC110">
        <v>680.36826641194</v>
      </c>
      <c r="DD110">
        <v>16000</v>
      </c>
      <c r="DJ110" t="s">
        <v>793</v>
      </c>
      <c r="DK110">
        <v>668.94556210500002</v>
      </c>
      <c r="DL110">
        <v>669.47157020494296</v>
      </c>
      <c r="DM110">
        <v>16000</v>
      </c>
    </row>
    <row r="111" spans="1:117" x14ac:dyDescent="0.2">
      <c r="A111">
        <v>4000</v>
      </c>
      <c r="B111">
        <v>1</v>
      </c>
      <c r="C111" t="str">
        <f t="shared" si="1"/>
        <v>4000-01</v>
      </c>
      <c r="F111" t="s">
        <v>793</v>
      </c>
      <c r="G111">
        <v>244.30656988499999</v>
      </c>
      <c r="H111">
        <v>244.594936388006</v>
      </c>
      <c r="I111">
        <v>16000</v>
      </c>
      <c r="N111" t="s">
        <v>792</v>
      </c>
      <c r="O111">
        <v>900.978350987</v>
      </c>
      <c r="P111">
        <v>901.58787701401104</v>
      </c>
      <c r="Q111">
        <v>9249.4192640000001</v>
      </c>
      <c r="V111" t="s">
        <v>793</v>
      </c>
      <c r="W111">
        <v>635.579529579</v>
      </c>
      <c r="X111">
        <v>636.39711676399702</v>
      </c>
      <c r="Y111">
        <v>16000</v>
      </c>
      <c r="AC111" t="s">
        <v>942</v>
      </c>
      <c r="AD111" t="s">
        <v>793</v>
      </c>
      <c r="AE111">
        <v>234.739752428</v>
      </c>
      <c r="AF111">
        <v>235.01158107499899</v>
      </c>
      <c r="AG111">
        <v>16000</v>
      </c>
      <c r="AM111" t="s">
        <v>942</v>
      </c>
      <c r="AN111" t="s">
        <v>792</v>
      </c>
      <c r="AO111">
        <v>900.796229584</v>
      </c>
      <c r="AP111">
        <v>901.462653796013</v>
      </c>
      <c r="AQ111">
        <v>7410.0613119999998</v>
      </c>
      <c r="AX111" t="s">
        <v>942</v>
      </c>
      <c r="AY111" t="s">
        <v>793</v>
      </c>
      <c r="AZ111">
        <v>643.863641164</v>
      </c>
      <c r="BA111">
        <v>644.45923322401302</v>
      </c>
      <c r="BB111">
        <v>16000</v>
      </c>
      <c r="BO111" t="s">
        <v>792</v>
      </c>
      <c r="BP111">
        <v>900.73261430399998</v>
      </c>
      <c r="BQ111">
        <v>901.422210359014</v>
      </c>
      <c r="BR111">
        <v>7413.4691839999996</v>
      </c>
      <c r="CR111" t="s">
        <v>792</v>
      </c>
      <c r="CS111">
        <v>900.82898202299998</v>
      </c>
      <c r="CT111">
        <v>901.44235015904997</v>
      </c>
      <c r="CU111">
        <v>7985.782784</v>
      </c>
      <c r="DA111" t="s">
        <v>792</v>
      </c>
      <c r="DB111">
        <v>900.74129693500004</v>
      </c>
      <c r="DC111">
        <v>901.41798080399099</v>
      </c>
      <c r="DD111">
        <v>7409.5247360000003</v>
      </c>
      <c r="DJ111" t="s">
        <v>792</v>
      </c>
      <c r="DK111">
        <v>900.68328198100005</v>
      </c>
      <c r="DL111">
        <v>901.39720905898105</v>
      </c>
      <c r="DM111">
        <v>7409.4960639999999</v>
      </c>
    </row>
    <row r="112" spans="1:117" x14ac:dyDescent="0.2">
      <c r="A112">
        <v>4000</v>
      </c>
      <c r="B112">
        <v>2</v>
      </c>
      <c r="C112" t="str">
        <f t="shared" si="1"/>
        <v>4000-02</v>
      </c>
      <c r="F112" t="s">
        <v>793</v>
      </c>
      <c r="G112">
        <v>248.756620811</v>
      </c>
      <c r="H112">
        <v>248.96353736799199</v>
      </c>
      <c r="I112">
        <v>16000</v>
      </c>
      <c r="N112" t="s">
        <v>792</v>
      </c>
      <c r="O112">
        <v>901.24240564800004</v>
      </c>
      <c r="P112">
        <v>901.91772871301498</v>
      </c>
      <c r="Q112">
        <v>14961.659904</v>
      </c>
      <c r="V112" t="s">
        <v>793</v>
      </c>
      <c r="W112">
        <v>665.87671994599998</v>
      </c>
      <c r="X112">
        <v>666.35412283099095</v>
      </c>
      <c r="Y112">
        <v>16000</v>
      </c>
      <c r="AC112" t="s">
        <v>943</v>
      </c>
      <c r="AD112" t="s">
        <v>793</v>
      </c>
      <c r="AE112">
        <v>248.36849641800001</v>
      </c>
      <c r="AF112">
        <v>248.71803064900399</v>
      </c>
      <c r="AG112">
        <v>16000</v>
      </c>
      <c r="AM112" t="s">
        <v>943</v>
      </c>
      <c r="AN112" t="s">
        <v>792</v>
      </c>
      <c r="AO112">
        <v>901.20382762199995</v>
      </c>
      <c r="AP112">
        <v>901.88806596299401</v>
      </c>
      <c r="AQ112">
        <v>14961.782784000001</v>
      </c>
      <c r="AX112" t="s">
        <v>943</v>
      </c>
      <c r="AY112" t="s">
        <v>793</v>
      </c>
      <c r="AZ112">
        <v>687.99533256999996</v>
      </c>
      <c r="BA112">
        <v>688.59191049699405</v>
      </c>
      <c r="BB112">
        <v>16000</v>
      </c>
      <c r="BO112" t="s">
        <v>792</v>
      </c>
      <c r="BP112">
        <v>900.86489380900002</v>
      </c>
      <c r="BQ112">
        <v>901.85972496494605</v>
      </c>
      <c r="BR112">
        <v>14961.672192</v>
      </c>
      <c r="CR112" t="s">
        <v>792</v>
      </c>
      <c r="CS112">
        <v>900.96358180000004</v>
      </c>
      <c r="CT112">
        <v>901.736024035024</v>
      </c>
      <c r="CU112">
        <v>14961.639424000001</v>
      </c>
      <c r="DA112" t="s">
        <v>792</v>
      </c>
      <c r="DB112">
        <v>901.18412350699998</v>
      </c>
      <c r="DC112">
        <v>901.800923236995</v>
      </c>
      <c r="DD112">
        <v>14961.72544</v>
      </c>
      <c r="DJ112" t="s">
        <v>792</v>
      </c>
      <c r="DK112">
        <v>901.12642889000006</v>
      </c>
      <c r="DL112">
        <v>901.81576378503803</v>
      </c>
      <c r="DM112">
        <v>14961.651712000001</v>
      </c>
    </row>
    <row r="113" spans="1:117" x14ac:dyDescent="0.2">
      <c r="A113">
        <v>4000</v>
      </c>
      <c r="B113">
        <v>3</v>
      </c>
      <c r="C113" t="str">
        <f t="shared" si="1"/>
        <v>4000-03</v>
      </c>
      <c r="F113" t="s">
        <v>793</v>
      </c>
      <c r="G113">
        <v>371.01030385600001</v>
      </c>
      <c r="H113">
        <v>371.44298188199099</v>
      </c>
      <c r="I113">
        <v>16000</v>
      </c>
      <c r="N113" t="s">
        <v>792</v>
      </c>
      <c r="O113">
        <v>901.06232716900001</v>
      </c>
      <c r="P113">
        <v>901.81182724400401</v>
      </c>
      <c r="Q113">
        <v>14905.950208</v>
      </c>
      <c r="V113" t="s">
        <v>793</v>
      </c>
      <c r="W113">
        <v>354.31175540599997</v>
      </c>
      <c r="X113">
        <v>354.62059697500001</v>
      </c>
      <c r="Y113">
        <v>16000</v>
      </c>
      <c r="AC113" t="s">
        <v>944</v>
      </c>
      <c r="AD113" t="s">
        <v>793</v>
      </c>
      <c r="AE113">
        <v>371.58849856099999</v>
      </c>
      <c r="AF113">
        <v>371.98297135700699</v>
      </c>
      <c r="AG113">
        <v>16000</v>
      </c>
      <c r="AM113" t="s">
        <v>944</v>
      </c>
      <c r="AN113" t="s">
        <v>792</v>
      </c>
      <c r="AO113">
        <v>901.01939975599998</v>
      </c>
      <c r="AP113">
        <v>901.77926105298604</v>
      </c>
      <c r="AQ113">
        <v>14905.962496</v>
      </c>
      <c r="AX113" t="s">
        <v>944</v>
      </c>
      <c r="AY113" t="s">
        <v>793</v>
      </c>
      <c r="AZ113">
        <v>337.49577777299999</v>
      </c>
      <c r="BA113">
        <v>337.779750346002</v>
      </c>
      <c r="BB113">
        <v>16000</v>
      </c>
      <c r="BO113" t="s">
        <v>792</v>
      </c>
      <c r="BP113">
        <v>901.05709164200005</v>
      </c>
      <c r="BQ113">
        <v>901.75339160195995</v>
      </c>
      <c r="BR113">
        <v>14905.974784</v>
      </c>
      <c r="CR113" t="s">
        <v>792</v>
      </c>
      <c r="CS113">
        <v>901.14192345499998</v>
      </c>
      <c r="CT113">
        <v>901.79635689104896</v>
      </c>
      <c r="CU113">
        <v>14905.880576</v>
      </c>
      <c r="DA113" t="s">
        <v>792</v>
      </c>
      <c r="DB113">
        <v>901.01570640600005</v>
      </c>
      <c r="DC113">
        <v>901.75258238601896</v>
      </c>
      <c r="DD113">
        <v>14905.974784</v>
      </c>
      <c r="DJ113" t="s">
        <v>792</v>
      </c>
      <c r="DK113">
        <v>901.09309318500004</v>
      </c>
      <c r="DL113">
        <v>901.775773197994</v>
      </c>
      <c r="DM113">
        <v>14905.929727999999</v>
      </c>
    </row>
    <row r="114" spans="1:117" x14ac:dyDescent="0.2">
      <c r="A114">
        <v>4000</v>
      </c>
      <c r="B114">
        <v>4</v>
      </c>
      <c r="C114" t="str">
        <f t="shared" si="1"/>
        <v>4000-04</v>
      </c>
      <c r="F114" t="s">
        <v>793</v>
      </c>
      <c r="G114">
        <v>556.332110156</v>
      </c>
      <c r="H114">
        <v>556.89723488400296</v>
      </c>
      <c r="I114">
        <v>16000</v>
      </c>
      <c r="N114" t="s">
        <v>792</v>
      </c>
      <c r="O114">
        <v>900.94539999200003</v>
      </c>
      <c r="P114">
        <v>901.63555884198195</v>
      </c>
      <c r="Q114">
        <v>10020.503552</v>
      </c>
      <c r="V114" t="s">
        <v>792</v>
      </c>
      <c r="W114">
        <v>901.02902235399995</v>
      </c>
      <c r="X114">
        <v>901.68733524599497</v>
      </c>
      <c r="Y114">
        <v>12243.88608</v>
      </c>
      <c r="AC114" t="s">
        <v>945</v>
      </c>
      <c r="AD114" t="s">
        <v>793</v>
      </c>
      <c r="AE114">
        <v>552.37968263699997</v>
      </c>
      <c r="AF114">
        <v>552.85270375898097</v>
      </c>
      <c r="AG114">
        <v>16000</v>
      </c>
      <c r="AM114" t="s">
        <v>945</v>
      </c>
      <c r="AN114" t="s">
        <v>792</v>
      </c>
      <c r="AO114">
        <v>900.94177709899998</v>
      </c>
      <c r="AP114">
        <v>901.68869328501705</v>
      </c>
      <c r="AQ114">
        <v>10020.491264</v>
      </c>
      <c r="AX114" t="s">
        <v>945</v>
      </c>
      <c r="AY114" t="s">
        <v>792</v>
      </c>
      <c r="AZ114">
        <v>901.15080430499995</v>
      </c>
      <c r="BA114">
        <v>901.76015914202401</v>
      </c>
      <c r="BB114">
        <v>12243.918847999999</v>
      </c>
      <c r="BO114" t="s">
        <v>792</v>
      </c>
      <c r="BP114">
        <v>900.84357981000005</v>
      </c>
      <c r="BQ114">
        <v>901.56695265800204</v>
      </c>
      <c r="BR114">
        <v>10020.450304</v>
      </c>
      <c r="CR114" t="s">
        <v>792</v>
      </c>
      <c r="CS114">
        <v>900.77042279800003</v>
      </c>
      <c r="CT114">
        <v>901.50211640098098</v>
      </c>
      <c r="CU114">
        <v>10020.433919999999</v>
      </c>
      <c r="DA114" t="s">
        <v>792</v>
      </c>
      <c r="DB114">
        <v>900.97827774100006</v>
      </c>
      <c r="DC114">
        <v>901.65497214498396</v>
      </c>
      <c r="DD114">
        <v>10021.548032000001</v>
      </c>
      <c r="DJ114" t="s">
        <v>792</v>
      </c>
      <c r="DK114">
        <v>901.07046923899998</v>
      </c>
      <c r="DL114">
        <v>901.698017166927</v>
      </c>
      <c r="DM114">
        <v>10021.543936</v>
      </c>
    </row>
    <row r="115" spans="1:117" x14ac:dyDescent="0.2">
      <c r="A115">
        <v>4000</v>
      </c>
      <c r="B115">
        <v>5</v>
      </c>
      <c r="C115" t="str">
        <f t="shared" si="1"/>
        <v>4000-05</v>
      </c>
      <c r="F115" t="s">
        <v>793</v>
      </c>
      <c r="G115">
        <v>244.10800248199999</v>
      </c>
      <c r="H115">
        <v>244.32182600500499</v>
      </c>
      <c r="I115">
        <v>16000</v>
      </c>
      <c r="N115" t="s">
        <v>792</v>
      </c>
      <c r="O115">
        <v>900.80701242199996</v>
      </c>
      <c r="P115">
        <v>901.60814216500103</v>
      </c>
      <c r="Q115">
        <v>9184.8744960000004</v>
      </c>
      <c r="V115" t="s">
        <v>793</v>
      </c>
      <c r="W115">
        <v>339.42484381100002</v>
      </c>
      <c r="X115">
        <v>339.77508675100398</v>
      </c>
      <c r="Y115">
        <v>16000</v>
      </c>
      <c r="AC115" t="s">
        <v>946</v>
      </c>
      <c r="AD115" t="s">
        <v>793</v>
      </c>
      <c r="AE115">
        <v>243.15779695500001</v>
      </c>
      <c r="AF115">
        <v>243.38660526697601</v>
      </c>
      <c r="AG115">
        <v>16000</v>
      </c>
      <c r="AM115" t="s">
        <v>946</v>
      </c>
      <c r="AN115" t="s">
        <v>792</v>
      </c>
      <c r="AO115">
        <v>900.87342429399996</v>
      </c>
      <c r="AP115">
        <v>901.60721181298095</v>
      </c>
      <c r="AQ115">
        <v>9184.8089600000003</v>
      </c>
      <c r="AX115" t="s">
        <v>946</v>
      </c>
      <c r="AY115" t="s">
        <v>793</v>
      </c>
      <c r="AZ115">
        <v>315.044307135</v>
      </c>
      <c r="BA115">
        <v>315.38417215301803</v>
      </c>
      <c r="BB115">
        <v>16000</v>
      </c>
      <c r="BO115" t="s">
        <v>792</v>
      </c>
      <c r="BP115">
        <v>900.71337827399998</v>
      </c>
      <c r="BQ115">
        <v>901.50686766800902</v>
      </c>
      <c r="BR115">
        <v>9184.8581119999999</v>
      </c>
      <c r="CR115" t="s">
        <v>792</v>
      </c>
      <c r="CS115">
        <v>900.79652675399996</v>
      </c>
      <c r="CT115">
        <v>901.47927602601703</v>
      </c>
      <c r="CU115">
        <v>9184.8826879999997</v>
      </c>
      <c r="DA115" t="s">
        <v>792</v>
      </c>
      <c r="DB115">
        <v>900.79436122200002</v>
      </c>
      <c r="DC115">
        <v>901.507829000009</v>
      </c>
      <c r="DD115">
        <v>9184.8949759999996</v>
      </c>
      <c r="DJ115" t="s">
        <v>792</v>
      </c>
      <c r="DK115">
        <v>900.81408102099999</v>
      </c>
      <c r="DL115">
        <v>901.45671149995098</v>
      </c>
      <c r="DM115">
        <v>9184.9031680000007</v>
      </c>
    </row>
    <row r="116" spans="1:117" x14ac:dyDescent="0.2">
      <c r="A116">
        <v>4000</v>
      </c>
      <c r="B116">
        <v>6</v>
      </c>
      <c r="C116" t="str">
        <f t="shared" si="1"/>
        <v>4000-06</v>
      </c>
      <c r="F116" t="s">
        <v>793</v>
      </c>
      <c r="G116">
        <v>375.89139160100001</v>
      </c>
      <c r="H116">
        <v>376.35230451699999</v>
      </c>
      <c r="I116">
        <v>16000</v>
      </c>
      <c r="N116" t="s">
        <v>792</v>
      </c>
      <c r="O116">
        <v>901.06928317899997</v>
      </c>
      <c r="P116">
        <v>901.83447690398305</v>
      </c>
      <c r="Q116">
        <v>15057.223679999999</v>
      </c>
      <c r="V116" t="s">
        <v>792</v>
      </c>
      <c r="W116">
        <v>901.15531380599998</v>
      </c>
      <c r="X116">
        <v>901.88804656299101</v>
      </c>
      <c r="Y116">
        <v>15404.322816</v>
      </c>
      <c r="AC116" t="s">
        <v>947</v>
      </c>
      <c r="AD116" t="s">
        <v>793</v>
      </c>
      <c r="AE116">
        <v>357.00022468600002</v>
      </c>
      <c r="AF116">
        <v>357.28791985497799</v>
      </c>
      <c r="AG116">
        <v>16000</v>
      </c>
      <c r="AM116" t="s">
        <v>947</v>
      </c>
      <c r="AN116" t="s">
        <v>792</v>
      </c>
      <c r="AO116">
        <v>901.05077969599995</v>
      </c>
      <c r="AP116">
        <v>901.85729097001604</v>
      </c>
      <c r="AQ116">
        <v>15258.398719999999</v>
      </c>
      <c r="AX116" t="s">
        <v>947</v>
      </c>
      <c r="AY116" t="s">
        <v>792</v>
      </c>
      <c r="AZ116">
        <v>901.29869364700005</v>
      </c>
      <c r="BA116">
        <v>901.97087974400995</v>
      </c>
      <c r="BB116">
        <v>15414.505472000001</v>
      </c>
      <c r="BO116" t="s">
        <v>792</v>
      </c>
      <c r="BP116">
        <v>900.99498369299999</v>
      </c>
      <c r="BQ116">
        <v>901.76494385598903</v>
      </c>
      <c r="BR116">
        <v>14922.432511999999</v>
      </c>
      <c r="CR116" t="s">
        <v>792</v>
      </c>
      <c r="CS116">
        <v>901.10511475400006</v>
      </c>
      <c r="CT116">
        <v>901.79239354003198</v>
      </c>
      <c r="CU116">
        <v>15403.462656</v>
      </c>
      <c r="DA116" t="s">
        <v>792</v>
      </c>
      <c r="DB116">
        <v>901.01506143500001</v>
      </c>
      <c r="DC116">
        <v>901.74128861108295</v>
      </c>
      <c r="DD116">
        <v>15209.095168</v>
      </c>
      <c r="DJ116" t="s">
        <v>792</v>
      </c>
      <c r="DK116">
        <v>901.12262097600001</v>
      </c>
      <c r="DL116">
        <v>901.81500467599801</v>
      </c>
      <c r="DM116">
        <v>15630.303232</v>
      </c>
    </row>
    <row r="117" spans="1:117" x14ac:dyDescent="0.2">
      <c r="A117">
        <v>4000</v>
      </c>
      <c r="B117">
        <v>7</v>
      </c>
      <c r="C117" t="str">
        <f t="shared" si="1"/>
        <v>4000-07</v>
      </c>
      <c r="F117" t="s">
        <v>793</v>
      </c>
      <c r="G117">
        <v>232.77856832200001</v>
      </c>
      <c r="H117">
        <v>233.008901109991</v>
      </c>
      <c r="I117">
        <v>16000</v>
      </c>
      <c r="N117" t="s">
        <v>792</v>
      </c>
      <c r="O117">
        <v>900.86674153499996</v>
      </c>
      <c r="P117">
        <v>901.45117617701101</v>
      </c>
      <c r="Q117">
        <v>7444.4103679999998</v>
      </c>
      <c r="V117" t="s">
        <v>793</v>
      </c>
      <c r="W117">
        <v>332.64082170699999</v>
      </c>
      <c r="X117">
        <v>333.06179636799698</v>
      </c>
      <c r="Y117">
        <v>16000</v>
      </c>
      <c r="AC117" t="s">
        <v>948</v>
      </c>
      <c r="AD117" t="s">
        <v>793</v>
      </c>
      <c r="AE117">
        <v>231.61617044799999</v>
      </c>
      <c r="AF117">
        <v>231.92387970897801</v>
      </c>
      <c r="AG117">
        <v>16000</v>
      </c>
      <c r="AM117" t="s">
        <v>948</v>
      </c>
      <c r="AN117" t="s">
        <v>792</v>
      </c>
      <c r="AO117">
        <v>900.67826023400005</v>
      </c>
      <c r="AP117">
        <v>901.45804546799604</v>
      </c>
      <c r="AQ117">
        <v>7444.3980799999999</v>
      </c>
      <c r="AX117" t="s">
        <v>948</v>
      </c>
      <c r="AY117" t="s">
        <v>793</v>
      </c>
      <c r="AZ117">
        <v>333.38547047600002</v>
      </c>
      <c r="BA117">
        <v>333.77667630600598</v>
      </c>
      <c r="BB117">
        <v>16000</v>
      </c>
      <c r="BO117" t="s">
        <v>792</v>
      </c>
      <c r="BP117">
        <v>900.67300852599999</v>
      </c>
      <c r="BQ117">
        <v>901.35496211599002</v>
      </c>
      <c r="BR117">
        <v>7444.3735040000001</v>
      </c>
      <c r="CR117" t="s">
        <v>792</v>
      </c>
      <c r="CS117">
        <v>900.70592845600004</v>
      </c>
      <c r="CT117">
        <v>901.38313038402703</v>
      </c>
      <c r="CU117">
        <v>7444.4062720000002</v>
      </c>
      <c r="DA117" t="s">
        <v>792</v>
      </c>
      <c r="DB117">
        <v>900.66201604000003</v>
      </c>
      <c r="DC117">
        <v>901.36039448902</v>
      </c>
      <c r="DD117">
        <v>7444.463616</v>
      </c>
      <c r="DJ117" t="s">
        <v>792</v>
      </c>
      <c r="DK117">
        <v>900.38130813199996</v>
      </c>
      <c r="DL117">
        <v>901.41184130101396</v>
      </c>
      <c r="DM117">
        <v>7444.4144640000004</v>
      </c>
    </row>
    <row r="118" spans="1:117" x14ac:dyDescent="0.2">
      <c r="A118">
        <v>4000</v>
      </c>
      <c r="B118">
        <v>8</v>
      </c>
      <c r="C118" t="str">
        <f t="shared" si="1"/>
        <v>4000-08</v>
      </c>
      <c r="F118" t="s">
        <v>793</v>
      </c>
      <c r="G118">
        <v>268.28340833300001</v>
      </c>
      <c r="H118">
        <v>268.54233685199802</v>
      </c>
      <c r="I118">
        <v>16000</v>
      </c>
      <c r="N118" t="s">
        <v>792</v>
      </c>
      <c r="O118">
        <v>900.96894985899996</v>
      </c>
      <c r="P118">
        <v>901.637128150992</v>
      </c>
      <c r="Q118">
        <v>9544.6507519999996</v>
      </c>
      <c r="V118" t="s">
        <v>793</v>
      </c>
      <c r="W118">
        <v>335.86728317799998</v>
      </c>
      <c r="X118">
        <v>336.16139021000703</v>
      </c>
      <c r="Y118">
        <v>16000</v>
      </c>
      <c r="AC118" t="s">
        <v>949</v>
      </c>
      <c r="AD118" t="s">
        <v>793</v>
      </c>
      <c r="AE118">
        <v>259.16878341</v>
      </c>
      <c r="AF118">
        <v>259.485769182007</v>
      </c>
      <c r="AG118">
        <v>16000</v>
      </c>
      <c r="AM118" t="s">
        <v>949</v>
      </c>
      <c r="AN118" t="s">
        <v>792</v>
      </c>
      <c r="AO118">
        <v>901.05255565699997</v>
      </c>
      <c r="AP118">
        <v>901.61801816901402</v>
      </c>
      <c r="AQ118">
        <v>9544.6958080000004</v>
      </c>
      <c r="AX118" t="s">
        <v>949</v>
      </c>
      <c r="AY118" t="s">
        <v>793</v>
      </c>
      <c r="AZ118">
        <v>321.05283604900001</v>
      </c>
      <c r="BA118">
        <v>321.41491825398401</v>
      </c>
      <c r="BB118">
        <v>16000</v>
      </c>
      <c r="BO118" t="s">
        <v>792</v>
      </c>
      <c r="BP118">
        <v>900.82614080500002</v>
      </c>
      <c r="BQ118">
        <v>901.54932551906597</v>
      </c>
      <c r="BR118">
        <v>9544.6794239999999</v>
      </c>
      <c r="CR118" t="s">
        <v>792</v>
      </c>
      <c r="CS118">
        <v>900.82467888099995</v>
      </c>
      <c r="CT118">
        <v>901.50792985199905</v>
      </c>
      <c r="CU118">
        <v>9544.6999039999992</v>
      </c>
      <c r="DA118" t="s">
        <v>792</v>
      </c>
      <c r="DB118">
        <v>900.80737924799996</v>
      </c>
      <c r="DC118">
        <v>901.52190147794295</v>
      </c>
      <c r="DD118">
        <v>9544.7080960000003</v>
      </c>
      <c r="DJ118" t="s">
        <v>792</v>
      </c>
      <c r="DK118">
        <v>900.81700400700004</v>
      </c>
      <c r="DL118">
        <v>901.52230225200697</v>
      </c>
      <c r="DM118">
        <v>9544.6794239999999</v>
      </c>
    </row>
    <row r="119" spans="1:117" x14ac:dyDescent="0.2">
      <c r="A119">
        <v>4000</v>
      </c>
      <c r="B119">
        <v>9</v>
      </c>
      <c r="C119" t="str">
        <f t="shared" si="1"/>
        <v>4000-09</v>
      </c>
      <c r="F119" t="s">
        <v>793</v>
      </c>
      <c r="G119">
        <v>262.41173456799999</v>
      </c>
      <c r="H119">
        <v>262.685875083989</v>
      </c>
      <c r="I119">
        <v>16000</v>
      </c>
      <c r="N119" t="s">
        <v>792</v>
      </c>
      <c r="O119">
        <v>900.96861301599995</v>
      </c>
      <c r="P119">
        <v>901.51028076600005</v>
      </c>
      <c r="Q119">
        <v>7422.0011519999998</v>
      </c>
      <c r="V119" t="s">
        <v>793</v>
      </c>
      <c r="W119">
        <v>362.79910752900003</v>
      </c>
      <c r="X119">
        <v>363.15744518299402</v>
      </c>
      <c r="Y119">
        <v>16000</v>
      </c>
      <c r="AC119" t="s">
        <v>950</v>
      </c>
      <c r="AD119" t="s">
        <v>793</v>
      </c>
      <c r="AE119">
        <v>243.76971373699999</v>
      </c>
      <c r="AF119">
        <v>244.09327401701</v>
      </c>
      <c r="AG119">
        <v>16000</v>
      </c>
      <c r="AM119" t="s">
        <v>950</v>
      </c>
      <c r="AN119" t="s">
        <v>792</v>
      </c>
      <c r="AO119">
        <v>900.95453154500001</v>
      </c>
      <c r="AP119">
        <v>901.49375523097103</v>
      </c>
      <c r="AQ119">
        <v>7422.0298240000002</v>
      </c>
      <c r="AX119" t="s">
        <v>950</v>
      </c>
      <c r="AY119" t="s">
        <v>793</v>
      </c>
      <c r="AZ119">
        <v>363.76030083400002</v>
      </c>
      <c r="BA119">
        <v>364.15455871200498</v>
      </c>
      <c r="BB119">
        <v>16000</v>
      </c>
      <c r="BO119" t="s">
        <v>792</v>
      </c>
      <c r="BP119">
        <v>900.76356546700003</v>
      </c>
      <c r="BQ119">
        <v>901.401002060971</v>
      </c>
      <c r="BR119">
        <v>7421.943808</v>
      </c>
      <c r="CR119" t="s">
        <v>792</v>
      </c>
      <c r="CS119">
        <v>900.85180068900002</v>
      </c>
      <c r="CT119">
        <v>901.40054385794701</v>
      </c>
      <c r="CU119">
        <v>7421.9356159999998</v>
      </c>
      <c r="DA119" t="s">
        <v>792</v>
      </c>
      <c r="DB119">
        <v>901.01498263500002</v>
      </c>
      <c r="DC119">
        <v>901.47255817498001</v>
      </c>
      <c r="DD119">
        <v>7421.9233279999999</v>
      </c>
      <c r="DJ119" t="s">
        <v>792</v>
      </c>
      <c r="DK119">
        <v>900.96030706600004</v>
      </c>
      <c r="DL119">
        <v>901.469478626968</v>
      </c>
      <c r="DM119">
        <v>7421.9642880000001</v>
      </c>
    </row>
    <row r="120" spans="1:117" x14ac:dyDescent="0.2">
      <c r="A120">
        <v>5000</v>
      </c>
      <c r="B120">
        <v>1</v>
      </c>
      <c r="C120" t="str">
        <f t="shared" si="1"/>
        <v>5000-01</v>
      </c>
      <c r="F120" t="s">
        <v>793</v>
      </c>
      <c r="G120">
        <v>259.43632145300001</v>
      </c>
      <c r="H120">
        <v>259.60090480800102</v>
      </c>
      <c r="I120">
        <v>16000</v>
      </c>
      <c r="N120" t="s">
        <v>793</v>
      </c>
      <c r="O120">
        <v>787.546701708</v>
      </c>
      <c r="P120">
        <v>788.02363909000997</v>
      </c>
      <c r="Q120">
        <v>16000</v>
      </c>
      <c r="V120" t="s">
        <v>793</v>
      </c>
      <c r="W120">
        <v>351.69153648700001</v>
      </c>
      <c r="X120">
        <v>352.006230009006</v>
      </c>
      <c r="Y120">
        <v>16000</v>
      </c>
      <c r="AC120" t="s">
        <v>951</v>
      </c>
      <c r="AD120" t="s">
        <v>793</v>
      </c>
      <c r="AE120">
        <v>258.32480092399999</v>
      </c>
      <c r="AF120">
        <v>258.51393326101203</v>
      </c>
      <c r="AG120">
        <v>16000</v>
      </c>
      <c r="AM120" t="s">
        <v>951</v>
      </c>
      <c r="AN120" t="s">
        <v>793</v>
      </c>
      <c r="AO120">
        <v>782.445824786</v>
      </c>
      <c r="AP120">
        <v>782.89945486400302</v>
      </c>
      <c r="AQ120">
        <v>16000</v>
      </c>
      <c r="AX120" t="s">
        <v>951</v>
      </c>
      <c r="AY120" t="s">
        <v>793</v>
      </c>
      <c r="AZ120">
        <v>378.569240304</v>
      </c>
      <c r="BA120">
        <v>378.86977214299202</v>
      </c>
      <c r="BB120">
        <v>16000</v>
      </c>
      <c r="BO120" t="s">
        <v>793</v>
      </c>
      <c r="BP120">
        <v>837.44062090800003</v>
      </c>
      <c r="BQ120">
        <v>838.03422030201102</v>
      </c>
      <c r="BR120">
        <v>16000</v>
      </c>
      <c r="CR120" t="s">
        <v>793</v>
      </c>
      <c r="CS120">
        <v>846.83998453799995</v>
      </c>
      <c r="CT120">
        <v>847.42766914807703</v>
      </c>
      <c r="CU120">
        <v>16000</v>
      </c>
      <c r="DA120" t="s">
        <v>793</v>
      </c>
      <c r="DB120">
        <v>818.77918610500001</v>
      </c>
      <c r="DC120">
        <v>819.24629839009106</v>
      </c>
      <c r="DD120">
        <v>16000</v>
      </c>
      <c r="DJ120" t="s">
        <v>793</v>
      </c>
      <c r="DK120">
        <v>807.747799687</v>
      </c>
      <c r="DL120">
        <v>808.19679024000595</v>
      </c>
      <c r="DM120">
        <v>16000</v>
      </c>
    </row>
    <row r="121" spans="1:117" x14ac:dyDescent="0.2">
      <c r="A121">
        <v>5000</v>
      </c>
      <c r="B121">
        <v>2</v>
      </c>
      <c r="C121" t="str">
        <f t="shared" si="1"/>
        <v>5000-02</v>
      </c>
      <c r="F121" t="s">
        <v>793</v>
      </c>
      <c r="G121">
        <v>288.47269688699998</v>
      </c>
      <c r="H121">
        <v>288.66447334601202</v>
      </c>
      <c r="I121">
        <v>16000</v>
      </c>
      <c r="N121" t="s">
        <v>792</v>
      </c>
      <c r="O121">
        <v>903.42023295299998</v>
      </c>
      <c r="P121">
        <v>904.11883539700602</v>
      </c>
      <c r="Q121">
        <v>16000</v>
      </c>
      <c r="V121" t="s">
        <v>793</v>
      </c>
      <c r="W121">
        <v>322.08069089000003</v>
      </c>
      <c r="X121">
        <v>322.37682793699702</v>
      </c>
      <c r="Y121">
        <v>16000</v>
      </c>
      <c r="AC121" t="s">
        <v>952</v>
      </c>
      <c r="AD121" t="s">
        <v>793</v>
      </c>
      <c r="AE121">
        <v>285.222728335</v>
      </c>
      <c r="AF121">
        <v>285.54316965499299</v>
      </c>
      <c r="AG121">
        <v>16000</v>
      </c>
      <c r="AM121" t="s">
        <v>952</v>
      </c>
      <c r="AN121" t="s">
        <v>792</v>
      </c>
      <c r="AO121">
        <v>901.10427113399999</v>
      </c>
      <c r="AP121">
        <v>901.85844339500102</v>
      </c>
      <c r="AQ121">
        <v>14914.207743999999</v>
      </c>
      <c r="AX121" t="s">
        <v>952</v>
      </c>
      <c r="AY121" t="s">
        <v>793</v>
      </c>
      <c r="AZ121">
        <v>308.859145227</v>
      </c>
      <c r="BA121">
        <v>309.09500852299902</v>
      </c>
      <c r="BB121">
        <v>16000</v>
      </c>
      <c r="BO121" t="s">
        <v>792</v>
      </c>
      <c r="BP121">
        <v>901.19242525599998</v>
      </c>
      <c r="BQ121">
        <v>901.80583320697701</v>
      </c>
      <c r="BR121">
        <v>15814.332415999999</v>
      </c>
      <c r="CR121" t="s">
        <v>792</v>
      </c>
      <c r="CS121">
        <v>901.10812726300003</v>
      </c>
      <c r="CT121">
        <v>901.87227043497796</v>
      </c>
      <c r="CU121">
        <v>15133.913087999999</v>
      </c>
      <c r="DA121" t="s">
        <v>792</v>
      </c>
      <c r="DB121">
        <v>901.08605120200002</v>
      </c>
      <c r="DC121">
        <v>901.84251390607096</v>
      </c>
      <c r="DD121">
        <v>15080.448</v>
      </c>
      <c r="DJ121" t="s">
        <v>792</v>
      </c>
      <c r="DK121">
        <v>901.21625502400002</v>
      </c>
      <c r="DL121">
        <v>901.89769899099997</v>
      </c>
      <c r="DM121">
        <v>15951.904768</v>
      </c>
    </row>
    <row r="122" spans="1:117" x14ac:dyDescent="0.2">
      <c r="A122">
        <v>5000</v>
      </c>
      <c r="B122">
        <v>3</v>
      </c>
      <c r="C122" t="str">
        <f t="shared" si="1"/>
        <v>5000-03</v>
      </c>
      <c r="F122" t="s">
        <v>793</v>
      </c>
      <c r="G122">
        <v>330.69747429099999</v>
      </c>
      <c r="H122">
        <v>330.97042960900501</v>
      </c>
      <c r="I122">
        <v>16000</v>
      </c>
      <c r="N122" t="s">
        <v>792</v>
      </c>
      <c r="O122">
        <v>901.05143390499995</v>
      </c>
      <c r="P122">
        <v>901.784122587007</v>
      </c>
      <c r="Q122">
        <v>14955.393024000001</v>
      </c>
      <c r="V122" t="s">
        <v>793</v>
      </c>
      <c r="W122">
        <v>326.42958207300001</v>
      </c>
      <c r="X122">
        <v>326.72784263100698</v>
      </c>
      <c r="Y122">
        <v>16000</v>
      </c>
      <c r="AC122" t="s">
        <v>953</v>
      </c>
      <c r="AD122" t="s">
        <v>793</v>
      </c>
      <c r="AE122">
        <v>318.10460129500001</v>
      </c>
      <c r="AF122">
        <v>318.43233639100799</v>
      </c>
      <c r="AG122">
        <v>16000</v>
      </c>
      <c r="AM122" t="s">
        <v>953</v>
      </c>
      <c r="AN122" t="s">
        <v>792</v>
      </c>
      <c r="AO122">
        <v>901.11981507500002</v>
      </c>
      <c r="AP122">
        <v>901.87477923699703</v>
      </c>
      <c r="AQ122">
        <v>14955.364352000001</v>
      </c>
      <c r="AX122" t="s">
        <v>953</v>
      </c>
      <c r="AY122" t="s">
        <v>793</v>
      </c>
      <c r="AZ122">
        <v>310.61370849399998</v>
      </c>
      <c r="BA122">
        <v>310.87139886399302</v>
      </c>
      <c r="BB122">
        <v>16000</v>
      </c>
      <c r="BO122" t="s">
        <v>792</v>
      </c>
      <c r="BP122">
        <v>901.17871325500005</v>
      </c>
      <c r="BQ122">
        <v>901.82985972799304</v>
      </c>
      <c r="BR122">
        <v>14956.494848</v>
      </c>
      <c r="CR122" t="s">
        <v>792</v>
      </c>
      <c r="CS122">
        <v>901.18688939900005</v>
      </c>
      <c r="CT122">
        <v>901.792928292998</v>
      </c>
      <c r="CU122">
        <v>14956.412928</v>
      </c>
      <c r="DA122" t="s">
        <v>792</v>
      </c>
      <c r="DB122">
        <v>901.01477053200006</v>
      </c>
      <c r="DC122">
        <v>901.71861169102999</v>
      </c>
      <c r="DD122">
        <v>14956.4416</v>
      </c>
      <c r="DJ122" t="s">
        <v>792</v>
      </c>
      <c r="DK122">
        <v>901.24377075500001</v>
      </c>
      <c r="DL122">
        <v>901.81009559694201</v>
      </c>
      <c r="DM122">
        <v>14956.392448000001</v>
      </c>
    </row>
    <row r="123" spans="1:117" x14ac:dyDescent="0.2">
      <c r="A123">
        <v>5000</v>
      </c>
      <c r="B123">
        <v>4</v>
      </c>
      <c r="C123" t="str">
        <f t="shared" si="1"/>
        <v>5000-04</v>
      </c>
      <c r="F123" t="s">
        <v>793</v>
      </c>
      <c r="G123">
        <v>281.73003791000002</v>
      </c>
      <c r="H123">
        <v>281.98628215098802</v>
      </c>
      <c r="I123">
        <v>16000</v>
      </c>
      <c r="N123" t="s">
        <v>793</v>
      </c>
      <c r="O123">
        <v>733.31012802800001</v>
      </c>
      <c r="P123">
        <v>733.90482533100203</v>
      </c>
      <c r="Q123">
        <v>16000</v>
      </c>
      <c r="V123" t="s">
        <v>793</v>
      </c>
      <c r="W123">
        <v>367.41220132699999</v>
      </c>
      <c r="X123">
        <v>367.82093389399199</v>
      </c>
      <c r="Y123">
        <v>16000</v>
      </c>
      <c r="AC123" t="s">
        <v>954</v>
      </c>
      <c r="AD123" t="s">
        <v>793</v>
      </c>
      <c r="AE123">
        <v>277.56154948599999</v>
      </c>
      <c r="AF123">
        <v>277.83689712002501</v>
      </c>
      <c r="AG123">
        <v>16000</v>
      </c>
      <c r="AM123" t="s">
        <v>954</v>
      </c>
      <c r="AN123" t="s">
        <v>793</v>
      </c>
      <c r="AO123">
        <v>737.48011999799996</v>
      </c>
      <c r="AP123">
        <v>738.14234581999995</v>
      </c>
      <c r="AQ123">
        <v>16000</v>
      </c>
      <c r="AX123" t="s">
        <v>954</v>
      </c>
      <c r="AY123" t="s">
        <v>793</v>
      </c>
      <c r="AZ123">
        <v>354.56063649100003</v>
      </c>
      <c r="BA123">
        <v>354.93725657500897</v>
      </c>
      <c r="BB123">
        <v>16000</v>
      </c>
      <c r="BO123" t="s">
        <v>793</v>
      </c>
      <c r="BP123">
        <v>728.26215100000002</v>
      </c>
      <c r="BQ123">
        <v>728.85340933897498</v>
      </c>
      <c r="BR123">
        <v>16000</v>
      </c>
      <c r="CR123" t="s">
        <v>793</v>
      </c>
      <c r="CS123">
        <v>720.37696903599999</v>
      </c>
      <c r="CT123">
        <v>720.93503125198094</v>
      </c>
      <c r="CU123">
        <v>16000</v>
      </c>
      <c r="DA123" t="s">
        <v>793</v>
      </c>
      <c r="DB123">
        <v>704.22716086800006</v>
      </c>
      <c r="DC123">
        <v>704.71165862400005</v>
      </c>
      <c r="DD123">
        <v>16000</v>
      </c>
      <c r="DJ123" t="s">
        <v>793</v>
      </c>
      <c r="DK123">
        <v>729.88953812700004</v>
      </c>
      <c r="DL123">
        <v>730.48570651700697</v>
      </c>
      <c r="DM123">
        <v>16000</v>
      </c>
    </row>
    <row r="124" spans="1:117" x14ac:dyDescent="0.2">
      <c r="A124">
        <v>5000</v>
      </c>
      <c r="B124">
        <v>5</v>
      </c>
      <c r="C124" t="str">
        <f t="shared" si="1"/>
        <v>5000-05</v>
      </c>
      <c r="F124" t="s">
        <v>793</v>
      </c>
      <c r="G124">
        <v>239.19650813300001</v>
      </c>
      <c r="H124">
        <v>239.44114885800801</v>
      </c>
      <c r="I124">
        <v>16000</v>
      </c>
      <c r="N124" t="s">
        <v>793</v>
      </c>
      <c r="O124">
        <v>736.856612015</v>
      </c>
      <c r="P124">
        <v>737.47216449200596</v>
      </c>
      <c r="Q124">
        <v>16000</v>
      </c>
      <c r="V124" t="s">
        <v>793</v>
      </c>
      <c r="W124">
        <v>372.64468771899999</v>
      </c>
      <c r="X124">
        <v>372.99141624000902</v>
      </c>
      <c r="Y124">
        <v>16000</v>
      </c>
      <c r="AC124" t="s">
        <v>955</v>
      </c>
      <c r="AD124" t="s">
        <v>793</v>
      </c>
      <c r="AE124">
        <v>235.699196046</v>
      </c>
      <c r="AF124">
        <v>235.93594485698799</v>
      </c>
      <c r="AG124">
        <v>16000</v>
      </c>
      <c r="AM124" t="s">
        <v>955</v>
      </c>
      <c r="AN124" t="s">
        <v>793</v>
      </c>
      <c r="AO124">
        <v>749.01904489799995</v>
      </c>
      <c r="AP124">
        <v>749.72077141900002</v>
      </c>
      <c r="AQ124">
        <v>16000</v>
      </c>
      <c r="AX124" t="s">
        <v>955</v>
      </c>
      <c r="AY124" t="s">
        <v>793</v>
      </c>
      <c r="AZ124">
        <v>362.02640970900001</v>
      </c>
      <c r="BA124">
        <v>362.37596721400001</v>
      </c>
      <c r="BB124">
        <v>16000</v>
      </c>
      <c r="BO124" t="s">
        <v>793</v>
      </c>
      <c r="BP124">
        <v>738.68413705099999</v>
      </c>
      <c r="BQ124">
        <v>739.17538772406897</v>
      </c>
      <c r="BR124">
        <v>16000</v>
      </c>
      <c r="CR124" t="s">
        <v>793</v>
      </c>
      <c r="CS124">
        <v>728.96886801100004</v>
      </c>
      <c r="CT124">
        <v>729.50606666493695</v>
      </c>
      <c r="CU124">
        <v>16000</v>
      </c>
      <c r="DA124" t="s">
        <v>793</v>
      </c>
      <c r="DB124">
        <v>752.83906238500003</v>
      </c>
      <c r="DC124">
        <v>753.47272986895405</v>
      </c>
      <c r="DD124">
        <v>16000</v>
      </c>
      <c r="DJ124" t="s">
        <v>793</v>
      </c>
      <c r="DK124">
        <v>751.44258999399995</v>
      </c>
      <c r="DL124">
        <v>752.08010285103205</v>
      </c>
      <c r="DM124">
        <v>16000</v>
      </c>
    </row>
    <row r="125" spans="1:117" x14ac:dyDescent="0.2">
      <c r="A125">
        <v>5000</v>
      </c>
      <c r="B125">
        <v>6</v>
      </c>
      <c r="C125" t="str">
        <f t="shared" si="1"/>
        <v>5000-06</v>
      </c>
      <c r="F125" t="s">
        <v>793</v>
      </c>
      <c r="G125">
        <v>256.05042629799999</v>
      </c>
      <c r="H125">
        <v>256.305092381007</v>
      </c>
      <c r="I125">
        <v>16000</v>
      </c>
      <c r="N125" t="s">
        <v>792</v>
      </c>
      <c r="O125">
        <v>901.20045728499997</v>
      </c>
      <c r="P125">
        <v>901.87446932401497</v>
      </c>
      <c r="Q125">
        <v>14931.111935999999</v>
      </c>
      <c r="V125" t="s">
        <v>793</v>
      </c>
      <c r="W125">
        <v>229.42463074700001</v>
      </c>
      <c r="X125">
        <v>229.75608126399999</v>
      </c>
      <c r="Y125">
        <v>16000</v>
      </c>
      <c r="AC125" t="s">
        <v>956</v>
      </c>
      <c r="AD125" t="s">
        <v>793</v>
      </c>
      <c r="AE125">
        <v>264.69390834000001</v>
      </c>
      <c r="AF125">
        <v>265.05695725599003</v>
      </c>
      <c r="AG125">
        <v>16000</v>
      </c>
      <c r="AM125" t="s">
        <v>956</v>
      </c>
      <c r="AN125" t="s">
        <v>792</v>
      </c>
      <c r="AO125">
        <v>901.037702846</v>
      </c>
      <c r="AP125">
        <v>901.86578612000403</v>
      </c>
      <c r="AQ125">
        <v>14931.116032</v>
      </c>
      <c r="AX125" t="s">
        <v>956</v>
      </c>
      <c r="AY125" t="s">
        <v>793</v>
      </c>
      <c r="AZ125">
        <v>234.092200977</v>
      </c>
      <c r="BA125">
        <v>234.32073339101001</v>
      </c>
      <c r="BB125">
        <v>16000</v>
      </c>
      <c r="BO125" t="s">
        <v>792</v>
      </c>
      <c r="BP125">
        <v>901.15528799399999</v>
      </c>
      <c r="BQ125">
        <v>901.82125730102405</v>
      </c>
      <c r="BR125">
        <v>14931.111935999999</v>
      </c>
      <c r="CR125" t="s">
        <v>792</v>
      </c>
      <c r="CS125">
        <v>901.19085890300005</v>
      </c>
      <c r="CT125">
        <v>901.80237479403104</v>
      </c>
      <c r="CU125">
        <v>14931.017728000001</v>
      </c>
      <c r="DA125" t="s">
        <v>792</v>
      </c>
      <c r="DB125">
        <v>901.12042907</v>
      </c>
      <c r="DC125">
        <v>901.83197761094198</v>
      </c>
      <c r="DD125">
        <v>14931.091456</v>
      </c>
      <c r="DJ125" t="s">
        <v>792</v>
      </c>
      <c r="DK125">
        <v>901.11509311099996</v>
      </c>
      <c r="DL125">
        <v>901.76793433201897</v>
      </c>
      <c r="DM125">
        <v>14931.079168</v>
      </c>
    </row>
    <row r="126" spans="1:117" x14ac:dyDescent="0.2">
      <c r="A126">
        <v>5000</v>
      </c>
      <c r="B126">
        <v>7</v>
      </c>
      <c r="C126" t="str">
        <f t="shared" si="1"/>
        <v>5000-07</v>
      </c>
      <c r="F126" t="s">
        <v>793</v>
      </c>
      <c r="G126">
        <v>392.46410881600002</v>
      </c>
      <c r="H126">
        <v>392.802971088996</v>
      </c>
      <c r="I126">
        <v>16000</v>
      </c>
      <c r="N126" t="s">
        <v>792</v>
      </c>
      <c r="O126">
        <v>900.81394081600001</v>
      </c>
      <c r="P126">
        <v>901.51256366600796</v>
      </c>
      <c r="Q126">
        <v>8517.6360960000002</v>
      </c>
      <c r="V126" t="s">
        <v>793</v>
      </c>
      <c r="W126">
        <v>237.98093348699999</v>
      </c>
      <c r="X126">
        <v>238.197886167006</v>
      </c>
      <c r="Y126">
        <v>16000</v>
      </c>
      <c r="AC126" t="s">
        <v>957</v>
      </c>
      <c r="AD126" t="s">
        <v>793</v>
      </c>
      <c r="AE126">
        <v>389.89451014799999</v>
      </c>
      <c r="AF126">
        <v>390.21556684101199</v>
      </c>
      <c r="AG126">
        <v>16000</v>
      </c>
      <c r="AM126" t="s">
        <v>957</v>
      </c>
      <c r="AN126" t="s">
        <v>792</v>
      </c>
      <c r="AO126">
        <v>900.759742254</v>
      </c>
      <c r="AP126">
        <v>901.46918513899402</v>
      </c>
      <c r="AQ126">
        <v>8517.5992320000005</v>
      </c>
      <c r="AX126" t="s">
        <v>957</v>
      </c>
      <c r="AY126" t="s">
        <v>793</v>
      </c>
      <c r="AZ126">
        <v>239.19009989400001</v>
      </c>
      <c r="BA126">
        <v>239.41864042999799</v>
      </c>
      <c r="BB126">
        <v>16000</v>
      </c>
      <c r="BO126" t="s">
        <v>792</v>
      </c>
      <c r="BP126">
        <v>900.86006977600005</v>
      </c>
      <c r="BQ126">
        <v>901.48982339689906</v>
      </c>
      <c r="BR126">
        <v>8517.8163199999999</v>
      </c>
      <c r="CR126" t="s">
        <v>792</v>
      </c>
      <c r="CS126">
        <v>901.00393298899996</v>
      </c>
      <c r="CT126">
        <v>901.49423683003897</v>
      </c>
      <c r="CU126">
        <v>8517.8327040000004</v>
      </c>
      <c r="DA126" t="s">
        <v>792</v>
      </c>
      <c r="DB126">
        <v>900.78625381999996</v>
      </c>
      <c r="DC126">
        <v>901.43366202607206</v>
      </c>
      <c r="DD126">
        <v>8518.2709759999998</v>
      </c>
      <c r="DJ126" t="s">
        <v>792</v>
      </c>
      <c r="DK126">
        <v>900.79178250999996</v>
      </c>
      <c r="DL126">
        <v>901.43751711596201</v>
      </c>
      <c r="DM126">
        <v>8517.5664639999995</v>
      </c>
    </row>
    <row r="127" spans="1:117" x14ac:dyDescent="0.2">
      <c r="A127">
        <v>5000</v>
      </c>
      <c r="B127">
        <v>8</v>
      </c>
      <c r="C127" t="str">
        <f t="shared" si="1"/>
        <v>5000-08</v>
      </c>
      <c r="F127" t="s">
        <v>793</v>
      </c>
      <c r="G127">
        <v>323.50457790299998</v>
      </c>
      <c r="H127">
        <v>323.750992173008</v>
      </c>
      <c r="I127">
        <v>16000</v>
      </c>
      <c r="N127" t="s">
        <v>792</v>
      </c>
      <c r="O127">
        <v>900.79540017399995</v>
      </c>
      <c r="P127">
        <v>901.61149715699105</v>
      </c>
      <c r="Q127">
        <v>9655.3902080000007</v>
      </c>
      <c r="V127" t="s">
        <v>792</v>
      </c>
      <c r="W127">
        <v>901.33611734800002</v>
      </c>
      <c r="X127">
        <v>901.87520826800005</v>
      </c>
      <c r="Y127">
        <v>15150.465023999999</v>
      </c>
      <c r="AC127" t="s">
        <v>958</v>
      </c>
      <c r="AD127" t="s">
        <v>793</v>
      </c>
      <c r="AE127">
        <v>335.482892064</v>
      </c>
      <c r="AF127">
        <v>335.78572265402101</v>
      </c>
      <c r="AG127">
        <v>16000</v>
      </c>
      <c r="AM127" t="s">
        <v>958</v>
      </c>
      <c r="AN127" t="s">
        <v>792</v>
      </c>
      <c r="AO127">
        <v>900.861964908</v>
      </c>
      <c r="AP127">
        <v>901.55620977998399</v>
      </c>
      <c r="AQ127">
        <v>9655.4639360000001</v>
      </c>
      <c r="AX127" t="s">
        <v>958</v>
      </c>
      <c r="AY127" t="s">
        <v>792</v>
      </c>
      <c r="AZ127">
        <v>901.34047057600003</v>
      </c>
      <c r="BA127">
        <v>901.97446726600106</v>
      </c>
      <c r="BB127">
        <v>15150.600192</v>
      </c>
      <c r="BO127" t="s">
        <v>792</v>
      </c>
      <c r="BP127">
        <v>900.96278226899994</v>
      </c>
      <c r="BQ127">
        <v>901.55737352801896</v>
      </c>
      <c r="BR127">
        <v>9655.9063040000001</v>
      </c>
      <c r="CR127" t="s">
        <v>792</v>
      </c>
      <c r="CS127">
        <v>901.03925269000001</v>
      </c>
      <c r="CT127">
        <v>901.59157579008001</v>
      </c>
      <c r="CU127">
        <v>9655.3861120000001</v>
      </c>
      <c r="DA127" t="s">
        <v>792</v>
      </c>
      <c r="DB127">
        <v>901.02732744599996</v>
      </c>
      <c r="DC127">
        <v>901.57084083103098</v>
      </c>
      <c r="DD127">
        <v>9655.3615360000003</v>
      </c>
      <c r="DJ127" t="s">
        <v>792</v>
      </c>
      <c r="DK127">
        <v>900.85536140500005</v>
      </c>
      <c r="DL127">
        <v>901.55249497492298</v>
      </c>
      <c r="DM127">
        <v>9655.4065919999994</v>
      </c>
    </row>
    <row r="128" spans="1:117" x14ac:dyDescent="0.2">
      <c r="A128">
        <v>5000</v>
      </c>
      <c r="B128">
        <v>9</v>
      </c>
      <c r="C128" t="str">
        <f t="shared" si="1"/>
        <v>5000-09</v>
      </c>
      <c r="F128" t="s">
        <v>793</v>
      </c>
      <c r="G128">
        <v>279.63356422200002</v>
      </c>
      <c r="H128">
        <v>279.849413568008</v>
      </c>
      <c r="I128">
        <v>16000</v>
      </c>
      <c r="N128" t="s">
        <v>793</v>
      </c>
      <c r="O128">
        <v>874.430041749</v>
      </c>
      <c r="P128">
        <v>875.28302225400603</v>
      </c>
      <c r="Q128">
        <v>16000</v>
      </c>
      <c r="V128" t="s">
        <v>793</v>
      </c>
      <c r="W128">
        <v>326.15768511099998</v>
      </c>
      <c r="X128">
        <v>326.41208324799601</v>
      </c>
      <c r="Y128">
        <v>16000</v>
      </c>
      <c r="AC128" t="s">
        <v>959</v>
      </c>
      <c r="AD128" t="s">
        <v>793</v>
      </c>
      <c r="AE128">
        <v>281.96022654500001</v>
      </c>
      <c r="AF128">
        <v>282.17687336800702</v>
      </c>
      <c r="AG128">
        <v>16000</v>
      </c>
      <c r="AM128" t="s">
        <v>959</v>
      </c>
      <c r="AN128" t="s">
        <v>793</v>
      </c>
      <c r="AO128">
        <v>889.46840442300004</v>
      </c>
      <c r="AP128">
        <v>890.22226609801805</v>
      </c>
      <c r="AQ128">
        <v>16000</v>
      </c>
      <c r="AX128" t="s">
        <v>959</v>
      </c>
      <c r="AY128" t="s">
        <v>793</v>
      </c>
      <c r="AZ128">
        <v>326.931436491</v>
      </c>
      <c r="BA128">
        <v>327.21161229401997</v>
      </c>
      <c r="BB128">
        <v>16000</v>
      </c>
      <c r="BO128" t="s">
        <v>793</v>
      </c>
      <c r="BP128">
        <v>785.27496615200005</v>
      </c>
      <c r="BQ128">
        <v>785.90112329495605</v>
      </c>
      <c r="BR128">
        <v>16000</v>
      </c>
      <c r="CR128" t="s">
        <v>793</v>
      </c>
      <c r="CS128">
        <v>831.60673290299997</v>
      </c>
      <c r="CT128">
        <v>832.116870700032</v>
      </c>
      <c r="CU128">
        <v>16000</v>
      </c>
      <c r="DA128" t="s">
        <v>793</v>
      </c>
      <c r="DB128">
        <v>865.96778186100005</v>
      </c>
      <c r="DC128">
        <v>866.55962660803903</v>
      </c>
      <c r="DD128">
        <v>16000</v>
      </c>
      <c r="DJ128" t="s">
        <v>793</v>
      </c>
      <c r="DK128">
        <v>874.62498140499997</v>
      </c>
      <c r="DL128">
        <v>875.24717915605197</v>
      </c>
      <c r="DM128">
        <v>16000</v>
      </c>
    </row>
    <row r="129" spans="1:117" x14ac:dyDescent="0.2">
      <c r="A129">
        <v>6000</v>
      </c>
      <c r="B129">
        <v>1</v>
      </c>
      <c r="C129" t="str">
        <f t="shared" si="1"/>
        <v>6000-01</v>
      </c>
      <c r="F129" t="s">
        <v>793</v>
      </c>
      <c r="G129">
        <v>303.704450678</v>
      </c>
      <c r="H129">
        <v>303.96253153998902</v>
      </c>
      <c r="I129">
        <v>16000</v>
      </c>
      <c r="N129" t="s">
        <v>792</v>
      </c>
      <c r="O129">
        <v>900.91831789000003</v>
      </c>
      <c r="P129">
        <v>901.61654974301905</v>
      </c>
      <c r="Q129">
        <v>10394.316800000001</v>
      </c>
      <c r="V129" t="s">
        <v>793</v>
      </c>
      <c r="W129">
        <v>353.37011568100002</v>
      </c>
      <c r="X129">
        <v>353.60869822799498</v>
      </c>
      <c r="Y129">
        <v>16000</v>
      </c>
      <c r="AC129" t="s">
        <v>960</v>
      </c>
      <c r="AD129" t="s">
        <v>793</v>
      </c>
      <c r="AE129">
        <v>300.14612388799998</v>
      </c>
      <c r="AF129">
        <v>300.396201182011</v>
      </c>
      <c r="AG129">
        <v>16000</v>
      </c>
      <c r="AM129" t="s">
        <v>960</v>
      </c>
      <c r="AN129" t="s">
        <v>792</v>
      </c>
      <c r="AO129">
        <v>900.80388904999995</v>
      </c>
      <c r="AP129">
        <v>901.65042853500904</v>
      </c>
      <c r="AQ129">
        <v>10394.300416</v>
      </c>
      <c r="AX129" t="s">
        <v>960</v>
      </c>
      <c r="AY129" t="s">
        <v>793</v>
      </c>
      <c r="AZ129">
        <v>358.632021726</v>
      </c>
      <c r="BA129">
        <v>358.95306161400998</v>
      </c>
      <c r="BB129">
        <v>16000</v>
      </c>
      <c r="BO129" t="s">
        <v>792</v>
      </c>
      <c r="BP129">
        <v>901.00514969200003</v>
      </c>
      <c r="BQ129">
        <v>901.65137794602197</v>
      </c>
      <c r="BR129">
        <v>10394.353664</v>
      </c>
      <c r="CR129" t="s">
        <v>792</v>
      </c>
      <c r="CS129">
        <v>901.00097778400004</v>
      </c>
      <c r="CT129">
        <v>901.61328084790102</v>
      </c>
      <c r="CU129">
        <v>10394.382336000001</v>
      </c>
      <c r="DA129" t="s">
        <v>792</v>
      </c>
      <c r="DB129">
        <v>900.93240627299997</v>
      </c>
      <c r="DC129">
        <v>901.625851377961</v>
      </c>
      <c r="DD129">
        <v>10394.349568</v>
      </c>
      <c r="DJ129" t="s">
        <v>792</v>
      </c>
      <c r="DK129">
        <v>900.91499641099995</v>
      </c>
      <c r="DL129">
        <v>901.61638556898095</v>
      </c>
      <c r="DM129">
        <v>10394.423296000001</v>
      </c>
    </row>
    <row r="130" spans="1:117" x14ac:dyDescent="0.2">
      <c r="A130">
        <v>6000</v>
      </c>
      <c r="B130">
        <v>2</v>
      </c>
      <c r="C130" t="str">
        <f t="shared" si="1"/>
        <v>6000-02</v>
      </c>
      <c r="F130" t="s">
        <v>793</v>
      </c>
      <c r="G130">
        <v>288.77854635</v>
      </c>
      <c r="H130">
        <v>289.027609315002</v>
      </c>
      <c r="I130">
        <v>16000</v>
      </c>
      <c r="N130" t="s">
        <v>792</v>
      </c>
      <c r="O130">
        <v>901.00862887300002</v>
      </c>
      <c r="P130">
        <v>901.83747499200399</v>
      </c>
      <c r="Q130">
        <v>15024.934912000001</v>
      </c>
      <c r="V130" t="s">
        <v>792</v>
      </c>
      <c r="W130">
        <v>900.90315403299996</v>
      </c>
      <c r="X130">
        <v>901.60466751999002</v>
      </c>
      <c r="Y130">
        <v>10014.674944</v>
      </c>
      <c r="AC130" t="s">
        <v>961</v>
      </c>
      <c r="AD130" t="s">
        <v>793</v>
      </c>
      <c r="AE130">
        <v>289.84874341400001</v>
      </c>
      <c r="AF130">
        <v>290.09782742598298</v>
      </c>
      <c r="AG130">
        <v>16000</v>
      </c>
      <c r="AM130" t="s">
        <v>961</v>
      </c>
      <c r="AN130" t="s">
        <v>792</v>
      </c>
      <c r="AO130">
        <v>900.88279217100001</v>
      </c>
      <c r="AP130">
        <v>901.78526466598805</v>
      </c>
      <c r="AQ130">
        <v>15024.828416</v>
      </c>
      <c r="AX130" t="s">
        <v>961</v>
      </c>
      <c r="AY130" t="s">
        <v>792</v>
      </c>
      <c r="AZ130">
        <v>900.80486848700002</v>
      </c>
      <c r="BA130">
        <v>901.49840964999703</v>
      </c>
      <c r="BB130">
        <v>8577.7981440000003</v>
      </c>
      <c r="BO130" t="s">
        <v>792</v>
      </c>
      <c r="BP130">
        <v>901.327891604</v>
      </c>
      <c r="BQ130">
        <v>901.86249881493802</v>
      </c>
      <c r="BR130">
        <v>15024.910336000001</v>
      </c>
      <c r="CR130" t="s">
        <v>792</v>
      </c>
      <c r="CS130">
        <v>901.21351322999999</v>
      </c>
      <c r="CT130">
        <v>901.84658512996896</v>
      </c>
      <c r="CU130">
        <v>15024.861183999999</v>
      </c>
      <c r="DA130" t="s">
        <v>792</v>
      </c>
      <c r="DB130">
        <v>901.12140267699999</v>
      </c>
      <c r="DC130">
        <v>901.80852087505605</v>
      </c>
      <c r="DD130">
        <v>15024.873471999999</v>
      </c>
      <c r="DJ130" t="s">
        <v>792</v>
      </c>
      <c r="DK130">
        <v>901.37194114399995</v>
      </c>
      <c r="DL130">
        <v>901.90438316203597</v>
      </c>
      <c r="DM130">
        <v>15024.979968</v>
      </c>
    </row>
    <row r="131" spans="1:117" x14ac:dyDescent="0.2">
      <c r="A131">
        <v>6000</v>
      </c>
      <c r="B131">
        <v>3</v>
      </c>
      <c r="C131" t="str">
        <f t="shared" si="1"/>
        <v>6000-03</v>
      </c>
      <c r="F131" t="s">
        <v>793</v>
      </c>
      <c r="G131">
        <v>281.906650738</v>
      </c>
      <c r="H131">
        <v>282.14006788701198</v>
      </c>
      <c r="I131">
        <v>16000</v>
      </c>
      <c r="N131" t="s">
        <v>792</v>
      </c>
      <c r="O131">
        <v>901.08583979299999</v>
      </c>
      <c r="P131">
        <v>901.76015645099596</v>
      </c>
      <c r="Q131">
        <v>10560.397311999999</v>
      </c>
      <c r="V131" t="s">
        <v>793</v>
      </c>
      <c r="W131">
        <v>274.02074062200001</v>
      </c>
      <c r="X131">
        <v>274.303024113003</v>
      </c>
      <c r="Y131">
        <v>16000</v>
      </c>
      <c r="AC131" t="s">
        <v>962</v>
      </c>
      <c r="AD131" t="s">
        <v>793</v>
      </c>
      <c r="AE131">
        <v>282.41454880399999</v>
      </c>
      <c r="AF131">
        <v>282.64506919798401</v>
      </c>
      <c r="AG131">
        <v>16000</v>
      </c>
      <c r="AM131" t="s">
        <v>962</v>
      </c>
      <c r="AN131" t="s">
        <v>792</v>
      </c>
      <c r="AO131">
        <v>900.74573001299996</v>
      </c>
      <c r="AP131">
        <v>901.59117370398599</v>
      </c>
      <c r="AQ131">
        <v>10560.397311999999</v>
      </c>
      <c r="AX131" t="s">
        <v>962</v>
      </c>
      <c r="AY131" t="s">
        <v>793</v>
      </c>
      <c r="AZ131">
        <v>277.39041941900001</v>
      </c>
      <c r="BA131">
        <v>277.67823569901498</v>
      </c>
      <c r="BB131">
        <v>16000</v>
      </c>
      <c r="BO131" t="s">
        <v>792</v>
      </c>
      <c r="BP131">
        <v>900.91091235500005</v>
      </c>
      <c r="BQ131">
        <v>901.583839591941</v>
      </c>
      <c r="BR131">
        <v>10560.47104</v>
      </c>
      <c r="CR131" t="s">
        <v>792</v>
      </c>
      <c r="CS131">
        <v>900.91201964200002</v>
      </c>
      <c r="CT131">
        <v>901.56158696603904</v>
      </c>
      <c r="CU131">
        <v>10560.34816</v>
      </c>
      <c r="DA131" t="s">
        <v>792</v>
      </c>
      <c r="DB131">
        <v>900.83849769799997</v>
      </c>
      <c r="DC131">
        <v>901.57064368901695</v>
      </c>
      <c r="DD131">
        <v>10560.397311999999</v>
      </c>
      <c r="DJ131" t="s">
        <v>792</v>
      </c>
      <c r="DK131">
        <v>900.82408961399994</v>
      </c>
      <c r="DL131">
        <v>901.57120410096798</v>
      </c>
      <c r="DM131">
        <v>10560.462847999999</v>
      </c>
    </row>
    <row r="132" spans="1:117" x14ac:dyDescent="0.2">
      <c r="A132">
        <v>6000</v>
      </c>
      <c r="B132">
        <v>4</v>
      </c>
      <c r="C132" t="str">
        <f t="shared" ref="C132:C173" si="2">A132&amp;"-0"&amp;B132</f>
        <v>6000-04</v>
      </c>
      <c r="F132" t="s">
        <v>793</v>
      </c>
      <c r="G132">
        <v>274.66690902699997</v>
      </c>
      <c r="H132">
        <v>274.88561446400098</v>
      </c>
      <c r="I132">
        <v>16000</v>
      </c>
      <c r="N132" t="s">
        <v>793</v>
      </c>
      <c r="O132">
        <v>804.28740541000002</v>
      </c>
      <c r="P132">
        <v>804.92659457598302</v>
      </c>
      <c r="Q132">
        <v>16000</v>
      </c>
      <c r="V132" t="s">
        <v>793</v>
      </c>
      <c r="W132">
        <v>319.65987492599999</v>
      </c>
      <c r="X132">
        <v>320.02247313199001</v>
      </c>
      <c r="Y132">
        <v>16000</v>
      </c>
      <c r="AC132" t="s">
        <v>963</v>
      </c>
      <c r="AD132" t="s">
        <v>793</v>
      </c>
      <c r="AE132">
        <v>274.79770590800001</v>
      </c>
      <c r="AF132">
        <v>275.04409401401</v>
      </c>
      <c r="AG132">
        <v>16000</v>
      </c>
      <c r="AM132" t="s">
        <v>963</v>
      </c>
      <c r="AN132" t="s">
        <v>793</v>
      </c>
      <c r="AO132">
        <v>808.56434757299996</v>
      </c>
      <c r="AP132">
        <v>809.28351001901297</v>
      </c>
      <c r="AQ132">
        <v>16000</v>
      </c>
      <c r="AX132" t="s">
        <v>963</v>
      </c>
      <c r="AY132" t="s">
        <v>793</v>
      </c>
      <c r="AZ132">
        <v>316.06534569399997</v>
      </c>
      <c r="BA132">
        <v>316.39909286700998</v>
      </c>
      <c r="BB132">
        <v>16000</v>
      </c>
      <c r="BO132" t="s">
        <v>793</v>
      </c>
      <c r="BP132">
        <v>768.81292715200004</v>
      </c>
      <c r="BQ132">
        <v>769.52655268798105</v>
      </c>
      <c r="BR132">
        <v>16000</v>
      </c>
      <c r="CR132" t="s">
        <v>793</v>
      </c>
      <c r="CS132">
        <v>788.92219370500004</v>
      </c>
      <c r="CT132">
        <v>789.48404214403104</v>
      </c>
      <c r="CU132">
        <v>16000</v>
      </c>
      <c r="DA132" t="s">
        <v>793</v>
      </c>
      <c r="DB132">
        <v>799.88807196300002</v>
      </c>
      <c r="DC132">
        <v>800.53344264300495</v>
      </c>
      <c r="DD132">
        <v>16000</v>
      </c>
      <c r="DJ132" t="s">
        <v>793</v>
      </c>
      <c r="DK132">
        <v>800.25529976999997</v>
      </c>
      <c r="DL132">
        <v>800.90948654396902</v>
      </c>
      <c r="DM132">
        <v>16000</v>
      </c>
    </row>
    <row r="133" spans="1:117" x14ac:dyDescent="0.2">
      <c r="A133">
        <v>6000</v>
      </c>
      <c r="B133">
        <v>5</v>
      </c>
      <c r="C133" t="str">
        <f t="shared" si="2"/>
        <v>6000-05</v>
      </c>
      <c r="F133" t="s">
        <v>793</v>
      </c>
      <c r="G133">
        <v>284.20392012799999</v>
      </c>
      <c r="H133">
        <v>284.44039959899902</v>
      </c>
      <c r="I133">
        <v>16000</v>
      </c>
      <c r="N133" t="s">
        <v>792</v>
      </c>
      <c r="O133">
        <v>900.982030022</v>
      </c>
      <c r="P133">
        <v>901.83262655400904</v>
      </c>
      <c r="Q133">
        <v>14957.170688</v>
      </c>
      <c r="V133" t="s">
        <v>793</v>
      </c>
      <c r="W133">
        <v>375.03717460899998</v>
      </c>
      <c r="X133">
        <v>375.426098217998</v>
      </c>
      <c r="Y133">
        <v>16000</v>
      </c>
      <c r="AC133" t="s">
        <v>964</v>
      </c>
      <c r="AD133" t="s">
        <v>793</v>
      </c>
      <c r="AE133">
        <v>283.02608759899999</v>
      </c>
      <c r="AF133">
        <v>283.42408626998002</v>
      </c>
      <c r="AG133">
        <v>16000</v>
      </c>
      <c r="AM133" t="s">
        <v>964</v>
      </c>
      <c r="AN133" t="s">
        <v>792</v>
      </c>
      <c r="AO133">
        <v>901.20853455199995</v>
      </c>
      <c r="AP133">
        <v>901.90285248999101</v>
      </c>
      <c r="AQ133">
        <v>14957.199360000001</v>
      </c>
      <c r="AX133" t="s">
        <v>964</v>
      </c>
      <c r="AY133" t="s">
        <v>793</v>
      </c>
      <c r="AZ133">
        <v>371.42841855799998</v>
      </c>
      <c r="BA133">
        <v>371.79445252899302</v>
      </c>
      <c r="BB133">
        <v>16000</v>
      </c>
      <c r="BO133" t="s">
        <v>792</v>
      </c>
      <c r="BP133">
        <v>901.14508216199999</v>
      </c>
      <c r="BQ133">
        <v>901.82966885704002</v>
      </c>
      <c r="BR133">
        <v>14957.264896000001</v>
      </c>
      <c r="CR133" t="s">
        <v>792</v>
      </c>
      <c r="CS133">
        <v>901.24006191800004</v>
      </c>
      <c r="CT133">
        <v>901.81298277503799</v>
      </c>
      <c r="CU133">
        <v>14957.277184</v>
      </c>
      <c r="DA133" t="s">
        <v>792</v>
      </c>
      <c r="DB133">
        <v>901.10024650399998</v>
      </c>
      <c r="DC133">
        <v>901.82704621006201</v>
      </c>
      <c r="DD133">
        <v>14957.203455999999</v>
      </c>
      <c r="DJ133" t="s">
        <v>792</v>
      </c>
      <c r="DK133">
        <v>901.23327392299996</v>
      </c>
      <c r="DL133">
        <v>901.84737387101598</v>
      </c>
      <c r="DM133">
        <v>14957.223936</v>
      </c>
    </row>
    <row r="134" spans="1:117" x14ac:dyDescent="0.2">
      <c r="A134">
        <v>6000</v>
      </c>
      <c r="B134">
        <v>6</v>
      </c>
      <c r="C134" t="str">
        <f t="shared" si="2"/>
        <v>6000-06</v>
      </c>
      <c r="F134" t="s">
        <v>793</v>
      </c>
      <c r="G134">
        <v>263.79967082600001</v>
      </c>
      <c r="H134">
        <v>264.12378031799699</v>
      </c>
      <c r="I134">
        <v>16000</v>
      </c>
      <c r="N134" t="s">
        <v>792</v>
      </c>
      <c r="O134">
        <v>900.99086246100001</v>
      </c>
      <c r="P134">
        <v>901.79432342501195</v>
      </c>
      <c r="Q134">
        <v>15477.932032000001</v>
      </c>
      <c r="V134" t="s">
        <v>793</v>
      </c>
      <c r="W134">
        <v>316.247498307</v>
      </c>
      <c r="X134">
        <v>316.71872869999697</v>
      </c>
      <c r="Y134">
        <v>16000</v>
      </c>
      <c r="AC134" t="s">
        <v>965</v>
      </c>
      <c r="AD134" t="s">
        <v>793</v>
      </c>
      <c r="AE134">
        <v>264.491244849</v>
      </c>
      <c r="AF134">
        <v>264.823899233975</v>
      </c>
      <c r="AG134">
        <v>16000</v>
      </c>
      <c r="AM134" t="s">
        <v>965</v>
      </c>
      <c r="AN134" t="s">
        <v>792</v>
      </c>
      <c r="AO134">
        <v>901.12133119199996</v>
      </c>
      <c r="AP134">
        <v>901.88957977699397</v>
      </c>
      <c r="AQ134">
        <v>15279.906816000001</v>
      </c>
      <c r="AX134" t="s">
        <v>965</v>
      </c>
      <c r="AY134" t="s">
        <v>793</v>
      </c>
      <c r="AZ134">
        <v>314.09170927899999</v>
      </c>
      <c r="BA134">
        <v>314.42003242400801</v>
      </c>
      <c r="BB134">
        <v>16000</v>
      </c>
      <c r="BO134" t="s">
        <v>792</v>
      </c>
      <c r="BP134">
        <v>902.99455300399995</v>
      </c>
      <c r="BQ134">
        <v>903.64226590108501</v>
      </c>
      <c r="BR134">
        <v>16000</v>
      </c>
      <c r="CR134" t="s">
        <v>792</v>
      </c>
      <c r="CS134">
        <v>901.03050504700002</v>
      </c>
      <c r="CT134">
        <v>901.79221250698902</v>
      </c>
      <c r="CU134">
        <v>15283.17952</v>
      </c>
      <c r="DA134" t="s">
        <v>792</v>
      </c>
      <c r="DB134">
        <v>901.05543450000005</v>
      </c>
      <c r="DC134">
        <v>901.80843123805198</v>
      </c>
      <c r="DD134">
        <v>15278.641152</v>
      </c>
      <c r="DJ134" t="s">
        <v>792</v>
      </c>
      <c r="DK134">
        <v>901.03949051400002</v>
      </c>
      <c r="DL134">
        <v>901.797561503015</v>
      </c>
      <c r="DM134">
        <v>15284.604928000001</v>
      </c>
    </row>
    <row r="135" spans="1:117" x14ac:dyDescent="0.2">
      <c r="A135">
        <v>6000</v>
      </c>
      <c r="B135">
        <v>7</v>
      </c>
      <c r="C135" t="str">
        <f t="shared" si="2"/>
        <v>6000-07</v>
      </c>
      <c r="F135" t="s">
        <v>793</v>
      </c>
      <c r="G135">
        <v>264.11165281900003</v>
      </c>
      <c r="H135">
        <v>264.40154992199598</v>
      </c>
      <c r="I135">
        <v>16000</v>
      </c>
      <c r="N135" t="s">
        <v>793</v>
      </c>
      <c r="O135">
        <v>785.38581028199997</v>
      </c>
      <c r="P135">
        <v>786.12993283200103</v>
      </c>
      <c r="Q135">
        <v>16000</v>
      </c>
      <c r="V135" t="s">
        <v>793</v>
      </c>
      <c r="W135">
        <v>855.72726394200004</v>
      </c>
      <c r="X135">
        <v>856.31592207999995</v>
      </c>
      <c r="Y135">
        <v>16000</v>
      </c>
      <c r="AC135" t="s">
        <v>966</v>
      </c>
      <c r="AD135" t="s">
        <v>793</v>
      </c>
      <c r="AE135">
        <v>269.666747988</v>
      </c>
      <c r="AF135">
        <v>269.89603176500498</v>
      </c>
      <c r="AG135">
        <v>16000</v>
      </c>
      <c r="AM135" t="s">
        <v>966</v>
      </c>
      <c r="AN135" t="s">
        <v>793</v>
      </c>
      <c r="AO135">
        <v>794.39109446199996</v>
      </c>
      <c r="AP135">
        <v>795.07533584799899</v>
      </c>
      <c r="AQ135">
        <v>16000</v>
      </c>
      <c r="AX135" t="s">
        <v>966</v>
      </c>
      <c r="AY135" t="s">
        <v>793</v>
      </c>
      <c r="AZ135">
        <v>816.26279474399996</v>
      </c>
      <c r="BA135">
        <v>816.81996634000097</v>
      </c>
      <c r="BB135">
        <v>16000</v>
      </c>
      <c r="BO135" t="s">
        <v>793</v>
      </c>
      <c r="BP135">
        <v>771.16698141799998</v>
      </c>
      <c r="BQ135">
        <v>771.76698353700294</v>
      </c>
      <c r="BR135">
        <v>16000</v>
      </c>
      <c r="CR135" t="s">
        <v>793</v>
      </c>
      <c r="CS135">
        <v>792.16778764399999</v>
      </c>
      <c r="CT135">
        <v>792.847285098047</v>
      </c>
      <c r="CU135">
        <v>16000.004096000001</v>
      </c>
      <c r="DA135" t="s">
        <v>793</v>
      </c>
      <c r="DB135">
        <v>799.245862676</v>
      </c>
      <c r="DC135">
        <v>799.87989157496395</v>
      </c>
      <c r="DD135">
        <v>16000</v>
      </c>
      <c r="DJ135" t="s">
        <v>793</v>
      </c>
      <c r="DK135">
        <v>783.83342374599999</v>
      </c>
      <c r="DL135">
        <v>784.44112154305901</v>
      </c>
      <c r="DM135">
        <v>16000</v>
      </c>
    </row>
    <row r="136" spans="1:117" x14ac:dyDescent="0.2">
      <c r="A136">
        <v>6000</v>
      </c>
      <c r="B136">
        <v>8</v>
      </c>
      <c r="C136" t="str">
        <f t="shared" si="2"/>
        <v>6000-08</v>
      </c>
      <c r="F136" t="s">
        <v>793</v>
      </c>
      <c r="G136">
        <v>441.37019930600002</v>
      </c>
      <c r="H136">
        <v>441.73650518999699</v>
      </c>
      <c r="I136">
        <v>16000</v>
      </c>
      <c r="N136" t="s">
        <v>792</v>
      </c>
      <c r="O136">
        <v>901.104473353</v>
      </c>
      <c r="P136">
        <v>901.87371217698001</v>
      </c>
      <c r="Q136">
        <v>15173.042176000001</v>
      </c>
      <c r="V136" t="s">
        <v>793</v>
      </c>
      <c r="W136">
        <v>369.27395566500002</v>
      </c>
      <c r="X136">
        <v>369.59859561499599</v>
      </c>
      <c r="Y136">
        <v>16000</v>
      </c>
      <c r="AC136" t="s">
        <v>967</v>
      </c>
      <c r="AD136" t="s">
        <v>793</v>
      </c>
      <c r="AE136">
        <v>445.36496587699997</v>
      </c>
      <c r="AF136">
        <v>445.83649536900299</v>
      </c>
      <c r="AG136">
        <v>16000</v>
      </c>
      <c r="AM136" t="s">
        <v>967</v>
      </c>
      <c r="AN136" t="s">
        <v>792</v>
      </c>
      <c r="AO136">
        <v>901.35649847000002</v>
      </c>
      <c r="AP136">
        <v>901.93051304298501</v>
      </c>
      <c r="AQ136">
        <v>15172.99712</v>
      </c>
      <c r="AX136" t="s">
        <v>967</v>
      </c>
      <c r="AY136" t="s">
        <v>793</v>
      </c>
      <c r="AZ136">
        <v>375.210583434</v>
      </c>
      <c r="BA136">
        <v>375.58213100497898</v>
      </c>
      <c r="BB136">
        <v>16000</v>
      </c>
      <c r="BO136" t="s">
        <v>792</v>
      </c>
      <c r="BP136">
        <v>901.112669203</v>
      </c>
      <c r="BQ136">
        <v>901.83123489108402</v>
      </c>
      <c r="BR136">
        <v>15173.066752000001</v>
      </c>
      <c r="CR136" t="s">
        <v>792</v>
      </c>
      <c r="CS136">
        <v>901.07357379899997</v>
      </c>
      <c r="CT136">
        <v>901.82733569003096</v>
      </c>
      <c r="CU136">
        <v>15172.296704</v>
      </c>
      <c r="DA136" t="s">
        <v>792</v>
      </c>
      <c r="DB136">
        <v>901.00137868100001</v>
      </c>
      <c r="DC136">
        <v>901.80614408501401</v>
      </c>
      <c r="DD136">
        <v>15172.931584</v>
      </c>
      <c r="DJ136" t="s">
        <v>792</v>
      </c>
      <c r="DK136">
        <v>901.18709027900002</v>
      </c>
      <c r="DL136">
        <v>901.84028045902903</v>
      </c>
      <c r="DM136">
        <v>15173.12</v>
      </c>
    </row>
    <row r="137" spans="1:117" x14ac:dyDescent="0.2">
      <c r="A137">
        <v>6000</v>
      </c>
      <c r="B137">
        <v>9</v>
      </c>
      <c r="C137" t="str">
        <f t="shared" si="2"/>
        <v>6000-09</v>
      </c>
      <c r="F137" t="s">
        <v>793</v>
      </c>
      <c r="G137">
        <v>246.07499526800001</v>
      </c>
      <c r="H137">
        <v>246.32591386198999</v>
      </c>
      <c r="I137">
        <v>16000</v>
      </c>
      <c r="N137" t="s">
        <v>793</v>
      </c>
      <c r="O137">
        <v>736.46667086299999</v>
      </c>
      <c r="P137">
        <v>737.074324563</v>
      </c>
      <c r="Q137">
        <v>16000</v>
      </c>
      <c r="V137" t="s">
        <v>793</v>
      </c>
      <c r="W137">
        <v>672.23939088099996</v>
      </c>
      <c r="X137">
        <v>672.80312561101096</v>
      </c>
      <c r="Y137">
        <v>16000</v>
      </c>
      <c r="AC137" t="s">
        <v>968</v>
      </c>
      <c r="AD137" t="s">
        <v>793</v>
      </c>
      <c r="AE137">
        <v>247.78415055299999</v>
      </c>
      <c r="AF137">
        <v>248.051464746997</v>
      </c>
      <c r="AG137">
        <v>16000</v>
      </c>
      <c r="AM137" t="s">
        <v>968</v>
      </c>
      <c r="AN137" t="s">
        <v>793</v>
      </c>
      <c r="AO137">
        <v>707.400409653</v>
      </c>
      <c r="AP137">
        <v>707.89503896300403</v>
      </c>
      <c r="AQ137">
        <v>16000</v>
      </c>
      <c r="AX137" t="s">
        <v>968</v>
      </c>
      <c r="AY137" t="s">
        <v>793</v>
      </c>
      <c r="AZ137">
        <v>685.27386797300005</v>
      </c>
      <c r="BA137">
        <v>685.84528088298896</v>
      </c>
      <c r="BB137">
        <v>16000</v>
      </c>
      <c r="BO137" t="s">
        <v>793</v>
      </c>
      <c r="BP137">
        <v>738.49604447599995</v>
      </c>
      <c r="BQ137">
        <v>739.05478169501203</v>
      </c>
      <c r="BR137">
        <v>16000.004096000001</v>
      </c>
      <c r="CR137" t="s">
        <v>793</v>
      </c>
      <c r="CS137">
        <v>754.11661560300001</v>
      </c>
      <c r="CT137">
        <v>754.77133917191497</v>
      </c>
      <c r="CU137">
        <v>16000</v>
      </c>
      <c r="DA137" t="s">
        <v>793</v>
      </c>
      <c r="DB137">
        <v>706.46196605199998</v>
      </c>
      <c r="DC137">
        <v>706.91444120905305</v>
      </c>
      <c r="DD137">
        <v>16000</v>
      </c>
      <c r="DJ137" t="s">
        <v>793</v>
      </c>
      <c r="DK137">
        <v>733.47117248999996</v>
      </c>
      <c r="DL137">
        <v>734.04983467399097</v>
      </c>
      <c r="DM137">
        <v>16000</v>
      </c>
    </row>
    <row r="138" spans="1:117" x14ac:dyDescent="0.2">
      <c r="A138">
        <v>7000</v>
      </c>
      <c r="B138">
        <v>1</v>
      </c>
      <c r="C138" t="str">
        <f t="shared" si="2"/>
        <v>7000-01</v>
      </c>
      <c r="F138" t="s">
        <v>793</v>
      </c>
      <c r="G138">
        <v>298.26953948699997</v>
      </c>
      <c r="H138">
        <v>298.51468186800702</v>
      </c>
      <c r="I138">
        <v>16000</v>
      </c>
      <c r="N138" t="s">
        <v>793</v>
      </c>
      <c r="O138">
        <v>811.58914280399995</v>
      </c>
      <c r="P138">
        <v>812.30120412699705</v>
      </c>
      <c r="Q138">
        <v>16000</v>
      </c>
      <c r="V138" t="s">
        <v>793</v>
      </c>
      <c r="W138">
        <v>682.131262096</v>
      </c>
      <c r="X138">
        <v>682.69665273099895</v>
      </c>
      <c r="Y138">
        <v>16000</v>
      </c>
      <c r="AC138" t="s">
        <v>969</v>
      </c>
      <c r="AD138" t="s">
        <v>793</v>
      </c>
      <c r="AE138">
        <v>313.86192082100001</v>
      </c>
      <c r="AF138">
        <v>314.27800960399298</v>
      </c>
      <c r="AG138">
        <v>16000</v>
      </c>
      <c r="AM138" t="s">
        <v>969</v>
      </c>
      <c r="AN138" t="s">
        <v>793</v>
      </c>
      <c r="AO138">
        <v>799.57869366499995</v>
      </c>
      <c r="AP138">
        <v>800.24781212900405</v>
      </c>
      <c r="AQ138">
        <v>16000</v>
      </c>
      <c r="AX138" t="s">
        <v>969</v>
      </c>
      <c r="AY138" t="s">
        <v>793</v>
      </c>
      <c r="AZ138">
        <v>655.70206682800006</v>
      </c>
      <c r="BA138">
        <v>656.24206593600604</v>
      </c>
      <c r="BB138">
        <v>16000</v>
      </c>
      <c r="BO138" t="s">
        <v>793</v>
      </c>
      <c r="BP138">
        <v>818.55217775100004</v>
      </c>
      <c r="BQ138">
        <v>819.25425115902897</v>
      </c>
      <c r="BR138">
        <v>16000</v>
      </c>
      <c r="CR138" t="s">
        <v>793</v>
      </c>
      <c r="CS138">
        <v>815.39717816899997</v>
      </c>
      <c r="CT138">
        <v>816.11497289501096</v>
      </c>
      <c r="CU138">
        <v>16000</v>
      </c>
      <c r="DA138" t="s">
        <v>793</v>
      </c>
      <c r="DB138">
        <v>811.34695281400002</v>
      </c>
      <c r="DC138">
        <v>812.01374257693499</v>
      </c>
      <c r="DD138">
        <v>16000</v>
      </c>
      <c r="DJ138" t="s">
        <v>793</v>
      </c>
      <c r="DK138">
        <v>796.79379979400005</v>
      </c>
      <c r="DL138">
        <v>797.43505477195094</v>
      </c>
      <c r="DM138">
        <v>16000</v>
      </c>
    </row>
    <row r="139" spans="1:117" x14ac:dyDescent="0.2">
      <c r="A139">
        <v>7000</v>
      </c>
      <c r="B139">
        <v>2</v>
      </c>
      <c r="C139" t="str">
        <f t="shared" si="2"/>
        <v>7000-02</v>
      </c>
      <c r="F139" t="s">
        <v>793</v>
      </c>
      <c r="G139">
        <v>403.23502414199999</v>
      </c>
      <c r="H139">
        <v>403.59004690899701</v>
      </c>
      <c r="I139">
        <v>16000</v>
      </c>
      <c r="N139" t="s">
        <v>793</v>
      </c>
      <c r="O139">
        <v>797.75405718499997</v>
      </c>
      <c r="P139">
        <v>798.35369961100503</v>
      </c>
      <c r="Q139">
        <v>16000</v>
      </c>
      <c r="V139" t="s">
        <v>793</v>
      </c>
      <c r="W139">
        <v>568.09865250099995</v>
      </c>
      <c r="X139">
        <v>568.50363210699197</v>
      </c>
      <c r="Y139">
        <v>16000</v>
      </c>
      <c r="AC139" t="s">
        <v>970</v>
      </c>
      <c r="AD139" t="s">
        <v>793</v>
      </c>
      <c r="AE139">
        <v>387.22107886499998</v>
      </c>
      <c r="AF139">
        <v>387.530216865998</v>
      </c>
      <c r="AG139">
        <v>16000</v>
      </c>
      <c r="AM139" t="s">
        <v>970</v>
      </c>
      <c r="AN139" t="s">
        <v>793</v>
      </c>
      <c r="AO139">
        <v>817.53879359400003</v>
      </c>
      <c r="AP139">
        <v>818.27898012500305</v>
      </c>
      <c r="AQ139">
        <v>16000</v>
      </c>
      <c r="AX139" t="s">
        <v>970</v>
      </c>
      <c r="AY139" t="s">
        <v>793</v>
      </c>
      <c r="AZ139">
        <v>588.46509837400004</v>
      </c>
      <c r="BA139">
        <v>588.95631906800497</v>
      </c>
      <c r="BB139">
        <v>16000</v>
      </c>
      <c r="BO139" t="s">
        <v>793</v>
      </c>
      <c r="BP139">
        <v>794.61612283299996</v>
      </c>
      <c r="BQ139">
        <v>795.23551450495097</v>
      </c>
      <c r="BR139">
        <v>16000</v>
      </c>
      <c r="CR139" t="s">
        <v>793</v>
      </c>
      <c r="CS139">
        <v>818.71923776899996</v>
      </c>
      <c r="CT139">
        <v>819.46247553208298</v>
      </c>
      <c r="CU139">
        <v>16000</v>
      </c>
      <c r="DA139" t="s">
        <v>793</v>
      </c>
      <c r="DB139">
        <v>812.87731768000003</v>
      </c>
      <c r="DC139">
        <v>813.57331686408702</v>
      </c>
      <c r="DD139">
        <v>16000</v>
      </c>
      <c r="DJ139" t="s">
        <v>793</v>
      </c>
      <c r="DK139">
        <v>793.97666730900005</v>
      </c>
      <c r="DL139">
        <v>794.59557554393496</v>
      </c>
      <c r="DM139">
        <v>16000</v>
      </c>
    </row>
    <row r="140" spans="1:117" x14ac:dyDescent="0.2">
      <c r="A140">
        <v>7000</v>
      </c>
      <c r="B140">
        <v>3</v>
      </c>
      <c r="C140" t="str">
        <f t="shared" si="2"/>
        <v>7000-03</v>
      </c>
      <c r="F140" t="s">
        <v>793</v>
      </c>
      <c r="G140">
        <v>263.39901461099998</v>
      </c>
      <c r="H140">
        <v>263.75189187399502</v>
      </c>
      <c r="I140">
        <v>16000</v>
      </c>
      <c r="N140" t="s">
        <v>792</v>
      </c>
      <c r="O140">
        <v>900.83827310000004</v>
      </c>
      <c r="P140">
        <v>901.63310176998402</v>
      </c>
      <c r="Q140">
        <v>10145.284095999999</v>
      </c>
      <c r="V140" t="s">
        <v>793</v>
      </c>
      <c r="W140">
        <v>309.72127605700001</v>
      </c>
      <c r="X140">
        <v>309.99811127599901</v>
      </c>
      <c r="Y140">
        <v>16000</v>
      </c>
      <c r="AC140" t="s">
        <v>971</v>
      </c>
      <c r="AD140" t="s">
        <v>793</v>
      </c>
      <c r="AE140">
        <v>274.65657055600002</v>
      </c>
      <c r="AF140">
        <v>274.905241044994</v>
      </c>
      <c r="AG140">
        <v>16000</v>
      </c>
      <c r="AM140" t="s">
        <v>971</v>
      </c>
      <c r="AN140" t="s">
        <v>792</v>
      </c>
      <c r="AO140">
        <v>900.83351148199995</v>
      </c>
      <c r="AP140">
        <v>901.63357918997599</v>
      </c>
      <c r="AQ140">
        <v>10145.280000000001</v>
      </c>
      <c r="AX140" t="s">
        <v>971</v>
      </c>
      <c r="AY140" t="s">
        <v>793</v>
      </c>
      <c r="AZ140">
        <v>307.73059558800003</v>
      </c>
      <c r="BA140">
        <v>308.04660306600198</v>
      </c>
      <c r="BB140">
        <v>16000</v>
      </c>
      <c r="BO140" t="s">
        <v>792</v>
      </c>
      <c r="BP140">
        <v>900.833767502</v>
      </c>
      <c r="BQ140">
        <v>901.61112543195395</v>
      </c>
      <c r="BR140">
        <v>10145.378304</v>
      </c>
      <c r="CR140" t="s">
        <v>792</v>
      </c>
      <c r="CS140">
        <v>900.91837688400005</v>
      </c>
      <c r="CT140">
        <v>901.62958237796499</v>
      </c>
      <c r="CU140">
        <v>10145.280000000001</v>
      </c>
      <c r="DA140" t="s">
        <v>792</v>
      </c>
      <c r="DB140">
        <v>900.95689920500001</v>
      </c>
      <c r="DC140">
        <v>901.63887696491997</v>
      </c>
      <c r="DD140">
        <v>10145.304576</v>
      </c>
      <c r="DJ140" t="s">
        <v>792</v>
      </c>
      <c r="DK140">
        <v>900.94662461600001</v>
      </c>
      <c r="DL140">
        <v>901.60146951698698</v>
      </c>
      <c r="DM140">
        <v>10145.247232</v>
      </c>
    </row>
    <row r="141" spans="1:117" x14ac:dyDescent="0.2">
      <c r="A141">
        <v>7000</v>
      </c>
      <c r="B141">
        <v>4</v>
      </c>
      <c r="C141" t="str">
        <f t="shared" si="2"/>
        <v>7000-04</v>
      </c>
      <c r="F141" t="s">
        <v>793</v>
      </c>
      <c r="G141">
        <v>276.40326132400003</v>
      </c>
      <c r="H141">
        <v>276.64605229099101</v>
      </c>
      <c r="I141">
        <v>16000</v>
      </c>
      <c r="N141" t="s">
        <v>792</v>
      </c>
      <c r="O141">
        <v>901.07179299400002</v>
      </c>
      <c r="P141">
        <v>901.87743734099695</v>
      </c>
      <c r="Q141">
        <v>15004.884991999999</v>
      </c>
      <c r="V141" t="s">
        <v>793</v>
      </c>
      <c r="W141">
        <v>484.04704522700001</v>
      </c>
      <c r="X141">
        <v>484.46825476000902</v>
      </c>
      <c r="Y141">
        <v>16000</v>
      </c>
      <c r="AC141" t="s">
        <v>972</v>
      </c>
      <c r="AD141" t="s">
        <v>793</v>
      </c>
      <c r="AE141">
        <v>276.39855823800002</v>
      </c>
      <c r="AF141">
        <v>276.66413999799897</v>
      </c>
      <c r="AG141">
        <v>16000</v>
      </c>
      <c r="AM141" t="s">
        <v>972</v>
      </c>
      <c r="AN141" t="s">
        <v>792</v>
      </c>
      <c r="AO141">
        <v>901.03639334699994</v>
      </c>
      <c r="AP141">
        <v>901.80367366800704</v>
      </c>
      <c r="AQ141">
        <v>15004.7744</v>
      </c>
      <c r="AX141" t="s">
        <v>972</v>
      </c>
      <c r="AY141" t="s">
        <v>793</v>
      </c>
      <c r="AZ141">
        <v>480.17590314099999</v>
      </c>
      <c r="BA141">
        <v>480.60099115202303</v>
      </c>
      <c r="BB141">
        <v>16000</v>
      </c>
      <c r="BO141" t="s">
        <v>792</v>
      </c>
      <c r="BP141">
        <v>901.06020049999995</v>
      </c>
      <c r="BQ141">
        <v>901.82388818194102</v>
      </c>
      <c r="BR141">
        <v>15004.782592</v>
      </c>
      <c r="CR141" t="s">
        <v>792</v>
      </c>
      <c r="CS141">
        <v>901.05170760199996</v>
      </c>
      <c r="CT141">
        <v>901.79863948805701</v>
      </c>
      <c r="CU141">
        <v>15004.844032000001</v>
      </c>
      <c r="DA141" t="s">
        <v>792</v>
      </c>
      <c r="DB141">
        <v>901.05127195</v>
      </c>
      <c r="DC141">
        <v>901.77165477199003</v>
      </c>
      <c r="DD141">
        <v>15004.889088</v>
      </c>
      <c r="DJ141" t="s">
        <v>792</v>
      </c>
      <c r="DK141">
        <v>901.06225417600001</v>
      </c>
      <c r="DL141">
        <v>901.77362450794305</v>
      </c>
      <c r="DM141">
        <v>15004.741631999999</v>
      </c>
    </row>
    <row r="142" spans="1:117" x14ac:dyDescent="0.2">
      <c r="A142">
        <v>7000</v>
      </c>
      <c r="B142">
        <v>5</v>
      </c>
      <c r="C142" t="str">
        <f t="shared" si="2"/>
        <v>7000-05</v>
      </c>
      <c r="F142" t="s">
        <v>793</v>
      </c>
      <c r="G142">
        <v>301.09232890300001</v>
      </c>
      <c r="H142">
        <v>301.33222323899099</v>
      </c>
      <c r="I142">
        <v>16000</v>
      </c>
      <c r="N142" t="s">
        <v>793</v>
      </c>
      <c r="O142">
        <v>824.79846142099996</v>
      </c>
      <c r="P142">
        <v>825.59893418097602</v>
      </c>
      <c r="Q142">
        <v>16000</v>
      </c>
      <c r="V142" t="s">
        <v>793</v>
      </c>
      <c r="W142">
        <v>486.820408047</v>
      </c>
      <c r="X142">
        <v>487.275289935991</v>
      </c>
      <c r="Y142">
        <v>16000</v>
      </c>
      <c r="AC142" t="s">
        <v>973</v>
      </c>
      <c r="AD142" t="s">
        <v>793</v>
      </c>
      <c r="AE142">
        <v>318.03187783999999</v>
      </c>
      <c r="AF142">
        <v>318.34511050401397</v>
      </c>
      <c r="AG142">
        <v>16000</v>
      </c>
      <c r="AM142" t="s">
        <v>973</v>
      </c>
      <c r="AN142" t="s">
        <v>793</v>
      </c>
      <c r="AO142">
        <v>825.18769141400003</v>
      </c>
      <c r="AP142">
        <v>825.91524324199395</v>
      </c>
      <c r="AQ142">
        <v>16000</v>
      </c>
      <c r="AX142" t="s">
        <v>973</v>
      </c>
      <c r="AY142" t="s">
        <v>793</v>
      </c>
      <c r="AZ142">
        <v>488.02787016600001</v>
      </c>
      <c r="BA142">
        <v>488.46852187401902</v>
      </c>
      <c r="BB142">
        <v>16000</v>
      </c>
      <c r="BO142" t="s">
        <v>793</v>
      </c>
      <c r="BP142">
        <v>831.80035618399995</v>
      </c>
      <c r="BQ142">
        <v>832.551775039988</v>
      </c>
      <c r="BR142">
        <v>16000</v>
      </c>
      <c r="CR142" t="s">
        <v>793</v>
      </c>
      <c r="CS142">
        <v>824.41233320699996</v>
      </c>
      <c r="CT142">
        <v>825.08117669296905</v>
      </c>
      <c r="CU142">
        <v>16000</v>
      </c>
      <c r="DA142" t="s">
        <v>793</v>
      </c>
      <c r="DB142">
        <v>824.97720768199997</v>
      </c>
      <c r="DC142">
        <v>825.64144219609398</v>
      </c>
      <c r="DD142">
        <v>16000</v>
      </c>
      <c r="DJ142" t="s">
        <v>793</v>
      </c>
      <c r="DK142">
        <v>829.21539567299999</v>
      </c>
      <c r="DL142">
        <v>829.93641916091997</v>
      </c>
      <c r="DM142">
        <v>16000</v>
      </c>
    </row>
    <row r="143" spans="1:117" x14ac:dyDescent="0.2">
      <c r="A143">
        <v>7000</v>
      </c>
      <c r="B143">
        <v>6</v>
      </c>
      <c r="C143" t="str">
        <f t="shared" si="2"/>
        <v>7000-06</v>
      </c>
      <c r="F143" t="s">
        <v>793</v>
      </c>
      <c r="G143">
        <v>234.31944986400001</v>
      </c>
      <c r="H143">
        <v>234.51604107199799</v>
      </c>
      <c r="I143">
        <v>16000</v>
      </c>
      <c r="N143" t="s">
        <v>792</v>
      </c>
      <c r="O143">
        <v>900.788910665</v>
      </c>
      <c r="P143">
        <v>901.48736914698304</v>
      </c>
      <c r="Q143">
        <v>8771.7519360000006</v>
      </c>
      <c r="V143" t="s">
        <v>793</v>
      </c>
      <c r="W143">
        <v>838.44399039699999</v>
      </c>
      <c r="X143">
        <v>839.08155338199799</v>
      </c>
      <c r="Y143">
        <v>16000</v>
      </c>
      <c r="AC143" t="s">
        <v>974</v>
      </c>
      <c r="AD143" t="s">
        <v>793</v>
      </c>
      <c r="AE143">
        <v>234.46538080400001</v>
      </c>
      <c r="AF143">
        <v>234.66595963699999</v>
      </c>
      <c r="AG143">
        <v>16000</v>
      </c>
      <c r="AM143" t="s">
        <v>974</v>
      </c>
      <c r="AN143" t="s">
        <v>792</v>
      </c>
      <c r="AO143">
        <v>900.80964833400003</v>
      </c>
      <c r="AP143">
        <v>901.50974308999105</v>
      </c>
      <c r="AQ143">
        <v>8771.7601279999999</v>
      </c>
      <c r="AX143" t="s">
        <v>974</v>
      </c>
      <c r="AY143" t="s">
        <v>793</v>
      </c>
      <c r="AZ143">
        <v>860.82649957599995</v>
      </c>
      <c r="BA143">
        <v>861.55888745302195</v>
      </c>
      <c r="BB143">
        <v>16000</v>
      </c>
      <c r="BO143" t="s">
        <v>792</v>
      </c>
      <c r="BP143">
        <v>900.69060219799997</v>
      </c>
      <c r="BQ143">
        <v>901.46819595003001</v>
      </c>
      <c r="BR143">
        <v>8771.9772159999993</v>
      </c>
      <c r="CR143" t="s">
        <v>792</v>
      </c>
      <c r="CS143">
        <v>900.781252247</v>
      </c>
      <c r="CT143">
        <v>901.50043940299599</v>
      </c>
      <c r="CU143">
        <v>8771.7724159999998</v>
      </c>
      <c r="DA143" t="s">
        <v>792</v>
      </c>
      <c r="DB143">
        <v>900.79669872500006</v>
      </c>
      <c r="DC143">
        <v>901.49981801398098</v>
      </c>
      <c r="DD143">
        <v>8771.7683199999992</v>
      </c>
      <c r="DJ143" t="s">
        <v>792</v>
      </c>
      <c r="DK143">
        <v>900.72539340000003</v>
      </c>
      <c r="DL143">
        <v>901.45846509502701</v>
      </c>
      <c r="DM143">
        <v>8771.7560319999993</v>
      </c>
    </row>
    <row r="144" spans="1:117" x14ac:dyDescent="0.2">
      <c r="A144">
        <v>7000</v>
      </c>
      <c r="B144">
        <v>7</v>
      </c>
      <c r="C144" t="str">
        <f t="shared" si="2"/>
        <v>7000-07</v>
      </c>
      <c r="F144" t="s">
        <v>793</v>
      </c>
      <c r="G144">
        <v>258.396904022</v>
      </c>
      <c r="H144">
        <v>258.62100832800201</v>
      </c>
      <c r="I144">
        <v>16000</v>
      </c>
      <c r="N144" t="s">
        <v>792</v>
      </c>
      <c r="O144">
        <v>900.723374337</v>
      </c>
      <c r="P144">
        <v>901.48410494500399</v>
      </c>
      <c r="Q144">
        <v>8070.2177279999996</v>
      </c>
      <c r="V144" t="s">
        <v>793</v>
      </c>
      <c r="W144">
        <v>478.85154226899999</v>
      </c>
      <c r="X144">
        <v>479.21508786700701</v>
      </c>
      <c r="Y144">
        <v>16000</v>
      </c>
      <c r="AC144" t="s">
        <v>975</v>
      </c>
      <c r="AD144" t="s">
        <v>793</v>
      </c>
      <c r="AE144">
        <v>258.46980444500002</v>
      </c>
      <c r="AF144">
        <v>258.71882139201603</v>
      </c>
      <c r="AG144">
        <v>16000</v>
      </c>
      <c r="AM144" t="s">
        <v>975</v>
      </c>
      <c r="AN144" t="s">
        <v>792</v>
      </c>
      <c r="AO144">
        <v>900.81326489800006</v>
      </c>
      <c r="AP144">
        <v>901.54226128500795</v>
      </c>
      <c r="AQ144">
        <v>8304.6973440000002</v>
      </c>
      <c r="AX144" t="s">
        <v>975</v>
      </c>
      <c r="AY144" t="s">
        <v>793</v>
      </c>
      <c r="AZ144">
        <v>471.00332027399998</v>
      </c>
      <c r="BA144">
        <v>471.41927833598999</v>
      </c>
      <c r="BB144">
        <v>16000</v>
      </c>
      <c r="BO144" t="s">
        <v>792</v>
      </c>
      <c r="BP144">
        <v>900.72976722999999</v>
      </c>
      <c r="BQ144">
        <v>901.50453586003198</v>
      </c>
      <c r="BR144">
        <v>7949.6478719999996</v>
      </c>
      <c r="CR144" t="s">
        <v>792</v>
      </c>
      <c r="CS144">
        <v>900.79275866700004</v>
      </c>
      <c r="CT144">
        <v>901.48627843102395</v>
      </c>
      <c r="CU144">
        <v>8433.5329280000005</v>
      </c>
      <c r="DA144" t="s">
        <v>792</v>
      </c>
      <c r="DB144">
        <v>900.783744813</v>
      </c>
      <c r="DC144">
        <v>901.49238343909303</v>
      </c>
      <c r="DD144">
        <v>8646.5535999999993</v>
      </c>
      <c r="DJ144" t="s">
        <v>792</v>
      </c>
      <c r="DK144">
        <v>900.90638595899998</v>
      </c>
      <c r="DL144">
        <v>901.54580992204103</v>
      </c>
      <c r="DM144">
        <v>9261.40416</v>
      </c>
    </row>
    <row r="145" spans="1:117" x14ac:dyDescent="0.2">
      <c r="A145">
        <v>7000</v>
      </c>
      <c r="B145">
        <v>8</v>
      </c>
      <c r="C145" t="str">
        <f t="shared" si="2"/>
        <v>7000-08</v>
      </c>
      <c r="F145" t="s">
        <v>793</v>
      </c>
      <c r="G145">
        <v>246.532612492</v>
      </c>
      <c r="H145">
        <v>246.771196441011</v>
      </c>
      <c r="I145">
        <v>16000</v>
      </c>
      <c r="N145" t="s">
        <v>793</v>
      </c>
      <c r="O145">
        <v>588.56779723700004</v>
      </c>
      <c r="P145">
        <v>589.06385761301499</v>
      </c>
      <c r="Q145">
        <v>16000</v>
      </c>
      <c r="V145" t="s">
        <v>793</v>
      </c>
      <c r="W145">
        <v>355.55562727500001</v>
      </c>
      <c r="X145">
        <v>355.91459094099901</v>
      </c>
      <c r="Y145">
        <v>16000</v>
      </c>
      <c r="AC145" t="s">
        <v>976</v>
      </c>
      <c r="AD145" t="s">
        <v>793</v>
      </c>
      <c r="AE145">
        <v>235.786291006</v>
      </c>
      <c r="AF145">
        <v>236.00080038999999</v>
      </c>
      <c r="AG145">
        <v>16000</v>
      </c>
      <c r="AM145" t="s">
        <v>976</v>
      </c>
      <c r="AN145" t="s">
        <v>793</v>
      </c>
      <c r="AO145">
        <v>603.54956849799999</v>
      </c>
      <c r="AP145">
        <v>604.11669867698197</v>
      </c>
      <c r="AQ145">
        <v>16000</v>
      </c>
      <c r="AX145" t="s">
        <v>976</v>
      </c>
      <c r="AY145" t="s">
        <v>793</v>
      </c>
      <c r="AZ145">
        <v>360.51183251700002</v>
      </c>
      <c r="BA145">
        <v>360.94375751900901</v>
      </c>
      <c r="BB145">
        <v>16000</v>
      </c>
      <c r="BO145" t="s">
        <v>793</v>
      </c>
      <c r="BP145">
        <v>608.62505481100004</v>
      </c>
      <c r="BQ145">
        <v>609.16361036000296</v>
      </c>
      <c r="BR145">
        <v>16000</v>
      </c>
      <c r="CR145" t="s">
        <v>793</v>
      </c>
      <c r="CS145">
        <v>606.76081486400005</v>
      </c>
      <c r="CT145">
        <v>607.32476936001297</v>
      </c>
      <c r="CU145">
        <v>16000</v>
      </c>
      <c r="DA145" t="s">
        <v>793</v>
      </c>
      <c r="DB145">
        <v>602.59229461899997</v>
      </c>
      <c r="DC145">
        <v>603.11907663091495</v>
      </c>
      <c r="DD145">
        <v>16000</v>
      </c>
      <c r="DJ145" t="s">
        <v>793</v>
      </c>
      <c r="DK145">
        <v>605.101129464</v>
      </c>
      <c r="DL145">
        <v>605.669139718986</v>
      </c>
      <c r="DM145">
        <v>16000</v>
      </c>
    </row>
    <row r="146" spans="1:117" x14ac:dyDescent="0.2">
      <c r="A146">
        <v>7000</v>
      </c>
      <c r="B146">
        <v>9</v>
      </c>
      <c r="C146" t="str">
        <f t="shared" si="2"/>
        <v>7000-09</v>
      </c>
      <c r="F146" t="s">
        <v>793</v>
      </c>
      <c r="G146">
        <v>399.91677230699997</v>
      </c>
      <c r="H146">
        <v>400.249116917984</v>
      </c>
      <c r="I146">
        <v>16000</v>
      </c>
      <c r="N146" t="s">
        <v>793</v>
      </c>
      <c r="O146">
        <v>589.563306775</v>
      </c>
      <c r="P146">
        <v>590.08121417398797</v>
      </c>
      <c r="Q146">
        <v>16000</v>
      </c>
      <c r="V146" t="s">
        <v>792</v>
      </c>
      <c r="W146">
        <v>900.94943907300001</v>
      </c>
      <c r="X146">
        <v>901.50388259999397</v>
      </c>
      <c r="Y146">
        <v>9157.9023359999992</v>
      </c>
      <c r="AC146" t="s">
        <v>977</v>
      </c>
      <c r="AD146" t="s">
        <v>793</v>
      </c>
      <c r="AE146">
        <v>395.26628126200001</v>
      </c>
      <c r="AF146">
        <v>395.58853203698499</v>
      </c>
      <c r="AG146">
        <v>16000</v>
      </c>
      <c r="AM146" t="s">
        <v>977</v>
      </c>
      <c r="AN146" t="s">
        <v>793</v>
      </c>
      <c r="AO146">
        <v>589.68770482699995</v>
      </c>
      <c r="AP146">
        <v>590.26030521999905</v>
      </c>
      <c r="AQ146">
        <v>16000</v>
      </c>
      <c r="AX146" t="s">
        <v>977</v>
      </c>
      <c r="AY146" t="s">
        <v>792</v>
      </c>
      <c r="AZ146">
        <v>900.94627722099995</v>
      </c>
      <c r="BA146">
        <v>901.56469154500496</v>
      </c>
      <c r="BB146">
        <v>9157.9432959999995</v>
      </c>
      <c r="BO146" t="s">
        <v>793</v>
      </c>
      <c r="BP146">
        <v>585.17522590399994</v>
      </c>
      <c r="BQ146">
        <v>585.72384652006394</v>
      </c>
      <c r="BR146">
        <v>16000</v>
      </c>
      <c r="CR146" t="s">
        <v>793</v>
      </c>
      <c r="CS146">
        <v>589.60496187599995</v>
      </c>
      <c r="CT146">
        <v>590.10275298601402</v>
      </c>
      <c r="CU146">
        <v>16000.004096000001</v>
      </c>
      <c r="DA146" t="s">
        <v>793</v>
      </c>
      <c r="DB146">
        <v>587.42424179099999</v>
      </c>
      <c r="DC146">
        <v>587.93439428193903</v>
      </c>
      <c r="DD146">
        <v>16000</v>
      </c>
      <c r="DJ146" t="s">
        <v>793</v>
      </c>
      <c r="DK146">
        <v>588.28705955600003</v>
      </c>
      <c r="DL146">
        <v>588.75883142405598</v>
      </c>
      <c r="DM146">
        <v>16000</v>
      </c>
    </row>
    <row r="147" spans="1:117" x14ac:dyDescent="0.2">
      <c r="A147">
        <v>8000</v>
      </c>
      <c r="B147">
        <v>1</v>
      </c>
      <c r="C147" t="str">
        <f t="shared" si="2"/>
        <v>8000-01</v>
      </c>
      <c r="F147" t="s">
        <v>793</v>
      </c>
      <c r="G147">
        <v>263.50192975099998</v>
      </c>
      <c r="H147">
        <v>263.76190007198602</v>
      </c>
      <c r="I147">
        <v>16000</v>
      </c>
      <c r="N147" t="s">
        <v>793</v>
      </c>
      <c r="O147">
        <v>679.00335454100002</v>
      </c>
      <c r="P147">
        <v>679.60743537000894</v>
      </c>
      <c r="Q147">
        <v>16000</v>
      </c>
      <c r="V147" t="s">
        <v>792</v>
      </c>
      <c r="W147">
        <v>900.87628549299995</v>
      </c>
      <c r="X147">
        <v>901.52279016199395</v>
      </c>
      <c r="Y147">
        <v>8666.3946240000005</v>
      </c>
      <c r="AC147" t="s">
        <v>978</v>
      </c>
      <c r="AD147" t="s">
        <v>793</v>
      </c>
      <c r="AE147">
        <v>251.63941311900001</v>
      </c>
      <c r="AF147">
        <v>251.85209669297899</v>
      </c>
      <c r="AG147">
        <v>16000</v>
      </c>
      <c r="AM147" t="s">
        <v>978</v>
      </c>
      <c r="AN147" t="s">
        <v>793</v>
      </c>
      <c r="AO147">
        <v>674.36812564399997</v>
      </c>
      <c r="AP147">
        <v>674.95827395399101</v>
      </c>
      <c r="AQ147">
        <v>16000</v>
      </c>
      <c r="AX147" t="s">
        <v>978</v>
      </c>
      <c r="AY147" t="s">
        <v>792</v>
      </c>
      <c r="AZ147">
        <v>900.97405518699998</v>
      </c>
      <c r="BA147">
        <v>901.60233804100403</v>
      </c>
      <c r="BB147">
        <v>8666.5297919999994</v>
      </c>
      <c r="BO147" t="s">
        <v>793</v>
      </c>
      <c r="BP147">
        <v>655.18700037099995</v>
      </c>
      <c r="BQ147">
        <v>655.94602779706395</v>
      </c>
      <c r="BR147">
        <v>16000</v>
      </c>
      <c r="CR147" t="s">
        <v>793</v>
      </c>
      <c r="CS147">
        <v>668.23074512599999</v>
      </c>
      <c r="CT147">
        <v>668.72000649396796</v>
      </c>
      <c r="CU147">
        <v>16000</v>
      </c>
      <c r="DA147" t="s">
        <v>793</v>
      </c>
      <c r="DB147">
        <v>669.07767097399994</v>
      </c>
      <c r="DC147">
        <v>669.65240311599302</v>
      </c>
      <c r="DD147">
        <v>16000</v>
      </c>
      <c r="DJ147" t="s">
        <v>793</v>
      </c>
      <c r="DK147">
        <v>682.30597827700001</v>
      </c>
      <c r="DL147">
        <v>682.85741927905406</v>
      </c>
      <c r="DM147">
        <v>16000</v>
      </c>
    </row>
    <row r="148" spans="1:117" x14ac:dyDescent="0.2">
      <c r="A148">
        <v>8000</v>
      </c>
      <c r="B148">
        <v>2</v>
      </c>
      <c r="C148" t="str">
        <f t="shared" si="2"/>
        <v>8000-02</v>
      </c>
      <c r="F148" t="s">
        <v>793</v>
      </c>
      <c r="G148">
        <v>218.91351789500001</v>
      </c>
      <c r="H148">
        <v>219.057442310993</v>
      </c>
      <c r="I148">
        <v>16000</v>
      </c>
      <c r="N148" t="s">
        <v>793</v>
      </c>
      <c r="O148">
        <v>788.30072572300003</v>
      </c>
      <c r="P148">
        <v>789.01938123401396</v>
      </c>
      <c r="Q148">
        <v>16000</v>
      </c>
      <c r="V148" t="s">
        <v>792</v>
      </c>
      <c r="W148">
        <v>900.98024900600001</v>
      </c>
      <c r="X148">
        <v>901.59746438599495</v>
      </c>
      <c r="Y148">
        <v>9373.6755200000007</v>
      </c>
      <c r="AC148" t="s">
        <v>979</v>
      </c>
      <c r="AD148" t="s">
        <v>793</v>
      </c>
      <c r="AE148">
        <v>236.77150342900001</v>
      </c>
      <c r="AF148">
        <v>237.005662249983</v>
      </c>
      <c r="AG148">
        <v>16000</v>
      </c>
      <c r="AM148" t="s">
        <v>979</v>
      </c>
      <c r="AN148" t="s">
        <v>793</v>
      </c>
      <c r="AO148">
        <v>782.20751877500004</v>
      </c>
      <c r="AP148">
        <v>782.93072835801195</v>
      </c>
      <c r="AQ148">
        <v>16000</v>
      </c>
      <c r="AX148" t="s">
        <v>979</v>
      </c>
      <c r="AY148" t="s">
        <v>792</v>
      </c>
      <c r="AZ148">
        <v>900.95746463</v>
      </c>
      <c r="BA148">
        <v>901.62051246702299</v>
      </c>
      <c r="BB148">
        <v>9373.6714240000001</v>
      </c>
      <c r="BO148" t="s">
        <v>793</v>
      </c>
      <c r="BP148">
        <v>785.13434806800001</v>
      </c>
      <c r="BQ148">
        <v>785.98618717899001</v>
      </c>
      <c r="BR148">
        <v>16000</v>
      </c>
      <c r="CR148" t="s">
        <v>793</v>
      </c>
      <c r="CS148">
        <v>778.31557378000002</v>
      </c>
      <c r="CT148">
        <v>778.92051487101696</v>
      </c>
      <c r="CU148">
        <v>16000</v>
      </c>
      <c r="DA148" t="s">
        <v>793</v>
      </c>
      <c r="DB148">
        <v>778.77184329700003</v>
      </c>
      <c r="DC148">
        <v>779.45017349103</v>
      </c>
      <c r="DD148">
        <v>16000</v>
      </c>
      <c r="DJ148" t="s">
        <v>793</v>
      </c>
      <c r="DK148">
        <v>793.51492143799999</v>
      </c>
      <c r="DL148">
        <v>794.24222366697995</v>
      </c>
      <c r="DM148">
        <v>16000</v>
      </c>
    </row>
    <row r="149" spans="1:117" x14ac:dyDescent="0.2">
      <c r="A149">
        <v>8000</v>
      </c>
      <c r="B149">
        <v>3</v>
      </c>
      <c r="C149" t="str">
        <f t="shared" si="2"/>
        <v>8000-03</v>
      </c>
      <c r="F149" t="s">
        <v>793</v>
      </c>
      <c r="G149">
        <v>318.27587893800001</v>
      </c>
      <c r="H149">
        <v>318.64554371399498</v>
      </c>
      <c r="I149">
        <v>16000</v>
      </c>
      <c r="N149" t="s">
        <v>793</v>
      </c>
      <c r="O149">
        <v>696.48768851199998</v>
      </c>
      <c r="P149">
        <v>697.23831119399904</v>
      </c>
      <c r="Q149">
        <v>16000</v>
      </c>
      <c r="V149" t="s">
        <v>793</v>
      </c>
      <c r="W149">
        <v>246.652709988</v>
      </c>
      <c r="X149">
        <v>246.89739912901101</v>
      </c>
      <c r="Y149">
        <v>16000</v>
      </c>
      <c r="AC149" t="s">
        <v>980</v>
      </c>
      <c r="AD149" t="s">
        <v>793</v>
      </c>
      <c r="AE149">
        <v>306.68264920199999</v>
      </c>
      <c r="AF149">
        <v>306.95638363700698</v>
      </c>
      <c r="AG149">
        <v>16000</v>
      </c>
      <c r="AM149" t="s">
        <v>980</v>
      </c>
      <c r="AN149" t="s">
        <v>793</v>
      </c>
      <c r="AO149">
        <v>691.00651817100004</v>
      </c>
      <c r="AP149">
        <v>691.84001718601201</v>
      </c>
      <c r="AQ149">
        <v>16000</v>
      </c>
      <c r="AX149" t="s">
        <v>980</v>
      </c>
      <c r="AY149" t="s">
        <v>793</v>
      </c>
      <c r="AZ149">
        <v>241.36001009</v>
      </c>
      <c r="BA149">
        <v>241.54907040801399</v>
      </c>
      <c r="BB149">
        <v>16000</v>
      </c>
      <c r="BO149" t="s">
        <v>793</v>
      </c>
      <c r="BP149">
        <v>680.69423505600002</v>
      </c>
      <c r="BQ149">
        <v>681.55751855100903</v>
      </c>
      <c r="BR149">
        <v>16000</v>
      </c>
      <c r="CR149" t="s">
        <v>793</v>
      </c>
      <c r="CS149">
        <v>688.35922906500002</v>
      </c>
      <c r="CT149">
        <v>688.85521095490503</v>
      </c>
      <c r="CU149">
        <v>16000</v>
      </c>
      <c r="DA149" t="s">
        <v>793</v>
      </c>
      <c r="DB149">
        <v>689.22689967600002</v>
      </c>
      <c r="DC149">
        <v>689.79122995701596</v>
      </c>
      <c r="DD149">
        <v>16000</v>
      </c>
      <c r="DJ149" t="s">
        <v>793</v>
      </c>
      <c r="DK149">
        <v>709.14432388499995</v>
      </c>
      <c r="DL149">
        <v>709.78458393400001</v>
      </c>
      <c r="DM149">
        <v>16000</v>
      </c>
    </row>
    <row r="150" spans="1:117" x14ac:dyDescent="0.2">
      <c r="A150">
        <v>8000</v>
      </c>
      <c r="B150">
        <v>4</v>
      </c>
      <c r="C150" t="str">
        <f t="shared" si="2"/>
        <v>8000-04</v>
      </c>
      <c r="F150" t="s">
        <v>793</v>
      </c>
      <c r="G150">
        <v>243.20429140100001</v>
      </c>
      <c r="H150">
        <v>243.51709948701301</v>
      </c>
      <c r="I150">
        <v>16000</v>
      </c>
      <c r="N150" t="s">
        <v>792</v>
      </c>
      <c r="O150">
        <v>901.05366588000004</v>
      </c>
      <c r="P150">
        <v>901.80847340999696</v>
      </c>
      <c r="Q150">
        <v>14969.7536</v>
      </c>
      <c r="V150" t="s">
        <v>793</v>
      </c>
      <c r="W150">
        <v>413.30324328099999</v>
      </c>
      <c r="X150">
        <v>414.70569016800403</v>
      </c>
      <c r="Y150">
        <v>16000</v>
      </c>
      <c r="AC150" t="s">
        <v>981</v>
      </c>
      <c r="AD150" t="s">
        <v>793</v>
      </c>
      <c r="AE150">
        <v>230.87440232200001</v>
      </c>
      <c r="AF150">
        <v>231.07198270899201</v>
      </c>
      <c r="AG150">
        <v>16000</v>
      </c>
      <c r="AM150" t="s">
        <v>981</v>
      </c>
      <c r="AN150" t="s">
        <v>792</v>
      </c>
      <c r="AO150">
        <v>901.13898750299995</v>
      </c>
      <c r="AP150">
        <v>901.84140196299995</v>
      </c>
      <c r="AQ150">
        <v>14969.774079999999</v>
      </c>
      <c r="AX150" t="s">
        <v>981</v>
      </c>
      <c r="AY150" t="s">
        <v>793</v>
      </c>
      <c r="AZ150">
        <v>420.31236422000001</v>
      </c>
      <c r="BA150">
        <v>420.64123255998101</v>
      </c>
      <c r="BB150">
        <v>16000</v>
      </c>
      <c r="BO150" t="s">
        <v>792</v>
      </c>
      <c r="BP150">
        <v>901.07501769600003</v>
      </c>
      <c r="BQ150">
        <v>901.85437781107601</v>
      </c>
      <c r="BR150">
        <v>14962.909184</v>
      </c>
      <c r="CR150" t="s">
        <v>792</v>
      </c>
      <c r="CS150">
        <v>901.05312206799999</v>
      </c>
      <c r="CT150">
        <v>901.78041628794699</v>
      </c>
      <c r="CU150">
        <v>14969.729024</v>
      </c>
      <c r="DA150" t="s">
        <v>792</v>
      </c>
      <c r="DB150">
        <v>901.06833538399997</v>
      </c>
      <c r="DC150">
        <v>901.75793900701603</v>
      </c>
      <c r="DD150">
        <v>14969.741312</v>
      </c>
      <c r="DJ150" t="s">
        <v>792</v>
      </c>
      <c r="DK150">
        <v>901.13920052799995</v>
      </c>
      <c r="DL150">
        <v>901.80776657001104</v>
      </c>
      <c r="DM150">
        <v>14969.704448</v>
      </c>
    </row>
    <row r="151" spans="1:117" x14ac:dyDescent="0.2">
      <c r="A151">
        <v>8000</v>
      </c>
      <c r="B151">
        <v>5</v>
      </c>
      <c r="C151" t="str">
        <f t="shared" si="2"/>
        <v>8000-05</v>
      </c>
      <c r="F151" t="s">
        <v>793</v>
      </c>
      <c r="G151">
        <v>274.76525794399998</v>
      </c>
      <c r="H151">
        <v>274.98607379599702</v>
      </c>
      <c r="I151">
        <v>16000</v>
      </c>
      <c r="N151" t="s">
        <v>793</v>
      </c>
      <c r="O151">
        <v>638.963646799</v>
      </c>
      <c r="P151">
        <v>639.47591176300102</v>
      </c>
      <c r="Q151">
        <v>16000</v>
      </c>
      <c r="V151" t="s">
        <v>793</v>
      </c>
      <c r="W151">
        <v>271.42031303800002</v>
      </c>
      <c r="X151">
        <v>271.64197329099898</v>
      </c>
      <c r="Y151">
        <v>16000</v>
      </c>
      <c r="AC151" t="s">
        <v>982</v>
      </c>
      <c r="AD151" t="s">
        <v>793</v>
      </c>
      <c r="AE151">
        <v>286.46572742400002</v>
      </c>
      <c r="AF151">
        <v>286.706669043982</v>
      </c>
      <c r="AG151">
        <v>16000</v>
      </c>
      <c r="AM151" t="s">
        <v>982</v>
      </c>
      <c r="AN151" t="s">
        <v>793</v>
      </c>
      <c r="AO151">
        <v>662.27781862300003</v>
      </c>
      <c r="AP151">
        <v>662.86664405401098</v>
      </c>
      <c r="AQ151">
        <v>16000</v>
      </c>
      <c r="AX151" t="s">
        <v>982</v>
      </c>
      <c r="AY151" t="s">
        <v>793</v>
      </c>
      <c r="AZ151">
        <v>269.81448065199999</v>
      </c>
      <c r="BA151">
        <v>270.10336398600998</v>
      </c>
      <c r="BB151">
        <v>16000</v>
      </c>
      <c r="BO151" t="s">
        <v>793</v>
      </c>
      <c r="BP151">
        <v>677.01983700100004</v>
      </c>
      <c r="BQ151">
        <v>677.80750905000605</v>
      </c>
      <c r="BR151">
        <v>16000</v>
      </c>
      <c r="CR151" t="s">
        <v>793</v>
      </c>
      <c r="CS151">
        <v>666.14504684999997</v>
      </c>
      <c r="CT151">
        <v>666.70083552296205</v>
      </c>
      <c r="CU151">
        <v>16000</v>
      </c>
      <c r="DA151" t="s">
        <v>793</v>
      </c>
      <c r="DB151">
        <v>661.39366376500004</v>
      </c>
      <c r="DC151">
        <v>661.91526271391103</v>
      </c>
      <c r="DD151">
        <v>16000</v>
      </c>
      <c r="DJ151" t="s">
        <v>793</v>
      </c>
      <c r="DK151">
        <v>675.7268282</v>
      </c>
      <c r="DL151">
        <v>676.26392616098701</v>
      </c>
      <c r="DM151">
        <v>16000</v>
      </c>
    </row>
    <row r="152" spans="1:117" x14ac:dyDescent="0.2">
      <c r="A152">
        <v>8000</v>
      </c>
      <c r="B152">
        <v>6</v>
      </c>
      <c r="C152" t="str">
        <f t="shared" si="2"/>
        <v>8000-06</v>
      </c>
      <c r="F152" t="s">
        <v>793</v>
      </c>
      <c r="G152">
        <v>259.27577046099998</v>
      </c>
      <c r="H152">
        <v>259.53477252201901</v>
      </c>
      <c r="I152">
        <v>16000</v>
      </c>
      <c r="N152" t="s">
        <v>792</v>
      </c>
      <c r="O152">
        <v>900.78939146899995</v>
      </c>
      <c r="P152">
        <v>901.55812913901104</v>
      </c>
      <c r="Q152">
        <v>8776.1469440000001</v>
      </c>
      <c r="V152" t="s">
        <v>793</v>
      </c>
      <c r="W152">
        <v>760.87670702699995</v>
      </c>
      <c r="X152">
        <v>761.52324404899196</v>
      </c>
      <c r="Y152">
        <v>16000</v>
      </c>
      <c r="AC152" t="s">
        <v>983</v>
      </c>
      <c r="AD152" t="s">
        <v>793</v>
      </c>
      <c r="AE152">
        <v>250.789363288</v>
      </c>
      <c r="AF152">
        <v>251.03093190098201</v>
      </c>
      <c r="AG152">
        <v>16000</v>
      </c>
      <c r="AM152" t="s">
        <v>983</v>
      </c>
      <c r="AN152" t="s">
        <v>792</v>
      </c>
      <c r="AO152">
        <v>900.77883559999998</v>
      </c>
      <c r="AP152">
        <v>901.54041191798694</v>
      </c>
      <c r="AQ152">
        <v>8776.1510400000006</v>
      </c>
      <c r="AX152" t="s">
        <v>983</v>
      </c>
      <c r="AY152" t="s">
        <v>793</v>
      </c>
      <c r="AZ152">
        <v>751.81305029500004</v>
      </c>
      <c r="BA152">
        <v>752.426107884006</v>
      </c>
      <c r="BB152">
        <v>16000</v>
      </c>
      <c r="BO152" t="s">
        <v>792</v>
      </c>
      <c r="BP152">
        <v>901.450054325</v>
      </c>
      <c r="BQ152">
        <v>902.50546674197506</v>
      </c>
      <c r="BR152">
        <v>8777.8058239999991</v>
      </c>
      <c r="CR152" t="s">
        <v>792</v>
      </c>
      <c r="CS152">
        <v>900.68557103399996</v>
      </c>
      <c r="CT152">
        <v>901.47124959900896</v>
      </c>
      <c r="CU152">
        <v>8776.1797119999992</v>
      </c>
      <c r="DA152" t="s">
        <v>792</v>
      </c>
      <c r="DB152">
        <v>900.87361227600002</v>
      </c>
      <c r="DC152">
        <v>901.48556811700098</v>
      </c>
      <c r="DD152">
        <v>8776.0855040000006</v>
      </c>
      <c r="DJ152" t="s">
        <v>792</v>
      </c>
      <c r="DK152">
        <v>900.80709281099996</v>
      </c>
      <c r="DL152">
        <v>901.49300677794895</v>
      </c>
      <c r="DM152">
        <v>8776.0977920000005</v>
      </c>
    </row>
    <row r="153" spans="1:117" x14ac:dyDescent="0.2">
      <c r="A153">
        <v>8000</v>
      </c>
      <c r="B153">
        <v>7</v>
      </c>
      <c r="C153" t="str">
        <f t="shared" si="2"/>
        <v>8000-07</v>
      </c>
      <c r="F153" t="s">
        <v>793</v>
      </c>
      <c r="G153">
        <v>305.85526948799998</v>
      </c>
      <c r="H153">
        <v>306.17624242400001</v>
      </c>
      <c r="I153">
        <v>16000</v>
      </c>
      <c r="N153" t="s">
        <v>792</v>
      </c>
      <c r="O153">
        <v>901.088795162</v>
      </c>
      <c r="P153">
        <v>901.83910462999404</v>
      </c>
      <c r="Q153">
        <v>14930.489344</v>
      </c>
      <c r="V153" t="s">
        <v>793</v>
      </c>
      <c r="W153">
        <v>635.08767147900005</v>
      </c>
      <c r="X153">
        <v>635.67523330899701</v>
      </c>
      <c r="Y153">
        <v>16000</v>
      </c>
      <c r="AC153" t="s">
        <v>984</v>
      </c>
      <c r="AD153" t="s">
        <v>793</v>
      </c>
      <c r="AE153">
        <v>305.01056910199998</v>
      </c>
      <c r="AF153">
        <v>305.30677368398699</v>
      </c>
      <c r="AG153">
        <v>16000</v>
      </c>
      <c r="AM153" t="s">
        <v>984</v>
      </c>
      <c r="AN153" t="s">
        <v>792</v>
      </c>
      <c r="AO153">
        <v>901.08244443599995</v>
      </c>
      <c r="AP153">
        <v>901.95804759100395</v>
      </c>
      <c r="AQ153">
        <v>14930.464768</v>
      </c>
      <c r="AX153" t="s">
        <v>984</v>
      </c>
      <c r="AY153" t="s">
        <v>793</v>
      </c>
      <c r="AZ153">
        <v>625.52228361000004</v>
      </c>
      <c r="BA153">
        <v>626.04460558400001</v>
      </c>
      <c r="BB153">
        <v>16000</v>
      </c>
      <c r="BO153" t="s">
        <v>792</v>
      </c>
      <c r="BP153">
        <v>901.08857693100003</v>
      </c>
      <c r="BQ153">
        <v>901.91586143197401</v>
      </c>
      <c r="BR153">
        <v>14930.440192</v>
      </c>
      <c r="CR153" t="s">
        <v>792</v>
      </c>
      <c r="CS153">
        <v>901.08959894300006</v>
      </c>
      <c r="CT153">
        <v>901.82352700503498</v>
      </c>
      <c r="CU153">
        <v>14930.456576</v>
      </c>
      <c r="DA153" t="s">
        <v>792</v>
      </c>
      <c r="DB153">
        <v>901.01486482200005</v>
      </c>
      <c r="DC153">
        <v>901.77860465296499</v>
      </c>
      <c r="DD153">
        <v>14930.583552</v>
      </c>
      <c r="DJ153" t="s">
        <v>792</v>
      </c>
      <c r="DK153">
        <v>901.15768877000005</v>
      </c>
      <c r="DL153">
        <v>901.84989999106597</v>
      </c>
      <c r="DM153">
        <v>14930.468864</v>
      </c>
    </row>
    <row r="154" spans="1:117" x14ac:dyDescent="0.2">
      <c r="A154">
        <v>8000</v>
      </c>
      <c r="B154">
        <v>8</v>
      </c>
      <c r="C154" t="str">
        <f t="shared" si="2"/>
        <v>8000-08</v>
      </c>
      <c r="F154" t="s">
        <v>793</v>
      </c>
      <c r="G154">
        <v>358.10530345199999</v>
      </c>
      <c r="H154">
        <v>358.49413336400102</v>
      </c>
      <c r="I154">
        <v>16000</v>
      </c>
      <c r="N154" t="s">
        <v>793</v>
      </c>
      <c r="O154">
        <v>769.594146099</v>
      </c>
      <c r="P154">
        <v>770.21922151197202</v>
      </c>
      <c r="Q154">
        <v>16000</v>
      </c>
      <c r="V154" t="s">
        <v>793</v>
      </c>
      <c r="W154">
        <v>334.11545040800002</v>
      </c>
      <c r="X154">
        <v>334.55155228500303</v>
      </c>
      <c r="Y154">
        <v>16000</v>
      </c>
      <c r="AC154" t="s">
        <v>985</v>
      </c>
      <c r="AD154" t="s">
        <v>793</v>
      </c>
      <c r="AE154">
        <v>345.69724319099998</v>
      </c>
      <c r="AF154">
        <v>346.00247607499398</v>
      </c>
      <c r="AG154">
        <v>16000</v>
      </c>
      <c r="AM154" t="s">
        <v>985</v>
      </c>
      <c r="AN154" t="s">
        <v>793</v>
      </c>
      <c r="AO154">
        <v>754.51687681500005</v>
      </c>
      <c r="AP154">
        <v>755.110035521996</v>
      </c>
      <c r="AQ154">
        <v>16000</v>
      </c>
      <c r="AX154" t="s">
        <v>985</v>
      </c>
      <c r="AY154" t="s">
        <v>793</v>
      </c>
      <c r="AZ154">
        <v>329.61227969100003</v>
      </c>
      <c r="BA154">
        <v>329.94017218999198</v>
      </c>
      <c r="BB154">
        <v>16000</v>
      </c>
      <c r="BO154" t="s">
        <v>793</v>
      </c>
      <c r="BP154">
        <v>757.328580182</v>
      </c>
      <c r="BQ154">
        <v>757.95995533303301</v>
      </c>
      <c r="BR154">
        <v>16000</v>
      </c>
      <c r="CR154" t="s">
        <v>793</v>
      </c>
      <c r="CS154">
        <v>764.395268956</v>
      </c>
      <c r="CT154">
        <v>764.96989214501798</v>
      </c>
      <c r="CU154">
        <v>16000</v>
      </c>
      <c r="DA154" t="s">
        <v>793</v>
      </c>
      <c r="DB154">
        <v>759.10976412900004</v>
      </c>
      <c r="DC154">
        <v>759.72465789690602</v>
      </c>
      <c r="DD154">
        <v>16000</v>
      </c>
      <c r="DJ154" t="s">
        <v>793</v>
      </c>
      <c r="DK154">
        <v>759.74483056300005</v>
      </c>
      <c r="DL154">
        <v>760.36883389495699</v>
      </c>
      <c r="DM154">
        <v>16000</v>
      </c>
    </row>
    <row r="155" spans="1:117" x14ac:dyDescent="0.2">
      <c r="A155">
        <v>8000</v>
      </c>
      <c r="B155">
        <v>9</v>
      </c>
      <c r="C155" t="str">
        <f t="shared" si="2"/>
        <v>8000-09</v>
      </c>
      <c r="F155" t="s">
        <v>793</v>
      </c>
      <c r="G155">
        <v>353.43336858800001</v>
      </c>
      <c r="H155">
        <v>353.74898864200799</v>
      </c>
      <c r="I155">
        <v>16000</v>
      </c>
      <c r="N155" t="s">
        <v>793</v>
      </c>
      <c r="O155">
        <v>746.19843699299997</v>
      </c>
      <c r="P155">
        <v>746.74706385898696</v>
      </c>
      <c r="Q155">
        <v>16000</v>
      </c>
      <c r="V155" t="s">
        <v>793</v>
      </c>
      <c r="W155">
        <v>325.041021957</v>
      </c>
      <c r="X155">
        <v>325.44154460399199</v>
      </c>
      <c r="Y155">
        <v>16000</v>
      </c>
      <c r="AC155" t="s">
        <v>986</v>
      </c>
      <c r="AD155" t="s">
        <v>793</v>
      </c>
      <c r="AE155">
        <v>358.51379549400002</v>
      </c>
      <c r="AF155">
        <v>358.97200416299103</v>
      </c>
      <c r="AG155">
        <v>16000</v>
      </c>
      <c r="AM155" t="s">
        <v>986</v>
      </c>
      <c r="AN155" t="s">
        <v>793</v>
      </c>
      <c r="AO155">
        <v>756.57567970699995</v>
      </c>
      <c r="AP155">
        <v>757.21010115000502</v>
      </c>
      <c r="AQ155">
        <v>16000</v>
      </c>
      <c r="AX155" t="s">
        <v>986</v>
      </c>
      <c r="AY155" t="s">
        <v>793</v>
      </c>
      <c r="AZ155">
        <v>331.45483824399997</v>
      </c>
      <c r="BA155">
        <v>331.77766808000098</v>
      </c>
      <c r="BB155">
        <v>16000</v>
      </c>
      <c r="BO155" t="s">
        <v>793</v>
      </c>
      <c r="BP155">
        <v>748.20411886099998</v>
      </c>
      <c r="BQ155">
        <v>748.92886233399599</v>
      </c>
      <c r="BR155">
        <v>16000</v>
      </c>
      <c r="CR155" t="s">
        <v>793</v>
      </c>
      <c r="CS155">
        <v>758.16375439800004</v>
      </c>
      <c r="CT155">
        <v>758.70072680700105</v>
      </c>
      <c r="CU155">
        <v>16000</v>
      </c>
      <c r="DA155" t="s">
        <v>793</v>
      </c>
      <c r="DB155">
        <v>744.81525962600006</v>
      </c>
      <c r="DC155">
        <v>745.34970453998505</v>
      </c>
      <c r="DD155">
        <v>16000</v>
      </c>
      <c r="DJ155" t="s">
        <v>793</v>
      </c>
      <c r="DK155">
        <v>756.432872825</v>
      </c>
      <c r="DL155">
        <v>757.39776491606597</v>
      </c>
      <c r="DM155">
        <v>16000</v>
      </c>
    </row>
    <row r="156" spans="1:117" x14ac:dyDescent="0.2">
      <c r="A156">
        <v>9000</v>
      </c>
      <c r="B156">
        <v>1</v>
      </c>
      <c r="C156" t="str">
        <f t="shared" si="2"/>
        <v>9000-01</v>
      </c>
      <c r="F156" t="s">
        <v>793</v>
      </c>
      <c r="G156">
        <v>277.43248406700002</v>
      </c>
      <c r="H156">
        <v>277.71988875899098</v>
      </c>
      <c r="I156">
        <v>16000</v>
      </c>
      <c r="N156" t="s">
        <v>792</v>
      </c>
      <c r="O156">
        <v>900.67059130500002</v>
      </c>
      <c r="P156">
        <v>901.42915203599796</v>
      </c>
      <c r="Q156">
        <v>7379.1569920000002</v>
      </c>
      <c r="V156" t="s">
        <v>793</v>
      </c>
      <c r="W156">
        <v>611.49824055600004</v>
      </c>
      <c r="X156">
        <v>611.91557971799898</v>
      </c>
      <c r="Y156">
        <v>16000</v>
      </c>
      <c r="AC156" t="s">
        <v>987</v>
      </c>
      <c r="AD156" t="s">
        <v>793</v>
      </c>
      <c r="AE156">
        <v>286.59009589599998</v>
      </c>
      <c r="AF156">
        <v>286.93255260499399</v>
      </c>
      <c r="AG156">
        <v>16000</v>
      </c>
      <c r="AM156" t="s">
        <v>987</v>
      </c>
      <c r="AN156" t="s">
        <v>792</v>
      </c>
      <c r="AO156">
        <v>900.73143060500001</v>
      </c>
      <c r="AP156">
        <v>901.455271533021</v>
      </c>
      <c r="AQ156">
        <v>7379.1242240000001</v>
      </c>
      <c r="AX156" t="s">
        <v>987</v>
      </c>
      <c r="AY156" t="s">
        <v>793</v>
      </c>
      <c r="AZ156">
        <v>580.61234234300002</v>
      </c>
      <c r="BA156">
        <v>581.00748725398398</v>
      </c>
      <c r="BB156">
        <v>16000</v>
      </c>
      <c r="BO156" t="s">
        <v>792</v>
      </c>
      <c r="BP156">
        <v>900.62115933999996</v>
      </c>
      <c r="BQ156">
        <v>901.447002938948</v>
      </c>
      <c r="BR156">
        <v>7379.1242240000001</v>
      </c>
      <c r="CR156" t="s">
        <v>792</v>
      </c>
      <c r="CS156">
        <v>900.80547851699998</v>
      </c>
      <c r="CT156">
        <v>901.41666165308504</v>
      </c>
      <c r="CU156">
        <v>7379.1242240000001</v>
      </c>
      <c r="DA156" t="s">
        <v>792</v>
      </c>
      <c r="DB156">
        <v>900.71111075500005</v>
      </c>
      <c r="DC156">
        <v>901.41438268904994</v>
      </c>
      <c r="DD156">
        <v>7379.1447040000003</v>
      </c>
      <c r="DJ156" t="s">
        <v>792</v>
      </c>
      <c r="DK156">
        <v>900.74268779600004</v>
      </c>
      <c r="DL156">
        <v>901.45134931104201</v>
      </c>
      <c r="DM156">
        <v>7379.136512</v>
      </c>
    </row>
    <row r="157" spans="1:117" x14ac:dyDescent="0.2">
      <c r="A157">
        <v>9000</v>
      </c>
      <c r="B157">
        <v>2</v>
      </c>
      <c r="C157" t="str">
        <f t="shared" si="2"/>
        <v>9000-02</v>
      </c>
      <c r="F157" t="s">
        <v>793</v>
      </c>
      <c r="G157">
        <v>344.339776121</v>
      </c>
      <c r="H157">
        <v>344.70883998498903</v>
      </c>
      <c r="I157">
        <v>16000</v>
      </c>
      <c r="N157" t="s">
        <v>792</v>
      </c>
      <c r="O157">
        <v>900.83808495799997</v>
      </c>
      <c r="P157">
        <v>901.44285583100202</v>
      </c>
      <c r="Q157">
        <v>7430.3979520000003</v>
      </c>
      <c r="V157" t="s">
        <v>793</v>
      </c>
      <c r="W157">
        <v>563.923732148</v>
      </c>
      <c r="X157">
        <v>564.44455282299896</v>
      </c>
      <c r="Y157">
        <v>16000</v>
      </c>
      <c r="AC157" t="s">
        <v>988</v>
      </c>
      <c r="AD157" t="s">
        <v>793</v>
      </c>
      <c r="AE157">
        <v>334.15315001099998</v>
      </c>
      <c r="AF157">
        <v>334.47765148102098</v>
      </c>
      <c r="AG157">
        <v>16000</v>
      </c>
      <c r="AM157" t="s">
        <v>988</v>
      </c>
      <c r="AN157" t="s">
        <v>792</v>
      </c>
      <c r="AO157">
        <v>900.73565080100002</v>
      </c>
      <c r="AP157">
        <v>901.46256601298205</v>
      </c>
      <c r="AQ157">
        <v>7430.2750720000004</v>
      </c>
      <c r="AX157" t="s">
        <v>988</v>
      </c>
      <c r="AY157" t="s">
        <v>793</v>
      </c>
      <c r="AZ157">
        <v>576.83813253999995</v>
      </c>
      <c r="BA157">
        <v>577.31099351798105</v>
      </c>
      <c r="BB157">
        <v>16000</v>
      </c>
      <c r="BO157" t="s">
        <v>792</v>
      </c>
      <c r="BP157">
        <v>900.63889784599996</v>
      </c>
      <c r="BQ157">
        <v>901.42828757804796</v>
      </c>
      <c r="BR157">
        <v>7430.3856640000004</v>
      </c>
      <c r="CR157" t="s">
        <v>792</v>
      </c>
      <c r="CS157">
        <v>900.78656505599997</v>
      </c>
      <c r="CT157">
        <v>901.48205942206505</v>
      </c>
      <c r="CU157">
        <v>7430.3406080000004</v>
      </c>
      <c r="DA157" t="s">
        <v>792</v>
      </c>
      <c r="DB157">
        <v>900.832389401</v>
      </c>
      <c r="DC157">
        <v>901.47091372602097</v>
      </c>
      <c r="DD157">
        <v>7430.3938559999997</v>
      </c>
      <c r="DJ157" t="s">
        <v>792</v>
      </c>
      <c r="DK157">
        <v>900.68337682100002</v>
      </c>
      <c r="DL157">
        <v>901.42694600892696</v>
      </c>
      <c r="DM157">
        <v>7430.38976</v>
      </c>
    </row>
    <row r="158" spans="1:117" x14ac:dyDescent="0.2">
      <c r="A158">
        <v>9000</v>
      </c>
      <c r="B158">
        <v>3</v>
      </c>
      <c r="C158" t="str">
        <f t="shared" si="2"/>
        <v>9000-03</v>
      </c>
      <c r="F158" t="s">
        <v>793</v>
      </c>
      <c r="G158">
        <v>236.26833773300001</v>
      </c>
      <c r="H158">
        <v>236.49761549697701</v>
      </c>
      <c r="I158">
        <v>16000</v>
      </c>
      <c r="N158" t="s">
        <v>793</v>
      </c>
      <c r="O158">
        <v>866.85016422599995</v>
      </c>
      <c r="P158">
        <v>867.63631713599898</v>
      </c>
      <c r="Q158">
        <v>16000</v>
      </c>
      <c r="V158" t="s">
        <v>793</v>
      </c>
      <c r="W158">
        <v>266.51015420599998</v>
      </c>
      <c r="X158">
        <v>266.73767094900501</v>
      </c>
      <c r="Y158">
        <v>16000</v>
      </c>
      <c r="AC158" t="s">
        <v>989</v>
      </c>
      <c r="AD158" t="s">
        <v>793</v>
      </c>
      <c r="AE158">
        <v>240.748013421</v>
      </c>
      <c r="AF158">
        <v>241.08336840299299</v>
      </c>
      <c r="AG158">
        <v>16000</v>
      </c>
      <c r="AM158" t="s">
        <v>989</v>
      </c>
      <c r="AN158" t="s">
        <v>793</v>
      </c>
      <c r="AO158">
        <v>865.81533198</v>
      </c>
      <c r="AP158">
        <v>866.70549793698501</v>
      </c>
      <c r="AQ158">
        <v>16000</v>
      </c>
      <c r="AX158" t="s">
        <v>989</v>
      </c>
      <c r="AY158" t="s">
        <v>793</v>
      </c>
      <c r="AZ158">
        <v>275.95552676599999</v>
      </c>
      <c r="BA158">
        <v>276.36273156301399</v>
      </c>
      <c r="BB158">
        <v>16000</v>
      </c>
      <c r="BO158" t="s">
        <v>793</v>
      </c>
      <c r="BP158">
        <v>868.14152390200002</v>
      </c>
      <c r="BQ158">
        <v>869.12515337998002</v>
      </c>
      <c r="BR158">
        <v>16000</v>
      </c>
      <c r="CR158" t="s">
        <v>793</v>
      </c>
      <c r="CS158">
        <v>859.89646374200004</v>
      </c>
      <c r="CT158">
        <v>860.59826243296197</v>
      </c>
      <c r="CU158">
        <v>16000</v>
      </c>
      <c r="DA158" t="s">
        <v>793</v>
      </c>
      <c r="DB158">
        <v>869.74338522899995</v>
      </c>
      <c r="DC158">
        <v>870.44624288403395</v>
      </c>
      <c r="DD158">
        <v>16000</v>
      </c>
      <c r="DJ158" t="s">
        <v>793</v>
      </c>
      <c r="DK158">
        <v>856.13614389400004</v>
      </c>
      <c r="DL158">
        <v>856.94870092091105</v>
      </c>
      <c r="DM158">
        <v>16000</v>
      </c>
    </row>
    <row r="159" spans="1:117" x14ac:dyDescent="0.2">
      <c r="A159">
        <v>9000</v>
      </c>
      <c r="B159">
        <v>4</v>
      </c>
      <c r="C159" t="str">
        <f t="shared" si="2"/>
        <v>9000-04</v>
      </c>
      <c r="F159" t="s">
        <v>793</v>
      </c>
      <c r="G159">
        <v>265.13090433100001</v>
      </c>
      <c r="H159">
        <v>265.413454282999</v>
      </c>
      <c r="I159">
        <v>16000</v>
      </c>
      <c r="N159" t="s">
        <v>792</v>
      </c>
      <c r="O159">
        <v>901.04631101899997</v>
      </c>
      <c r="P159">
        <v>901.88031202898105</v>
      </c>
      <c r="Q159">
        <v>14930.329599999999</v>
      </c>
      <c r="V159" t="s">
        <v>793</v>
      </c>
      <c r="W159">
        <v>312.07825569599999</v>
      </c>
      <c r="X159">
        <v>312.35428466299999</v>
      </c>
      <c r="Y159">
        <v>16000</v>
      </c>
      <c r="AC159" t="s">
        <v>990</v>
      </c>
      <c r="AD159" t="s">
        <v>793</v>
      </c>
      <c r="AE159">
        <v>258.24059554199999</v>
      </c>
      <c r="AF159">
        <v>258.50088207999897</v>
      </c>
      <c r="AG159">
        <v>16000</v>
      </c>
      <c r="AM159" t="s">
        <v>990</v>
      </c>
      <c r="AN159" t="s">
        <v>792</v>
      </c>
      <c r="AO159">
        <v>901.11088607299996</v>
      </c>
      <c r="AP159">
        <v>901.96202413600895</v>
      </c>
      <c r="AQ159">
        <v>14930.759679999999</v>
      </c>
      <c r="AX159" t="s">
        <v>990</v>
      </c>
      <c r="AY159" t="s">
        <v>793</v>
      </c>
      <c r="AZ159">
        <v>304.54295888799999</v>
      </c>
      <c r="BA159">
        <v>304.854365000006</v>
      </c>
      <c r="BB159">
        <v>16000</v>
      </c>
      <c r="BO159" t="s">
        <v>792</v>
      </c>
      <c r="BP159">
        <v>900.89447935700002</v>
      </c>
      <c r="BQ159">
        <v>901.82130646996598</v>
      </c>
      <c r="BR159">
        <v>14930.681855999999</v>
      </c>
      <c r="CR159" t="s">
        <v>792</v>
      </c>
      <c r="CS159">
        <v>901.05034611300005</v>
      </c>
      <c r="CT159">
        <v>901.75605474296003</v>
      </c>
      <c r="CU159">
        <v>14930.67776</v>
      </c>
      <c r="DA159" t="s">
        <v>792</v>
      </c>
      <c r="DB159">
        <v>901.07729310100001</v>
      </c>
      <c r="DC159">
        <v>901.79870303894802</v>
      </c>
      <c r="DD159">
        <v>14930.329599999999</v>
      </c>
      <c r="DJ159" t="s">
        <v>792</v>
      </c>
      <c r="DK159">
        <v>901.06037041399998</v>
      </c>
      <c r="DL159">
        <v>901.80750005994901</v>
      </c>
      <c r="DM159">
        <v>14930.325504</v>
      </c>
    </row>
    <row r="160" spans="1:117" x14ac:dyDescent="0.2">
      <c r="A160">
        <v>9000</v>
      </c>
      <c r="B160">
        <v>5</v>
      </c>
      <c r="C160" t="str">
        <f t="shared" si="2"/>
        <v>9000-05</v>
      </c>
      <c r="F160" t="s">
        <v>793</v>
      </c>
      <c r="G160">
        <v>236.39270943400001</v>
      </c>
      <c r="H160">
        <v>236.61982527898999</v>
      </c>
      <c r="I160">
        <v>16000</v>
      </c>
      <c r="N160" t="s">
        <v>793</v>
      </c>
      <c r="O160">
        <v>889.32980573600003</v>
      </c>
      <c r="P160">
        <v>890.07398264799804</v>
      </c>
      <c r="Q160">
        <v>16000</v>
      </c>
      <c r="V160" t="s">
        <v>792</v>
      </c>
      <c r="W160">
        <v>900.98137332600004</v>
      </c>
      <c r="X160">
        <v>901.64322249700399</v>
      </c>
      <c r="Y160">
        <v>11087.269888000001</v>
      </c>
      <c r="AC160" t="s">
        <v>991</v>
      </c>
      <c r="AD160" t="s">
        <v>793</v>
      </c>
      <c r="AE160">
        <v>242.97418495100001</v>
      </c>
      <c r="AF160">
        <v>243.24340012800499</v>
      </c>
      <c r="AG160">
        <v>16000</v>
      </c>
      <c r="AM160" t="s">
        <v>991</v>
      </c>
      <c r="AN160" t="s">
        <v>793</v>
      </c>
      <c r="AO160">
        <v>897.86626549799996</v>
      </c>
      <c r="AP160">
        <v>898.611026595986</v>
      </c>
      <c r="AQ160">
        <v>16000</v>
      </c>
      <c r="AX160" t="s">
        <v>991</v>
      </c>
      <c r="AY160" t="s">
        <v>792</v>
      </c>
      <c r="AZ160">
        <v>901.11610701200004</v>
      </c>
      <c r="BA160">
        <v>901.73601712001198</v>
      </c>
      <c r="BB160">
        <v>11087.314944</v>
      </c>
      <c r="BO160" t="s">
        <v>793</v>
      </c>
      <c r="BP160">
        <v>895.27447533700001</v>
      </c>
      <c r="BQ160">
        <v>896.04977738601099</v>
      </c>
      <c r="BR160">
        <v>16000</v>
      </c>
      <c r="CR160" t="s">
        <v>793</v>
      </c>
      <c r="CS160">
        <v>889.14612291599997</v>
      </c>
      <c r="CT160">
        <v>889.87970688007704</v>
      </c>
      <c r="CU160">
        <v>16000</v>
      </c>
      <c r="DA160" t="s">
        <v>793</v>
      </c>
      <c r="DB160">
        <v>884.68993009600001</v>
      </c>
      <c r="DC160">
        <v>885.41909797198605</v>
      </c>
      <c r="DD160">
        <v>16000</v>
      </c>
      <c r="DJ160" t="s">
        <v>793</v>
      </c>
      <c r="DK160">
        <v>894.77622244199995</v>
      </c>
      <c r="DL160">
        <v>895.51868225599105</v>
      </c>
      <c r="DM160">
        <v>16000</v>
      </c>
    </row>
    <row r="161" spans="1:117" x14ac:dyDescent="0.2">
      <c r="A161">
        <v>9000</v>
      </c>
      <c r="B161">
        <v>6</v>
      </c>
      <c r="C161" t="str">
        <f t="shared" si="2"/>
        <v>9000-06</v>
      </c>
      <c r="F161" t="s">
        <v>793</v>
      </c>
      <c r="G161">
        <v>228.88812400899999</v>
      </c>
      <c r="H161">
        <v>229.115494855999</v>
      </c>
      <c r="I161">
        <v>16000</v>
      </c>
      <c r="N161" t="s">
        <v>792</v>
      </c>
      <c r="O161">
        <v>901.01750951199995</v>
      </c>
      <c r="P161">
        <v>901.86856697499695</v>
      </c>
      <c r="Q161">
        <v>14891.065344000001</v>
      </c>
      <c r="V161" t="s">
        <v>793</v>
      </c>
      <c r="W161">
        <v>317.132817741</v>
      </c>
      <c r="X161">
        <v>317.45227260600899</v>
      </c>
      <c r="Y161">
        <v>16000</v>
      </c>
      <c r="AC161" t="s">
        <v>992</v>
      </c>
      <c r="AD161" t="s">
        <v>793</v>
      </c>
      <c r="AE161">
        <v>227.788611014</v>
      </c>
      <c r="AF161">
        <v>228.02015530899999</v>
      </c>
      <c r="AG161">
        <v>16000</v>
      </c>
      <c r="AM161" t="s">
        <v>992</v>
      </c>
      <c r="AN161" t="s">
        <v>792</v>
      </c>
      <c r="AO161">
        <v>901.12989532200004</v>
      </c>
      <c r="AP161">
        <v>901.87897402700003</v>
      </c>
      <c r="AQ161">
        <v>14891.057151999999</v>
      </c>
      <c r="AX161" t="s">
        <v>992</v>
      </c>
      <c r="AY161" t="s">
        <v>793</v>
      </c>
      <c r="AZ161">
        <v>312.29015045</v>
      </c>
      <c r="BA161">
        <v>312.56054856401101</v>
      </c>
      <c r="BB161">
        <v>16000</v>
      </c>
      <c r="BO161" t="s">
        <v>792</v>
      </c>
      <c r="BP161">
        <v>901.10231892199999</v>
      </c>
      <c r="BQ161">
        <v>901.82281805004402</v>
      </c>
      <c r="BR161">
        <v>14891.139072</v>
      </c>
      <c r="CR161" t="s">
        <v>792</v>
      </c>
      <c r="CS161">
        <v>900.94867077799995</v>
      </c>
      <c r="CT161">
        <v>901.77271055593098</v>
      </c>
      <c r="CU161">
        <v>14891.003903999999</v>
      </c>
      <c r="DA161" t="s">
        <v>792</v>
      </c>
      <c r="DB161">
        <v>900.98550886999999</v>
      </c>
      <c r="DC161">
        <v>901.74364724208101</v>
      </c>
      <c r="DD161">
        <v>14891.098112</v>
      </c>
      <c r="DJ161" t="s">
        <v>792</v>
      </c>
      <c r="DK161">
        <v>901.07185219500002</v>
      </c>
      <c r="DL161">
        <v>901.80079102306604</v>
      </c>
      <c r="DM161">
        <v>14891.061248</v>
      </c>
    </row>
    <row r="162" spans="1:117" x14ac:dyDescent="0.2">
      <c r="A162">
        <v>9000</v>
      </c>
      <c r="B162">
        <v>7</v>
      </c>
      <c r="C162" t="str">
        <f t="shared" si="2"/>
        <v>9000-07</v>
      </c>
      <c r="F162" t="s">
        <v>793</v>
      </c>
      <c r="G162">
        <v>254.91713346500001</v>
      </c>
      <c r="H162">
        <v>255.191934959002</v>
      </c>
      <c r="I162">
        <v>16000</v>
      </c>
      <c r="N162" t="s">
        <v>793</v>
      </c>
      <c r="O162">
        <v>756.85108182800002</v>
      </c>
      <c r="P162">
        <v>757.54939666402004</v>
      </c>
      <c r="Q162">
        <v>16000</v>
      </c>
      <c r="V162" t="s">
        <v>793</v>
      </c>
      <c r="W162">
        <v>846.19867697999996</v>
      </c>
      <c r="X162">
        <v>846.71500679200096</v>
      </c>
      <c r="Y162">
        <v>16000</v>
      </c>
      <c r="AC162" t="s">
        <v>993</v>
      </c>
      <c r="AD162" t="s">
        <v>793</v>
      </c>
      <c r="AE162">
        <v>256.34232049600001</v>
      </c>
      <c r="AF162">
        <v>256.59860242198903</v>
      </c>
      <c r="AG162">
        <v>16000</v>
      </c>
      <c r="AM162" t="s">
        <v>993</v>
      </c>
      <c r="AN162" t="s">
        <v>793</v>
      </c>
      <c r="AO162">
        <v>746.57821592000005</v>
      </c>
      <c r="AP162">
        <v>747.18792294999002</v>
      </c>
      <c r="AQ162">
        <v>16000</v>
      </c>
      <c r="AX162" t="s">
        <v>993</v>
      </c>
      <c r="AY162" t="s">
        <v>793</v>
      </c>
      <c r="AZ162">
        <v>859.38169605500002</v>
      </c>
      <c r="BA162">
        <v>859.99619473100699</v>
      </c>
      <c r="BB162">
        <v>16000</v>
      </c>
      <c r="BO162" t="s">
        <v>793</v>
      </c>
      <c r="BP162">
        <v>749.62421713599997</v>
      </c>
      <c r="BQ162">
        <v>750.35814622498503</v>
      </c>
      <c r="BR162">
        <v>16000</v>
      </c>
      <c r="CR162" t="s">
        <v>793</v>
      </c>
      <c r="CS162">
        <v>757.55740132400001</v>
      </c>
      <c r="CT162">
        <v>758.37289916095301</v>
      </c>
      <c r="CU162">
        <v>16000</v>
      </c>
      <c r="DA162" t="s">
        <v>793</v>
      </c>
      <c r="DB162">
        <v>744.84951071</v>
      </c>
      <c r="DC162">
        <v>745.46267346397497</v>
      </c>
      <c r="DD162">
        <v>16000</v>
      </c>
      <c r="DJ162" t="s">
        <v>793</v>
      </c>
      <c r="DK162">
        <v>749.25999599700003</v>
      </c>
      <c r="DL162">
        <v>749.77036565204605</v>
      </c>
      <c r="DM162">
        <v>16000</v>
      </c>
    </row>
    <row r="163" spans="1:117" x14ac:dyDescent="0.2">
      <c r="A163">
        <v>9000</v>
      </c>
      <c r="B163">
        <v>8</v>
      </c>
      <c r="C163" t="str">
        <f t="shared" si="2"/>
        <v>9000-08</v>
      </c>
      <c r="F163" t="s">
        <v>793</v>
      </c>
      <c r="G163">
        <v>249.97121892800001</v>
      </c>
      <c r="H163">
        <v>250.360915433993</v>
      </c>
      <c r="I163">
        <v>16000</v>
      </c>
      <c r="N163" t="s">
        <v>793</v>
      </c>
      <c r="O163">
        <v>574.60436941499995</v>
      </c>
      <c r="P163">
        <v>575.07967192199396</v>
      </c>
      <c r="Q163">
        <v>16000</v>
      </c>
      <c r="V163" t="s">
        <v>793</v>
      </c>
      <c r="W163">
        <v>318.71047340400003</v>
      </c>
      <c r="X163">
        <v>319.01815750199597</v>
      </c>
      <c r="Y163">
        <v>16000</v>
      </c>
      <c r="AC163" t="s">
        <v>994</v>
      </c>
      <c r="AD163" t="s">
        <v>793</v>
      </c>
      <c r="AE163">
        <v>239.04418958900001</v>
      </c>
      <c r="AF163">
        <v>239.266262497025</v>
      </c>
      <c r="AG163">
        <v>16000</v>
      </c>
      <c r="AM163" t="s">
        <v>994</v>
      </c>
      <c r="AN163" t="s">
        <v>793</v>
      </c>
      <c r="AO163">
        <v>570.86494316200003</v>
      </c>
      <c r="AP163">
        <v>571.38473200600095</v>
      </c>
      <c r="AQ163">
        <v>16000</v>
      </c>
      <c r="AX163" t="s">
        <v>994</v>
      </c>
      <c r="AY163" t="s">
        <v>793</v>
      </c>
      <c r="AZ163">
        <v>311.643517266</v>
      </c>
      <c r="BA163">
        <v>311.96855018599302</v>
      </c>
      <c r="BB163">
        <v>16000</v>
      </c>
      <c r="BO163" t="s">
        <v>793</v>
      </c>
      <c r="BP163">
        <v>571.18224142700001</v>
      </c>
      <c r="BQ163">
        <v>572.429635541979</v>
      </c>
      <c r="BR163">
        <v>16000</v>
      </c>
      <c r="CR163" t="s">
        <v>793</v>
      </c>
      <c r="CS163">
        <v>577.110481617</v>
      </c>
      <c r="CT163">
        <v>577.58085428201503</v>
      </c>
      <c r="CU163">
        <v>16000</v>
      </c>
      <c r="DA163" t="s">
        <v>793</v>
      </c>
      <c r="DB163">
        <v>564.93468266299999</v>
      </c>
      <c r="DC163">
        <v>565.420791136915</v>
      </c>
      <c r="DD163">
        <v>16000</v>
      </c>
      <c r="DJ163" t="s">
        <v>793</v>
      </c>
      <c r="DK163">
        <v>569.94503492000001</v>
      </c>
      <c r="DL163">
        <v>570.40410158899601</v>
      </c>
      <c r="DM163">
        <v>16000</v>
      </c>
    </row>
    <row r="164" spans="1:117" x14ac:dyDescent="0.2">
      <c r="A164">
        <v>9000</v>
      </c>
      <c r="B164">
        <v>9</v>
      </c>
      <c r="C164" t="str">
        <f t="shared" si="2"/>
        <v>9000-09</v>
      </c>
      <c r="F164" t="s">
        <v>793</v>
      </c>
      <c r="G164">
        <v>226.211475439</v>
      </c>
      <c r="H164">
        <v>226.39958155198801</v>
      </c>
      <c r="I164">
        <v>16000</v>
      </c>
      <c r="N164" t="s">
        <v>793</v>
      </c>
      <c r="O164">
        <v>813.10900699599995</v>
      </c>
      <c r="P164">
        <v>813.77283813897498</v>
      </c>
      <c r="Q164">
        <v>16000</v>
      </c>
      <c r="V164" t="s">
        <v>793</v>
      </c>
      <c r="W164">
        <v>334.73960228300001</v>
      </c>
      <c r="X164">
        <v>335.06254600800401</v>
      </c>
      <c r="Y164">
        <v>16000</v>
      </c>
      <c r="AC164" t="s">
        <v>995</v>
      </c>
      <c r="AD164" t="s">
        <v>793</v>
      </c>
      <c r="AE164">
        <v>239.28766783200001</v>
      </c>
      <c r="AF164">
        <v>239.76909625000499</v>
      </c>
      <c r="AG164">
        <v>16000</v>
      </c>
      <c r="AM164" t="s">
        <v>995</v>
      </c>
      <c r="AN164" t="s">
        <v>793</v>
      </c>
      <c r="AO164">
        <v>813.23098905100005</v>
      </c>
      <c r="AP164">
        <v>813.89047135398096</v>
      </c>
      <c r="AQ164">
        <v>16000</v>
      </c>
      <c r="AX164" t="s">
        <v>995</v>
      </c>
      <c r="AY164" t="s">
        <v>793</v>
      </c>
      <c r="AZ164">
        <v>328.82778323399998</v>
      </c>
      <c r="BA164">
        <v>329.178308120986</v>
      </c>
      <c r="BB164">
        <v>16000</v>
      </c>
      <c r="BO164" t="s">
        <v>793</v>
      </c>
      <c r="BP164">
        <v>791.84477821300004</v>
      </c>
      <c r="BQ164">
        <v>792.52285468101002</v>
      </c>
      <c r="BR164">
        <v>16000</v>
      </c>
      <c r="CR164" t="s">
        <v>793</v>
      </c>
      <c r="CS164">
        <v>816.72129384200002</v>
      </c>
      <c r="CT164">
        <v>817.28763068409103</v>
      </c>
      <c r="CU164">
        <v>16000</v>
      </c>
      <c r="DA164" t="s">
        <v>793</v>
      </c>
      <c r="DB164">
        <v>801.34731978299999</v>
      </c>
      <c r="DC164">
        <v>801.87607713800298</v>
      </c>
      <c r="DD164">
        <v>16000</v>
      </c>
      <c r="DJ164" t="s">
        <v>793</v>
      </c>
      <c r="DK164">
        <v>801.31571631300005</v>
      </c>
      <c r="DL164">
        <v>801.83096888696298</v>
      </c>
      <c r="DM164">
        <v>16000</v>
      </c>
    </row>
    <row r="165" spans="1:117" x14ac:dyDescent="0.2">
      <c r="A165">
        <v>10000</v>
      </c>
      <c r="B165">
        <v>1</v>
      </c>
      <c r="C165" t="str">
        <f t="shared" si="2"/>
        <v>10000-01</v>
      </c>
      <c r="F165" t="s">
        <v>793</v>
      </c>
      <c r="G165">
        <v>261.206764432</v>
      </c>
      <c r="H165">
        <v>261.49094743299003</v>
      </c>
      <c r="I165">
        <v>16000</v>
      </c>
      <c r="N165" t="s">
        <v>792</v>
      </c>
      <c r="O165">
        <v>900.99606119800001</v>
      </c>
      <c r="P165">
        <v>901.78069087400195</v>
      </c>
      <c r="Q165">
        <v>14910.541824</v>
      </c>
      <c r="V165" t="s">
        <v>793</v>
      </c>
      <c r="W165">
        <v>324.25530373300001</v>
      </c>
      <c r="X165">
        <v>324.54121139799798</v>
      </c>
      <c r="Y165">
        <v>16000</v>
      </c>
      <c r="AC165" t="s">
        <v>996</v>
      </c>
      <c r="AD165" t="s">
        <v>793</v>
      </c>
      <c r="AE165">
        <v>258.41481858700001</v>
      </c>
      <c r="AF165">
        <v>258.72675034601701</v>
      </c>
      <c r="AG165">
        <v>16000</v>
      </c>
      <c r="AM165" t="s">
        <v>996</v>
      </c>
      <c r="AN165" t="s">
        <v>792</v>
      </c>
      <c r="AO165">
        <v>901.03297192000002</v>
      </c>
      <c r="AP165">
        <v>901.83864542102594</v>
      </c>
      <c r="AQ165">
        <v>14910.472191999999</v>
      </c>
      <c r="AX165" t="s">
        <v>996</v>
      </c>
      <c r="AY165" t="s">
        <v>793</v>
      </c>
      <c r="AZ165">
        <v>314.83853890500001</v>
      </c>
      <c r="BA165">
        <v>315.14016615398498</v>
      </c>
      <c r="BB165">
        <v>16000</v>
      </c>
      <c r="BO165" t="s">
        <v>792</v>
      </c>
      <c r="BP165">
        <v>901.05376810600001</v>
      </c>
      <c r="BQ165">
        <v>901.83658282004706</v>
      </c>
      <c r="BR165">
        <v>14910.599168000001</v>
      </c>
      <c r="CR165" t="s">
        <v>792</v>
      </c>
      <c r="CS165">
        <v>901.104450638</v>
      </c>
      <c r="CT165">
        <v>901.87479781697004</v>
      </c>
      <c r="CU165">
        <v>14910.619648</v>
      </c>
      <c r="DA165" t="s">
        <v>792</v>
      </c>
      <c r="DB165">
        <v>901.10170521700002</v>
      </c>
      <c r="DC165">
        <v>901.82597174798104</v>
      </c>
      <c r="DD165">
        <v>14910.492672</v>
      </c>
      <c r="DJ165" t="s">
        <v>792</v>
      </c>
      <c r="DK165">
        <v>901.15228970099997</v>
      </c>
      <c r="DL165">
        <v>901.85273825796298</v>
      </c>
      <c r="DM165">
        <v>14910.570496</v>
      </c>
    </row>
    <row r="166" spans="1:117" x14ac:dyDescent="0.2">
      <c r="A166">
        <v>10000</v>
      </c>
      <c r="B166">
        <v>2</v>
      </c>
      <c r="C166" t="str">
        <f t="shared" si="2"/>
        <v>10000-02</v>
      </c>
      <c r="F166" t="s">
        <v>793</v>
      </c>
      <c r="G166">
        <v>377.18985044099998</v>
      </c>
      <c r="H166">
        <v>377.59629279799901</v>
      </c>
      <c r="I166">
        <v>16000</v>
      </c>
      <c r="N166" t="s">
        <v>793</v>
      </c>
      <c r="O166">
        <v>831.14118715500001</v>
      </c>
      <c r="P166">
        <v>831.906913863</v>
      </c>
      <c r="Q166">
        <v>16000</v>
      </c>
      <c r="V166" t="s">
        <v>793</v>
      </c>
      <c r="W166">
        <v>365.53168346199999</v>
      </c>
      <c r="X166">
        <v>365.78136457399501</v>
      </c>
      <c r="Y166">
        <v>16000</v>
      </c>
      <c r="AC166" t="s">
        <v>997</v>
      </c>
      <c r="AD166" t="s">
        <v>793</v>
      </c>
      <c r="AE166">
        <v>384.91719468100001</v>
      </c>
      <c r="AF166">
        <v>385.67135388401198</v>
      </c>
      <c r="AG166">
        <v>16000</v>
      </c>
      <c r="AM166" t="s">
        <v>997</v>
      </c>
      <c r="AN166" t="s">
        <v>793</v>
      </c>
      <c r="AO166">
        <v>828.50521643599996</v>
      </c>
      <c r="AP166">
        <v>829.25704589398799</v>
      </c>
      <c r="AQ166">
        <v>16000</v>
      </c>
      <c r="AX166" t="s">
        <v>997</v>
      </c>
      <c r="AY166" t="s">
        <v>793</v>
      </c>
      <c r="AZ166">
        <v>382.59614033899999</v>
      </c>
      <c r="BA166">
        <v>382.94466164798303</v>
      </c>
      <c r="BB166">
        <v>16000</v>
      </c>
      <c r="BO166" t="s">
        <v>793</v>
      </c>
      <c r="BP166">
        <v>830.91966630599995</v>
      </c>
      <c r="BQ166">
        <v>832.05727969500003</v>
      </c>
      <c r="BR166">
        <v>16000</v>
      </c>
      <c r="CR166" t="s">
        <v>793</v>
      </c>
      <c r="CS166">
        <v>832.07741607000003</v>
      </c>
      <c r="CT166">
        <v>832.79926187905903</v>
      </c>
      <c r="CU166">
        <v>16000</v>
      </c>
      <c r="DA166" t="s">
        <v>793</v>
      </c>
      <c r="DB166">
        <v>825.24991103699995</v>
      </c>
      <c r="DC166">
        <v>825.91207963996499</v>
      </c>
      <c r="DD166">
        <v>16000</v>
      </c>
      <c r="DJ166" t="s">
        <v>793</v>
      </c>
      <c r="DK166">
        <v>826.67333625100002</v>
      </c>
      <c r="DL166">
        <v>827.39364686002898</v>
      </c>
      <c r="DM166">
        <v>16000</v>
      </c>
    </row>
    <row r="167" spans="1:117" x14ac:dyDescent="0.2">
      <c r="A167">
        <v>10000</v>
      </c>
      <c r="B167">
        <v>3</v>
      </c>
      <c r="C167" t="str">
        <f t="shared" si="2"/>
        <v>10000-03</v>
      </c>
      <c r="F167" t="s">
        <v>793</v>
      </c>
      <c r="G167">
        <v>379.72221510100002</v>
      </c>
      <c r="H167">
        <v>380.10303144999398</v>
      </c>
      <c r="I167">
        <v>16000</v>
      </c>
      <c r="N167" t="s">
        <v>793</v>
      </c>
      <c r="O167">
        <v>839.59642094699996</v>
      </c>
      <c r="P167">
        <v>840.35972536299903</v>
      </c>
      <c r="Q167">
        <v>16000</v>
      </c>
      <c r="V167" t="s">
        <v>793</v>
      </c>
      <c r="W167">
        <v>375.226386999</v>
      </c>
      <c r="X167">
        <v>375.57701879399201</v>
      </c>
      <c r="Y167">
        <v>16000</v>
      </c>
      <c r="AC167" t="s">
        <v>998</v>
      </c>
      <c r="AD167" t="s">
        <v>793</v>
      </c>
      <c r="AE167">
        <v>385.39433057899998</v>
      </c>
      <c r="AF167">
        <v>385.83439862402099</v>
      </c>
      <c r="AG167">
        <v>16000</v>
      </c>
      <c r="AM167" t="s">
        <v>998</v>
      </c>
      <c r="AN167" t="s">
        <v>793</v>
      </c>
      <c r="AO167">
        <v>834.22791353100001</v>
      </c>
      <c r="AP167">
        <v>834.92040104299599</v>
      </c>
      <c r="AQ167">
        <v>16000</v>
      </c>
      <c r="AX167" t="s">
        <v>998</v>
      </c>
      <c r="AY167" t="s">
        <v>793</v>
      </c>
      <c r="AZ167">
        <v>361.34888046499998</v>
      </c>
      <c r="BA167">
        <v>361.78451610598103</v>
      </c>
      <c r="BB167">
        <v>16000</v>
      </c>
      <c r="BO167" t="s">
        <v>793</v>
      </c>
      <c r="BP167">
        <v>846.35124960799999</v>
      </c>
      <c r="BQ167">
        <v>847.19388357200603</v>
      </c>
      <c r="BR167">
        <v>16000</v>
      </c>
      <c r="CR167" t="s">
        <v>793</v>
      </c>
      <c r="CS167">
        <v>832.01403547300004</v>
      </c>
      <c r="CT167">
        <v>832.62587598501705</v>
      </c>
      <c r="CU167">
        <v>16000</v>
      </c>
      <c r="DA167" t="s">
        <v>793</v>
      </c>
      <c r="DB167">
        <v>822.26336358699996</v>
      </c>
      <c r="DC167">
        <v>822.89730681793299</v>
      </c>
      <c r="DD167">
        <v>16000</v>
      </c>
      <c r="DJ167" t="s">
        <v>793</v>
      </c>
      <c r="DK167">
        <v>839.66516280600001</v>
      </c>
      <c r="DL167">
        <v>840.34844107902597</v>
      </c>
      <c r="DM167">
        <v>16000</v>
      </c>
    </row>
    <row r="168" spans="1:117" x14ac:dyDescent="0.2">
      <c r="A168">
        <v>10000</v>
      </c>
      <c r="B168">
        <v>4</v>
      </c>
      <c r="C168" t="str">
        <f t="shared" si="2"/>
        <v>10000-04</v>
      </c>
      <c r="F168" t="s">
        <v>793</v>
      </c>
      <c r="G168">
        <v>266.69337384300002</v>
      </c>
      <c r="H168">
        <v>266.99962214998902</v>
      </c>
      <c r="I168">
        <v>16000</v>
      </c>
      <c r="N168" t="s">
        <v>793</v>
      </c>
      <c r="O168">
        <v>518.08402503900004</v>
      </c>
      <c r="P168">
        <v>518.54198300099199</v>
      </c>
      <c r="Q168">
        <v>16000</v>
      </c>
      <c r="V168" t="s">
        <v>793</v>
      </c>
      <c r="W168">
        <v>624.82360850700002</v>
      </c>
      <c r="X168">
        <v>625.58955036099303</v>
      </c>
      <c r="Y168">
        <v>16000</v>
      </c>
      <c r="AC168" t="s">
        <v>999</v>
      </c>
      <c r="AD168" t="s">
        <v>793</v>
      </c>
      <c r="AE168">
        <v>261.67438487099997</v>
      </c>
      <c r="AF168">
        <v>262.04337790998397</v>
      </c>
      <c r="AG168">
        <v>16000</v>
      </c>
      <c r="AM168" t="s">
        <v>999</v>
      </c>
      <c r="AN168" t="s">
        <v>793</v>
      </c>
      <c r="AO168">
        <v>519.21344740100005</v>
      </c>
      <c r="AP168">
        <v>519.72596566600203</v>
      </c>
      <c r="AQ168">
        <v>16000</v>
      </c>
      <c r="AX168" t="s">
        <v>999</v>
      </c>
      <c r="AY168" t="s">
        <v>793</v>
      </c>
      <c r="AZ168">
        <v>610.57680147899998</v>
      </c>
      <c r="BA168">
        <v>611.15839911598596</v>
      </c>
      <c r="BB168">
        <v>16000</v>
      </c>
      <c r="BO168" t="s">
        <v>793</v>
      </c>
      <c r="BP168">
        <v>520.37593962699998</v>
      </c>
      <c r="BQ168">
        <v>520.89350481401198</v>
      </c>
      <c r="BR168">
        <v>16000.004096000001</v>
      </c>
      <c r="CR168" t="s">
        <v>793</v>
      </c>
      <c r="CS168">
        <v>515.49517980500002</v>
      </c>
      <c r="CT168">
        <v>515.94697986205495</v>
      </c>
      <c r="CU168">
        <v>16000</v>
      </c>
      <c r="DA168" t="s">
        <v>793</v>
      </c>
      <c r="DB168">
        <v>521.86921151499996</v>
      </c>
      <c r="DC168">
        <v>522.60610345203895</v>
      </c>
      <c r="DD168">
        <v>16000</v>
      </c>
      <c r="DJ168" t="s">
        <v>793</v>
      </c>
      <c r="DK168">
        <v>517.62003513599996</v>
      </c>
      <c r="DL168">
        <v>518.07690333004496</v>
      </c>
      <c r="DM168">
        <v>16000</v>
      </c>
    </row>
    <row r="169" spans="1:117" x14ac:dyDescent="0.2">
      <c r="A169">
        <v>10000</v>
      </c>
      <c r="B169">
        <v>5</v>
      </c>
      <c r="C169" t="str">
        <f t="shared" si="2"/>
        <v>10000-05</v>
      </c>
      <c r="F169" t="s">
        <v>793</v>
      </c>
      <c r="G169">
        <v>236.79214752799999</v>
      </c>
      <c r="H169">
        <v>237.04583481200001</v>
      </c>
      <c r="I169">
        <v>16000</v>
      </c>
      <c r="N169" t="s">
        <v>792</v>
      </c>
      <c r="O169">
        <v>900.81485827799997</v>
      </c>
      <c r="P169">
        <v>901.590284934995</v>
      </c>
      <c r="Q169">
        <v>9915.6418560000002</v>
      </c>
      <c r="V169" t="s">
        <v>793</v>
      </c>
      <c r="W169">
        <v>527.29642662100002</v>
      </c>
      <c r="X169">
        <v>527.82464883700595</v>
      </c>
      <c r="Y169">
        <v>16000</v>
      </c>
      <c r="AC169" t="s">
        <v>1000</v>
      </c>
      <c r="AD169" t="s">
        <v>793</v>
      </c>
      <c r="AE169">
        <v>235.53142177199999</v>
      </c>
      <c r="AF169">
        <v>235.792830291</v>
      </c>
      <c r="AG169">
        <v>16000</v>
      </c>
      <c r="AM169" t="s">
        <v>1000</v>
      </c>
      <c r="AN169" t="s">
        <v>792</v>
      </c>
      <c r="AO169">
        <v>900.90492355699996</v>
      </c>
      <c r="AP169">
        <v>901.64998408101303</v>
      </c>
      <c r="AQ169">
        <v>9915.5435519999992</v>
      </c>
      <c r="AX169" t="s">
        <v>1000</v>
      </c>
      <c r="AY169" t="s">
        <v>793</v>
      </c>
      <c r="AZ169">
        <v>505.47076003000001</v>
      </c>
      <c r="BA169">
        <v>505.88209434598599</v>
      </c>
      <c r="BB169">
        <v>16000</v>
      </c>
      <c r="BO169" t="s">
        <v>792</v>
      </c>
      <c r="BP169">
        <v>901.05925104100004</v>
      </c>
      <c r="BQ169">
        <v>901.73996231704905</v>
      </c>
      <c r="BR169">
        <v>9915.5353599999999</v>
      </c>
      <c r="CR169" t="s">
        <v>792</v>
      </c>
      <c r="CS169">
        <v>900.92716707299996</v>
      </c>
      <c r="CT169">
        <v>901.57157935900602</v>
      </c>
      <c r="CU169">
        <v>9915.5394560000004</v>
      </c>
      <c r="DA169" t="s">
        <v>792</v>
      </c>
      <c r="DB169">
        <v>900.95495504899998</v>
      </c>
      <c r="DC169">
        <v>901.59047151298705</v>
      </c>
      <c r="DD169">
        <v>9915.5763200000001</v>
      </c>
      <c r="DJ169" t="s">
        <v>792</v>
      </c>
      <c r="DK169">
        <v>900.81044502899999</v>
      </c>
      <c r="DL169">
        <v>901.55238492297894</v>
      </c>
      <c r="DM169">
        <v>9915.6254719999997</v>
      </c>
    </row>
    <row r="170" spans="1:117" x14ac:dyDescent="0.2">
      <c r="A170">
        <v>10000</v>
      </c>
      <c r="B170">
        <v>6</v>
      </c>
      <c r="C170" t="str">
        <f t="shared" si="2"/>
        <v>10000-06</v>
      </c>
      <c r="F170" t="s">
        <v>793</v>
      </c>
      <c r="G170">
        <v>286.86034614699997</v>
      </c>
      <c r="H170">
        <v>287.28143572800002</v>
      </c>
      <c r="I170">
        <v>16000</v>
      </c>
      <c r="N170" t="s">
        <v>792</v>
      </c>
      <c r="O170">
        <v>901.17124216499997</v>
      </c>
      <c r="P170">
        <v>901.87450661000901</v>
      </c>
      <c r="Q170">
        <v>15329.841152000001</v>
      </c>
      <c r="V170" t="s">
        <v>792</v>
      </c>
      <c r="W170">
        <v>900.87404723099996</v>
      </c>
      <c r="X170">
        <v>901.58440545998701</v>
      </c>
      <c r="Y170">
        <v>10000.646144</v>
      </c>
      <c r="AC170" t="s">
        <v>1001</v>
      </c>
      <c r="AD170" t="s">
        <v>793</v>
      </c>
      <c r="AE170">
        <v>292.54950083199998</v>
      </c>
      <c r="AF170">
        <v>292.90041140199099</v>
      </c>
      <c r="AG170">
        <v>16000</v>
      </c>
      <c r="AM170" t="s">
        <v>1001</v>
      </c>
      <c r="AN170" t="s">
        <v>792</v>
      </c>
      <c r="AO170">
        <v>900.98597761799999</v>
      </c>
      <c r="AP170">
        <v>901.91768714698196</v>
      </c>
      <c r="AQ170">
        <v>15330.816000000001</v>
      </c>
      <c r="AX170" t="s">
        <v>1001</v>
      </c>
      <c r="AY170" t="s">
        <v>792</v>
      </c>
      <c r="AZ170">
        <v>900.77313423400005</v>
      </c>
      <c r="BA170">
        <v>901.66663582701506</v>
      </c>
      <c r="BB170">
        <v>10000.5888</v>
      </c>
      <c r="BO170" t="s">
        <v>792</v>
      </c>
      <c r="BP170">
        <v>901.79740330799996</v>
      </c>
      <c r="BQ170">
        <v>902.921528306033</v>
      </c>
      <c r="BR170">
        <v>15336.812544</v>
      </c>
      <c r="CR170" t="s">
        <v>792</v>
      </c>
      <c r="CS170">
        <v>901.76187513800005</v>
      </c>
      <c r="CT170">
        <v>902.862330871052</v>
      </c>
      <c r="CU170">
        <v>15330.820095999999</v>
      </c>
      <c r="DA170" t="s">
        <v>792</v>
      </c>
      <c r="DB170">
        <v>901.12530341299998</v>
      </c>
      <c r="DC170">
        <v>901.83807359496097</v>
      </c>
      <c r="DD170">
        <v>15330.83648</v>
      </c>
      <c r="DJ170" t="s">
        <v>792</v>
      </c>
      <c r="DK170">
        <v>901.20039638599997</v>
      </c>
      <c r="DL170">
        <v>901.86778508406098</v>
      </c>
      <c r="DM170">
        <v>15330.885632</v>
      </c>
    </row>
    <row r="171" spans="1:117" x14ac:dyDescent="0.2">
      <c r="A171">
        <v>10000</v>
      </c>
      <c r="B171">
        <v>7</v>
      </c>
      <c r="C171" t="str">
        <f t="shared" si="2"/>
        <v>10000-07</v>
      </c>
      <c r="F171" t="s">
        <v>793</v>
      </c>
      <c r="G171">
        <v>261.778578235</v>
      </c>
      <c r="H171">
        <v>262.04875671399299</v>
      </c>
      <c r="I171">
        <v>16000</v>
      </c>
      <c r="N171" t="s">
        <v>792</v>
      </c>
      <c r="O171">
        <v>901.11257431199999</v>
      </c>
      <c r="P171">
        <v>901.85445636798897</v>
      </c>
      <c r="Q171">
        <v>15059.443712</v>
      </c>
      <c r="V171" t="s">
        <v>793</v>
      </c>
      <c r="W171">
        <v>696.50693061599998</v>
      </c>
      <c r="X171">
        <v>697.19714890900605</v>
      </c>
      <c r="Y171">
        <v>16000</v>
      </c>
      <c r="AC171" t="s">
        <v>1002</v>
      </c>
      <c r="AD171" t="s">
        <v>793</v>
      </c>
      <c r="AE171">
        <v>259.89299405000003</v>
      </c>
      <c r="AF171">
        <v>260.29902786097898</v>
      </c>
      <c r="AG171">
        <v>16000</v>
      </c>
      <c r="AM171" t="s">
        <v>1002</v>
      </c>
      <c r="AN171" t="s">
        <v>792</v>
      </c>
      <c r="AO171">
        <v>901.12883448399998</v>
      </c>
      <c r="AP171">
        <v>901.86440066099703</v>
      </c>
      <c r="AQ171">
        <v>15059.476479999999</v>
      </c>
      <c r="AX171" t="s">
        <v>1002</v>
      </c>
      <c r="AY171" t="s">
        <v>793</v>
      </c>
      <c r="AZ171">
        <v>725.29241300599995</v>
      </c>
      <c r="BA171">
        <v>726.00284722499703</v>
      </c>
      <c r="BB171">
        <v>16000</v>
      </c>
      <c r="BO171" t="s">
        <v>792</v>
      </c>
      <c r="BP171">
        <v>901.094130597</v>
      </c>
      <c r="BQ171">
        <v>901.89636870299</v>
      </c>
      <c r="BR171">
        <v>15059.443712</v>
      </c>
      <c r="CR171" t="s">
        <v>792</v>
      </c>
      <c r="CS171">
        <v>901.20719295799995</v>
      </c>
      <c r="CT171">
        <v>901.84488180000301</v>
      </c>
      <c r="CU171">
        <v>15059.443712</v>
      </c>
      <c r="DA171" t="s">
        <v>793</v>
      </c>
      <c r="DB171">
        <v>894.97460023099995</v>
      </c>
      <c r="DC171">
        <v>895.49148603098001</v>
      </c>
      <c r="DD171">
        <v>16000</v>
      </c>
      <c r="DJ171" t="s">
        <v>792</v>
      </c>
      <c r="DK171">
        <v>901.17314788700003</v>
      </c>
      <c r="DL171">
        <v>901.79932565696004</v>
      </c>
      <c r="DM171">
        <v>15065.878527999999</v>
      </c>
    </row>
    <row r="172" spans="1:117" x14ac:dyDescent="0.2">
      <c r="A172">
        <v>10000</v>
      </c>
      <c r="B172">
        <v>8</v>
      </c>
      <c r="C172" t="str">
        <f t="shared" si="2"/>
        <v>10000-08</v>
      </c>
      <c r="F172" t="s">
        <v>793</v>
      </c>
      <c r="G172">
        <v>277.00602815899998</v>
      </c>
      <c r="H172">
        <v>277.30297391000198</v>
      </c>
      <c r="I172">
        <v>16000</v>
      </c>
      <c r="N172" t="s">
        <v>792</v>
      </c>
      <c r="O172">
        <v>900.66017925799997</v>
      </c>
      <c r="P172">
        <v>901.32471098500503</v>
      </c>
      <c r="Q172">
        <v>16000</v>
      </c>
      <c r="V172" t="s">
        <v>793</v>
      </c>
      <c r="W172">
        <v>304.75927303399999</v>
      </c>
      <c r="X172">
        <v>304.98666843799498</v>
      </c>
      <c r="Y172">
        <v>16000</v>
      </c>
      <c r="AC172" t="s">
        <v>1003</v>
      </c>
      <c r="AD172" t="s">
        <v>793</v>
      </c>
      <c r="AE172">
        <v>275.90569621899999</v>
      </c>
      <c r="AF172">
        <v>276.24252703099</v>
      </c>
      <c r="AG172">
        <v>16000</v>
      </c>
      <c r="AM172" t="s">
        <v>1003</v>
      </c>
      <c r="AN172" t="s">
        <v>792</v>
      </c>
      <c r="AO172">
        <v>901.27909736900006</v>
      </c>
      <c r="AP172">
        <v>902.00261590999401</v>
      </c>
      <c r="AQ172">
        <v>15984.381952</v>
      </c>
      <c r="AX172" t="s">
        <v>1003</v>
      </c>
      <c r="AY172" t="s">
        <v>793</v>
      </c>
      <c r="AZ172">
        <v>306.87938292500002</v>
      </c>
      <c r="BA172">
        <v>307.15992917099999</v>
      </c>
      <c r="BB172">
        <v>16000</v>
      </c>
      <c r="BO172" t="s">
        <v>792</v>
      </c>
      <c r="BP172">
        <v>901.15362880199996</v>
      </c>
      <c r="BQ172">
        <v>901.83627164701397</v>
      </c>
      <c r="BR172">
        <v>15832.190976</v>
      </c>
      <c r="CR172" t="s">
        <v>793</v>
      </c>
      <c r="CS172">
        <v>866.592510017</v>
      </c>
      <c r="CT172">
        <v>867.15684899897303</v>
      </c>
      <c r="CU172">
        <v>16000</v>
      </c>
      <c r="DA172" t="s">
        <v>792</v>
      </c>
      <c r="DB172">
        <v>900.92036641200002</v>
      </c>
      <c r="DC172">
        <v>901.83817221096206</v>
      </c>
      <c r="DD172">
        <v>15130.333183999999</v>
      </c>
      <c r="DJ172" t="s">
        <v>793</v>
      </c>
      <c r="DK172">
        <v>897.79745389599998</v>
      </c>
      <c r="DL172">
        <v>898.44156894192497</v>
      </c>
      <c r="DM172">
        <v>16000</v>
      </c>
    </row>
    <row r="173" spans="1:117" x14ac:dyDescent="0.2">
      <c r="A173">
        <v>10000</v>
      </c>
      <c r="B173">
        <v>9</v>
      </c>
      <c r="C173" t="str">
        <f t="shared" si="2"/>
        <v>10000-09</v>
      </c>
      <c r="F173" t="s">
        <v>793</v>
      </c>
      <c r="G173">
        <v>292.81770284999999</v>
      </c>
      <c r="H173">
        <v>293.12491745100101</v>
      </c>
      <c r="I173">
        <v>16000</v>
      </c>
      <c r="N173" t="s">
        <v>792</v>
      </c>
      <c r="O173">
        <v>901.19676909299994</v>
      </c>
      <c r="P173">
        <v>901.90159913498701</v>
      </c>
      <c r="Q173">
        <v>15132.52864</v>
      </c>
      <c r="V173" t="s">
        <v>793</v>
      </c>
      <c r="W173">
        <v>803.33147665199999</v>
      </c>
      <c r="X173">
        <v>803.96748645900504</v>
      </c>
      <c r="Y173">
        <v>16000</v>
      </c>
      <c r="AC173" t="s">
        <v>1004</v>
      </c>
      <c r="AD173" t="s">
        <v>793</v>
      </c>
      <c r="AE173">
        <v>297.64236547799999</v>
      </c>
      <c r="AF173">
        <v>297.98227383600801</v>
      </c>
      <c r="AG173">
        <v>16000</v>
      </c>
      <c r="AM173" t="s">
        <v>1004</v>
      </c>
      <c r="AN173" t="s">
        <v>792</v>
      </c>
      <c r="AO173">
        <v>901.12417811399996</v>
      </c>
      <c r="AP173">
        <v>901.81843407801296</v>
      </c>
      <c r="AQ173">
        <v>15057.567744</v>
      </c>
      <c r="AX173" t="s">
        <v>1004</v>
      </c>
      <c r="AY173" t="s">
        <v>793</v>
      </c>
      <c r="AZ173">
        <v>816.742567947</v>
      </c>
      <c r="BA173">
        <v>817.56989922298806</v>
      </c>
      <c r="BB173">
        <v>16000</v>
      </c>
      <c r="BO173" t="s">
        <v>793</v>
      </c>
      <c r="BP173">
        <v>886.35063444699995</v>
      </c>
      <c r="BQ173">
        <v>886.93773324601295</v>
      </c>
      <c r="BR173">
        <v>16000</v>
      </c>
      <c r="CR173" t="s">
        <v>792</v>
      </c>
      <c r="CS173">
        <v>901.20145067399994</v>
      </c>
      <c r="CT173">
        <v>901.82476312899905</v>
      </c>
      <c r="CU173">
        <v>15056.564224</v>
      </c>
      <c r="DA173" t="s">
        <v>792</v>
      </c>
      <c r="DB173">
        <v>900.93043745199998</v>
      </c>
      <c r="DC173">
        <v>901.91547229595005</v>
      </c>
      <c r="DD173">
        <v>15051.358208</v>
      </c>
      <c r="DJ173" t="s">
        <v>793</v>
      </c>
      <c r="DK173">
        <v>881.36958210800003</v>
      </c>
      <c r="DL173">
        <v>881.90409878699495</v>
      </c>
      <c r="DM173">
        <v>16000</v>
      </c>
    </row>
  </sheetData>
  <sortState xmlns:xlrd2="http://schemas.microsoft.com/office/spreadsheetml/2017/richdata2" ref="A3:BB173">
    <sortCondition ref="A3:A173"/>
  </sortState>
  <mergeCells count="7">
    <mergeCell ref="BO1:BV1"/>
    <mergeCell ref="CR1:CY1"/>
    <mergeCell ref="DA1:DH1"/>
    <mergeCell ref="DJ1:DQ1"/>
    <mergeCell ref="F1:L1"/>
    <mergeCell ref="N1:T1"/>
    <mergeCell ref="V1:AB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18EE8-57B3-4594-B397-DB3FEE214533}">
  <dimension ref="A1:J172"/>
  <sheetViews>
    <sheetView workbookViewId="0">
      <selection activeCell="A19" sqref="A19"/>
    </sheetView>
  </sheetViews>
  <sheetFormatPr baseColWidth="10" defaultColWidth="8.83203125" defaultRowHeight="15" x14ac:dyDescent="0.2"/>
  <cols>
    <col min="2" max="2" width="13.33203125" bestFit="1" customWidth="1"/>
    <col min="3" max="3" width="15.1640625" bestFit="1" customWidth="1"/>
    <col min="8" max="8" width="12.6640625" bestFit="1" customWidth="1"/>
    <col min="9" max="9" width="14.33203125" bestFit="1" customWidth="1"/>
  </cols>
  <sheetData>
    <row r="1" spans="1:10" x14ac:dyDescent="0.2">
      <c r="A1" t="s">
        <v>784</v>
      </c>
      <c r="B1" t="s">
        <v>827</v>
      </c>
      <c r="C1" t="s">
        <v>829</v>
      </c>
      <c r="D1" t="s">
        <v>831</v>
      </c>
      <c r="G1" t="s">
        <v>784</v>
      </c>
      <c r="H1" t="s">
        <v>828</v>
      </c>
      <c r="I1" t="s">
        <v>830</v>
      </c>
      <c r="J1" t="s">
        <v>832</v>
      </c>
    </row>
    <row r="2" spans="1:10" x14ac:dyDescent="0.2">
      <c r="A2" t="s">
        <v>834</v>
      </c>
      <c r="B2">
        <v>0.11244756</v>
      </c>
      <c r="C2">
        <v>0.118721988</v>
      </c>
      <c r="D2">
        <v>0.113772972</v>
      </c>
      <c r="G2" t="s">
        <v>834</v>
      </c>
      <c r="H2">
        <v>6.3324160000000003</v>
      </c>
      <c r="I2">
        <v>6.2177280000000001</v>
      </c>
      <c r="J2">
        <v>6.2709760000000001</v>
      </c>
    </row>
    <row r="3" spans="1:10" x14ac:dyDescent="0.2">
      <c r="A3" t="s">
        <v>835</v>
      </c>
      <c r="B3">
        <v>0.21960044500000001</v>
      </c>
      <c r="C3">
        <v>0.226832702</v>
      </c>
      <c r="D3">
        <v>0.221840754</v>
      </c>
      <c r="G3" t="s">
        <v>835</v>
      </c>
      <c r="H3">
        <v>6.303744</v>
      </c>
      <c r="I3">
        <v>6.2136319999999996</v>
      </c>
      <c r="J3">
        <v>6.1521920000000003</v>
      </c>
    </row>
    <row r="4" spans="1:10" x14ac:dyDescent="0.2">
      <c r="A4" t="s">
        <v>836</v>
      </c>
      <c r="B4">
        <v>9.7503664000000004E-2</v>
      </c>
      <c r="C4">
        <v>0.102652994</v>
      </c>
      <c r="D4">
        <v>0.100072827</v>
      </c>
      <c r="G4" t="s">
        <v>836</v>
      </c>
      <c r="H4">
        <v>6.2054400000000003</v>
      </c>
      <c r="I4">
        <v>6.1235200000000001</v>
      </c>
      <c r="J4">
        <v>6.0784640000000003</v>
      </c>
    </row>
    <row r="5" spans="1:10" x14ac:dyDescent="0.2">
      <c r="A5" t="s">
        <v>837</v>
      </c>
      <c r="B5">
        <v>0.10509741</v>
      </c>
      <c r="C5">
        <v>0.110802336</v>
      </c>
      <c r="D5">
        <v>0.105313641</v>
      </c>
      <c r="G5" t="s">
        <v>837</v>
      </c>
      <c r="H5">
        <v>6.283264</v>
      </c>
      <c r="I5">
        <v>6.2095359999999999</v>
      </c>
      <c r="J5">
        <v>6.1685759999999998</v>
      </c>
    </row>
    <row r="6" spans="1:10" x14ac:dyDescent="0.2">
      <c r="A6" t="s">
        <v>838</v>
      </c>
      <c r="B6">
        <v>9.4771300000000003E-2</v>
      </c>
      <c r="C6">
        <v>0.100050083</v>
      </c>
      <c r="D6">
        <v>9.5055674000000007E-2</v>
      </c>
      <c r="G6" t="s">
        <v>838</v>
      </c>
      <c r="H6">
        <v>6.0784640000000003</v>
      </c>
      <c r="I6">
        <v>6.0170240000000002</v>
      </c>
      <c r="J6">
        <v>5.9637760000000002</v>
      </c>
    </row>
    <row r="7" spans="1:10" x14ac:dyDescent="0.2">
      <c r="A7" t="s">
        <v>839</v>
      </c>
      <c r="B7">
        <v>0.110762124</v>
      </c>
      <c r="C7">
        <v>0.118666935</v>
      </c>
      <c r="D7">
        <v>0.110468444</v>
      </c>
      <c r="G7" t="s">
        <v>839</v>
      </c>
      <c r="H7">
        <v>6.1890559999999999</v>
      </c>
      <c r="I7">
        <v>6.2095359999999999</v>
      </c>
      <c r="J7">
        <v>6.2136319999999996</v>
      </c>
    </row>
    <row r="8" spans="1:10" x14ac:dyDescent="0.2">
      <c r="A8" t="s">
        <v>840</v>
      </c>
      <c r="B8">
        <v>0.103812877</v>
      </c>
      <c r="C8">
        <v>0.10818058799999999</v>
      </c>
      <c r="D8">
        <v>0.10284903500000001</v>
      </c>
      <c r="G8" t="s">
        <v>840</v>
      </c>
      <c r="H8">
        <v>6.230016</v>
      </c>
      <c r="I8">
        <v>6.0743679999999998</v>
      </c>
      <c r="J8">
        <v>6.1685759999999998</v>
      </c>
    </row>
    <row r="9" spans="1:10" x14ac:dyDescent="0.2">
      <c r="A9" t="s">
        <v>841</v>
      </c>
      <c r="B9">
        <v>0.221237831</v>
      </c>
      <c r="C9">
        <v>0.22956998200000001</v>
      </c>
      <c r="D9">
        <v>0.223540244</v>
      </c>
      <c r="G9" t="s">
        <v>841</v>
      </c>
      <c r="H9">
        <v>6.1849600000000002</v>
      </c>
      <c r="I9">
        <v>6.1235200000000001</v>
      </c>
      <c r="J9">
        <v>6.1890559999999999</v>
      </c>
    </row>
    <row r="10" spans="1:10" x14ac:dyDescent="0.2">
      <c r="A10" t="s">
        <v>842</v>
      </c>
      <c r="B10">
        <v>0.23065189999999999</v>
      </c>
      <c r="C10">
        <v>0.238241487</v>
      </c>
      <c r="D10">
        <v>0.233140597</v>
      </c>
      <c r="G10" t="s">
        <v>842</v>
      </c>
      <c r="H10">
        <v>6.3406079999999996</v>
      </c>
      <c r="I10">
        <v>6.3406079999999996</v>
      </c>
      <c r="J10">
        <v>6.2423039999999999</v>
      </c>
    </row>
    <row r="11" spans="1:10" x14ac:dyDescent="0.2">
      <c r="A11" t="s">
        <v>843</v>
      </c>
      <c r="B11">
        <v>0.133368608</v>
      </c>
      <c r="C11">
        <v>0.13105389100000001</v>
      </c>
      <c r="D11">
        <v>0.13125976</v>
      </c>
      <c r="G11" t="s">
        <v>843</v>
      </c>
      <c r="H11">
        <v>6.557696</v>
      </c>
      <c r="I11">
        <v>6.5863680000000002</v>
      </c>
      <c r="J11">
        <v>6.4757759999999998</v>
      </c>
    </row>
    <row r="12" spans="1:10" x14ac:dyDescent="0.2">
      <c r="A12" t="s">
        <v>844</v>
      </c>
      <c r="B12">
        <v>14.98442949</v>
      </c>
      <c r="C12">
        <v>15.169111383000001</v>
      </c>
      <c r="D12">
        <v>14.991968522000001</v>
      </c>
      <c r="G12" t="s">
        <v>844</v>
      </c>
      <c r="H12">
        <v>12.759040000000001</v>
      </c>
      <c r="I12">
        <v>7.8929919999999996</v>
      </c>
      <c r="J12">
        <v>8.1756159999999998</v>
      </c>
    </row>
    <row r="13" spans="1:10" x14ac:dyDescent="0.2">
      <c r="A13" t="s">
        <v>845</v>
      </c>
      <c r="B13">
        <v>1.103876946</v>
      </c>
      <c r="C13">
        <v>1.1165375120000001</v>
      </c>
      <c r="D13">
        <v>1.110123379</v>
      </c>
      <c r="G13" t="s">
        <v>845</v>
      </c>
      <c r="H13">
        <v>6.8198400000000001</v>
      </c>
      <c r="I13">
        <v>6.7706879999999998</v>
      </c>
      <c r="J13">
        <v>6.7338240000000003</v>
      </c>
    </row>
    <row r="14" spans="1:10" x14ac:dyDescent="0.2">
      <c r="A14" t="s">
        <v>846</v>
      </c>
      <c r="B14">
        <v>0.103748514</v>
      </c>
      <c r="C14">
        <v>0.107384961</v>
      </c>
      <c r="D14">
        <v>0.10867394900000001</v>
      </c>
      <c r="G14" t="s">
        <v>846</v>
      </c>
      <c r="H14">
        <v>6.2545919999999997</v>
      </c>
      <c r="I14">
        <v>6.2668799999999996</v>
      </c>
      <c r="J14">
        <v>6.2054400000000003</v>
      </c>
    </row>
    <row r="15" spans="1:10" x14ac:dyDescent="0.2">
      <c r="A15" t="s">
        <v>847</v>
      </c>
      <c r="B15">
        <v>0.221674606</v>
      </c>
      <c r="C15">
        <v>0.22412981400000001</v>
      </c>
      <c r="D15">
        <v>0.22820383899999999</v>
      </c>
      <c r="G15" t="s">
        <v>847</v>
      </c>
      <c r="H15">
        <v>6.4675840000000004</v>
      </c>
      <c r="I15">
        <v>6.4716800000000001</v>
      </c>
      <c r="J15">
        <v>6.4716800000000001</v>
      </c>
    </row>
    <row r="16" spans="1:10" x14ac:dyDescent="0.2">
      <c r="A16" t="s">
        <v>848</v>
      </c>
      <c r="B16">
        <v>2.024685963</v>
      </c>
      <c r="C16">
        <v>0.38593401300000002</v>
      </c>
      <c r="D16">
        <v>0.39378183500000002</v>
      </c>
      <c r="G16" t="s">
        <v>848</v>
      </c>
      <c r="H16">
        <v>108.04428799999999</v>
      </c>
      <c r="I16">
        <v>8.3066879999999994</v>
      </c>
      <c r="J16">
        <v>9.8672640000000005</v>
      </c>
    </row>
    <row r="17" spans="1:10" x14ac:dyDescent="0.2">
      <c r="A17" t="s">
        <v>849</v>
      </c>
      <c r="B17">
        <v>12.893044789999999</v>
      </c>
      <c r="C17">
        <v>13.077579808999999</v>
      </c>
      <c r="D17">
        <v>12.958363910999999</v>
      </c>
      <c r="G17" t="s">
        <v>849</v>
      </c>
      <c r="H17">
        <v>8.8186879999999999</v>
      </c>
      <c r="I17">
        <v>6.9959680000000004</v>
      </c>
      <c r="J17">
        <v>8.6958079999999995</v>
      </c>
    </row>
    <row r="18" spans="1:10" x14ac:dyDescent="0.2">
      <c r="A18" t="s">
        <v>850</v>
      </c>
      <c r="B18">
        <v>2.676052678</v>
      </c>
      <c r="C18">
        <v>0.74678053899999997</v>
      </c>
      <c r="D18">
        <v>0.74224239000000003</v>
      </c>
      <c r="G18" t="s">
        <v>850</v>
      </c>
      <c r="H18">
        <v>116.744192</v>
      </c>
      <c r="I18">
        <v>6.9959680000000004</v>
      </c>
      <c r="J18">
        <v>9.7443840000000002</v>
      </c>
    </row>
    <row r="19" spans="1:10" x14ac:dyDescent="0.2">
      <c r="A19" t="s">
        <v>851</v>
      </c>
      <c r="B19">
        <v>34.973116781999998</v>
      </c>
      <c r="C19">
        <v>35.598312591999999</v>
      </c>
      <c r="D19">
        <v>35.772169886</v>
      </c>
      <c r="G19" t="s">
        <v>851</v>
      </c>
      <c r="H19">
        <v>7.3564160000000003</v>
      </c>
      <c r="I19">
        <v>6.6437119999999998</v>
      </c>
      <c r="J19">
        <v>6.5986560000000001</v>
      </c>
    </row>
    <row r="20" spans="1:10" x14ac:dyDescent="0.2">
      <c r="A20" t="s">
        <v>852</v>
      </c>
      <c r="B20">
        <v>97.869962161999993</v>
      </c>
      <c r="C20">
        <v>98.121022095000001</v>
      </c>
      <c r="D20">
        <v>101.288234077</v>
      </c>
      <c r="G20" t="s">
        <v>852</v>
      </c>
      <c r="H20">
        <v>8.9210879999999992</v>
      </c>
      <c r="I20">
        <v>7.4588159999999997</v>
      </c>
      <c r="J20">
        <v>7.6513280000000004</v>
      </c>
    </row>
    <row r="21" spans="1:10" x14ac:dyDescent="0.2">
      <c r="A21" t="s">
        <v>853</v>
      </c>
      <c r="B21">
        <v>0.71975614899999996</v>
      </c>
      <c r="C21">
        <v>0.71364370399999999</v>
      </c>
      <c r="D21">
        <v>0.729909162</v>
      </c>
      <c r="G21" t="s">
        <v>853</v>
      </c>
      <c r="H21">
        <v>7.708672</v>
      </c>
      <c r="I21">
        <v>7.12704</v>
      </c>
      <c r="J21">
        <v>7.1352320000000002</v>
      </c>
    </row>
    <row r="22" spans="1:10" x14ac:dyDescent="0.2">
      <c r="A22" t="s">
        <v>854</v>
      </c>
      <c r="B22">
        <v>60.492957058999998</v>
      </c>
      <c r="C22">
        <v>58.751759880999998</v>
      </c>
      <c r="D22">
        <v>62.211099359999999</v>
      </c>
      <c r="G22" t="s">
        <v>854</v>
      </c>
      <c r="H22">
        <v>9.6501760000000001</v>
      </c>
      <c r="I22">
        <v>7.2704000000000004</v>
      </c>
      <c r="J22">
        <v>7.3482240000000001</v>
      </c>
    </row>
    <row r="23" spans="1:10" x14ac:dyDescent="0.2">
      <c r="A23" t="s">
        <v>855</v>
      </c>
      <c r="B23">
        <v>10.85593667</v>
      </c>
      <c r="C23">
        <v>11.095838485</v>
      </c>
      <c r="D23">
        <v>11.784253142000001</v>
      </c>
      <c r="G23" t="s">
        <v>855</v>
      </c>
      <c r="H23">
        <v>18.137087999999999</v>
      </c>
      <c r="I23">
        <v>7.7824</v>
      </c>
      <c r="J23">
        <v>7.909376</v>
      </c>
    </row>
    <row r="24" spans="1:10" x14ac:dyDescent="0.2">
      <c r="A24" t="s">
        <v>856</v>
      </c>
      <c r="B24">
        <v>218.84672197699999</v>
      </c>
      <c r="C24">
        <v>219.57988500299999</v>
      </c>
      <c r="D24">
        <v>224.09513117200001</v>
      </c>
      <c r="G24" t="s">
        <v>856</v>
      </c>
      <c r="H24">
        <v>17.739775999999999</v>
      </c>
      <c r="I24">
        <v>7.4301440000000003</v>
      </c>
      <c r="J24">
        <v>7.6472319999999998</v>
      </c>
    </row>
    <row r="25" spans="1:10" x14ac:dyDescent="0.2">
      <c r="A25" t="s">
        <v>857</v>
      </c>
      <c r="B25">
        <v>39.990834282999998</v>
      </c>
      <c r="C25">
        <v>38.383026800000003</v>
      </c>
      <c r="D25">
        <v>41.355713903999998</v>
      </c>
      <c r="G25" t="s">
        <v>857</v>
      </c>
      <c r="H25">
        <v>9.7443840000000002</v>
      </c>
      <c r="I25">
        <v>7.4997759999999998</v>
      </c>
      <c r="J25">
        <v>7.708672</v>
      </c>
    </row>
    <row r="26" spans="1:10" x14ac:dyDescent="0.2">
      <c r="A26" t="s">
        <v>858</v>
      </c>
      <c r="B26">
        <v>901.61510736599996</v>
      </c>
      <c r="C26">
        <v>900.06407556500005</v>
      </c>
      <c r="D26">
        <v>901.037127983</v>
      </c>
      <c r="G26" t="s">
        <v>858</v>
      </c>
      <c r="H26">
        <v>9172.8814079999993</v>
      </c>
      <c r="I26">
        <v>84.119551999999999</v>
      </c>
      <c r="J26">
        <v>338.931712</v>
      </c>
    </row>
    <row r="27" spans="1:10" x14ac:dyDescent="0.2">
      <c r="A27" t="s">
        <v>859</v>
      </c>
      <c r="B27">
        <v>28.092711954999999</v>
      </c>
      <c r="C27">
        <v>27.018760514</v>
      </c>
      <c r="D27">
        <v>29.181718298</v>
      </c>
      <c r="G27" t="s">
        <v>859</v>
      </c>
      <c r="H27">
        <v>7.0696960000000004</v>
      </c>
      <c r="I27">
        <v>7.0041599999999997</v>
      </c>
      <c r="J27">
        <v>6.9918719999999999</v>
      </c>
    </row>
    <row r="28" spans="1:10" x14ac:dyDescent="0.2">
      <c r="A28" t="s">
        <v>860</v>
      </c>
      <c r="B28">
        <v>900.58322742300004</v>
      </c>
      <c r="C28">
        <v>900.55886227899998</v>
      </c>
      <c r="D28">
        <v>900.63898362500004</v>
      </c>
      <c r="G28" t="s">
        <v>860</v>
      </c>
      <c r="H28">
        <v>80.785408000000004</v>
      </c>
      <c r="I28">
        <v>13.811712</v>
      </c>
      <c r="J28">
        <v>22.58944</v>
      </c>
    </row>
    <row r="29" spans="1:10" x14ac:dyDescent="0.2">
      <c r="A29" t="s">
        <v>861</v>
      </c>
      <c r="B29">
        <v>588.20149731499998</v>
      </c>
      <c r="C29">
        <v>581.83965657199997</v>
      </c>
      <c r="D29">
        <v>579.47119474399994</v>
      </c>
      <c r="G29" t="s">
        <v>861</v>
      </c>
      <c r="H29">
        <v>8.6958079999999995</v>
      </c>
      <c r="I29">
        <v>7.9134719999999996</v>
      </c>
      <c r="J29">
        <v>8.0363520000000008</v>
      </c>
    </row>
    <row r="30" spans="1:10" x14ac:dyDescent="0.2">
      <c r="A30" t="s">
        <v>862</v>
      </c>
      <c r="B30">
        <v>18.724334727999999</v>
      </c>
      <c r="C30">
        <v>18.937684114</v>
      </c>
      <c r="D30">
        <v>18.884020980999999</v>
      </c>
      <c r="G30" t="s">
        <v>862</v>
      </c>
      <c r="H30">
        <v>7.5366400000000002</v>
      </c>
      <c r="I30">
        <v>7.327744</v>
      </c>
      <c r="J30">
        <v>7.2622080000000002</v>
      </c>
    </row>
    <row r="31" spans="1:10" x14ac:dyDescent="0.2">
      <c r="A31" t="s">
        <v>863</v>
      </c>
      <c r="B31">
        <v>901.00444697399996</v>
      </c>
      <c r="C31">
        <v>900.50645831400004</v>
      </c>
      <c r="D31">
        <v>900.26928459700002</v>
      </c>
      <c r="G31" t="s">
        <v>863</v>
      </c>
      <c r="H31">
        <v>11.976704</v>
      </c>
      <c r="I31">
        <v>8.0609280000000005</v>
      </c>
      <c r="J31">
        <v>8.2534399999999994</v>
      </c>
    </row>
    <row r="32" spans="1:10" x14ac:dyDescent="0.2">
      <c r="A32" t="s">
        <v>864</v>
      </c>
      <c r="B32">
        <v>7.1043324700000001</v>
      </c>
      <c r="C32">
        <v>7.654047813</v>
      </c>
      <c r="D32">
        <v>7.0912967929999997</v>
      </c>
      <c r="G32" t="s">
        <v>864</v>
      </c>
      <c r="H32">
        <v>26.923007999999999</v>
      </c>
      <c r="I32">
        <v>7.7824</v>
      </c>
      <c r="J32">
        <v>8.0404479999999996</v>
      </c>
    </row>
    <row r="33" spans="1:10" x14ac:dyDescent="0.2">
      <c r="A33" t="s">
        <v>865</v>
      </c>
      <c r="B33">
        <v>900.38726370300003</v>
      </c>
      <c r="C33">
        <v>900.741932185</v>
      </c>
      <c r="D33">
        <v>900.37790500000006</v>
      </c>
      <c r="G33" t="s">
        <v>865</v>
      </c>
      <c r="H33">
        <v>7.7045760000000003</v>
      </c>
      <c r="I33">
        <v>7.3400319999999999</v>
      </c>
      <c r="J33">
        <v>7.3891840000000002</v>
      </c>
    </row>
    <row r="34" spans="1:10" x14ac:dyDescent="0.2">
      <c r="A34" t="s">
        <v>866</v>
      </c>
      <c r="B34">
        <v>901.01694426100005</v>
      </c>
      <c r="C34">
        <v>901.00057588699997</v>
      </c>
      <c r="D34">
        <v>901.00074585499999</v>
      </c>
      <c r="G34" t="s">
        <v>866</v>
      </c>
      <c r="H34">
        <v>159.428608</v>
      </c>
      <c r="I34">
        <v>8.2001919999999995</v>
      </c>
      <c r="J34">
        <v>8.3066879999999994</v>
      </c>
    </row>
    <row r="35" spans="1:10" x14ac:dyDescent="0.2">
      <c r="A35" t="s">
        <v>867</v>
      </c>
      <c r="B35">
        <v>900.44910126100001</v>
      </c>
      <c r="C35">
        <v>900.69165591499996</v>
      </c>
      <c r="D35">
        <v>900.51190014899998</v>
      </c>
      <c r="G35" t="s">
        <v>867</v>
      </c>
      <c r="H35">
        <v>312.52480000000003</v>
      </c>
      <c r="I35">
        <v>8.4008959999999995</v>
      </c>
      <c r="J35">
        <v>8.7080959999999994</v>
      </c>
    </row>
    <row r="36" spans="1:10" x14ac:dyDescent="0.2">
      <c r="A36" t="s">
        <v>868</v>
      </c>
      <c r="B36">
        <v>101.949352749</v>
      </c>
      <c r="C36">
        <v>104.875892791</v>
      </c>
      <c r="D36">
        <v>103.669575352</v>
      </c>
      <c r="G36" t="s">
        <v>868</v>
      </c>
      <c r="H36">
        <v>7.5202559999999998</v>
      </c>
      <c r="I36">
        <v>7.5161600000000002</v>
      </c>
      <c r="J36">
        <v>7.4670079999999999</v>
      </c>
    </row>
    <row r="37" spans="1:10" x14ac:dyDescent="0.2">
      <c r="A37" t="s">
        <v>869</v>
      </c>
      <c r="B37">
        <v>900.36842554600003</v>
      </c>
      <c r="C37">
        <v>900.42206032399997</v>
      </c>
      <c r="D37">
        <v>900.61249708499997</v>
      </c>
      <c r="G37" t="s">
        <v>869</v>
      </c>
      <c r="H37">
        <v>123.379712</v>
      </c>
      <c r="I37">
        <v>7.9134719999999996</v>
      </c>
      <c r="J37">
        <v>7.9175680000000002</v>
      </c>
    </row>
    <row r="38" spans="1:10" x14ac:dyDescent="0.2">
      <c r="A38" t="s">
        <v>870</v>
      </c>
      <c r="B38">
        <v>900.70740531299998</v>
      </c>
      <c r="C38">
        <v>900.62601442699997</v>
      </c>
      <c r="D38">
        <v>900.71484535299999</v>
      </c>
      <c r="G38" t="s">
        <v>870</v>
      </c>
      <c r="H38">
        <v>114.73715199999999</v>
      </c>
      <c r="I38">
        <v>34.082816000000001</v>
      </c>
      <c r="J38">
        <v>118.14502400000001</v>
      </c>
    </row>
    <row r="39" spans="1:10" x14ac:dyDescent="0.2">
      <c r="A39" t="s">
        <v>871</v>
      </c>
      <c r="B39">
        <v>284.23696863700002</v>
      </c>
      <c r="C39">
        <v>900.58179121700005</v>
      </c>
      <c r="D39">
        <v>900.75066494500004</v>
      </c>
      <c r="G39" t="s">
        <v>871</v>
      </c>
      <c r="H39">
        <v>16000</v>
      </c>
      <c r="I39">
        <v>66.756608</v>
      </c>
      <c r="J39">
        <v>129.417216</v>
      </c>
    </row>
    <row r="40" spans="1:10" x14ac:dyDescent="0.2">
      <c r="A40" t="s">
        <v>872</v>
      </c>
      <c r="B40">
        <v>512.98595976499996</v>
      </c>
      <c r="C40">
        <v>900.87519253300002</v>
      </c>
      <c r="D40">
        <v>300.68815876000002</v>
      </c>
      <c r="G40" t="s">
        <v>872</v>
      </c>
      <c r="H40">
        <v>16000</v>
      </c>
      <c r="I40">
        <v>3886.1824000000001</v>
      </c>
      <c r="J40">
        <v>16000</v>
      </c>
    </row>
    <row r="41" spans="1:10" x14ac:dyDescent="0.2">
      <c r="A41" t="s">
        <v>873</v>
      </c>
      <c r="B41">
        <v>900.39855015000001</v>
      </c>
      <c r="C41">
        <v>900.66302862299995</v>
      </c>
      <c r="D41">
        <v>900.70903568200004</v>
      </c>
      <c r="G41" t="s">
        <v>873</v>
      </c>
      <c r="H41">
        <v>8.3025920000000006</v>
      </c>
      <c r="I41">
        <v>7.909376</v>
      </c>
      <c r="J41">
        <v>8.3025920000000006</v>
      </c>
    </row>
    <row r="42" spans="1:10" x14ac:dyDescent="0.2">
      <c r="A42" t="s">
        <v>874</v>
      </c>
      <c r="B42">
        <v>900.73680904599996</v>
      </c>
      <c r="C42">
        <v>900.69834227499996</v>
      </c>
      <c r="D42">
        <v>900.74183300899995</v>
      </c>
      <c r="G42" t="s">
        <v>874</v>
      </c>
      <c r="H42">
        <v>2067.1733760000002</v>
      </c>
      <c r="I42">
        <v>83.668992000000003</v>
      </c>
      <c r="J42">
        <v>141.34067200000001</v>
      </c>
    </row>
    <row r="43" spans="1:10" x14ac:dyDescent="0.2">
      <c r="A43" t="s">
        <v>875</v>
      </c>
      <c r="B43">
        <v>900.94614853099995</v>
      </c>
      <c r="C43">
        <v>900.67368546700004</v>
      </c>
      <c r="D43">
        <v>900.73926895600005</v>
      </c>
      <c r="G43" t="s">
        <v>875</v>
      </c>
      <c r="H43">
        <v>4929.6670720000002</v>
      </c>
      <c r="I43">
        <v>117.850112</v>
      </c>
      <c r="J43">
        <v>158.25305599999999</v>
      </c>
    </row>
    <row r="44" spans="1:10" x14ac:dyDescent="0.2">
      <c r="A44" t="s">
        <v>876</v>
      </c>
      <c r="B44">
        <v>441.01398707800001</v>
      </c>
      <c r="C44">
        <v>900.76833597899997</v>
      </c>
      <c r="D44">
        <v>900.81984434000003</v>
      </c>
      <c r="G44" t="s">
        <v>876</v>
      </c>
      <c r="H44">
        <v>16000</v>
      </c>
      <c r="I44">
        <v>912.69939199999999</v>
      </c>
      <c r="J44">
        <v>2162.60608</v>
      </c>
    </row>
    <row r="45" spans="1:10" x14ac:dyDescent="0.2">
      <c r="A45" t="s">
        <v>877</v>
      </c>
      <c r="B45">
        <v>900.702252284</v>
      </c>
      <c r="C45">
        <v>900.62503227900004</v>
      </c>
      <c r="D45">
        <v>900.59683742200002</v>
      </c>
      <c r="G45" t="s">
        <v>877</v>
      </c>
      <c r="H45">
        <v>533.90540799999997</v>
      </c>
      <c r="I45">
        <v>8.5729279999999992</v>
      </c>
      <c r="J45">
        <v>9.7443840000000002</v>
      </c>
    </row>
    <row r="46" spans="1:10" x14ac:dyDescent="0.2">
      <c r="A46" t="s">
        <v>878</v>
      </c>
      <c r="B46">
        <v>900.66008242700002</v>
      </c>
      <c r="C46">
        <v>900.71990403799998</v>
      </c>
      <c r="D46">
        <v>900.61001479799995</v>
      </c>
      <c r="G46" t="s">
        <v>878</v>
      </c>
      <c r="H46">
        <v>20.774912</v>
      </c>
      <c r="I46">
        <v>10.006527999999999</v>
      </c>
      <c r="J46">
        <v>14.336</v>
      </c>
    </row>
    <row r="47" spans="1:10" x14ac:dyDescent="0.2">
      <c r="A47" t="s">
        <v>879</v>
      </c>
      <c r="B47">
        <v>901.00476944499997</v>
      </c>
      <c r="C47">
        <v>900.63798706900002</v>
      </c>
      <c r="D47">
        <v>900.54030226299994</v>
      </c>
      <c r="G47" t="s">
        <v>879</v>
      </c>
      <c r="H47">
        <v>14.315519999999999</v>
      </c>
      <c r="I47">
        <v>8.7080959999999994</v>
      </c>
      <c r="J47">
        <v>8.8391680000000008</v>
      </c>
    </row>
    <row r="48" spans="1:10" x14ac:dyDescent="0.2">
      <c r="A48" t="s">
        <v>880</v>
      </c>
      <c r="B48">
        <v>408.48152690400002</v>
      </c>
      <c r="C48">
        <v>900.84312740200005</v>
      </c>
      <c r="D48">
        <v>291.886774559</v>
      </c>
      <c r="G48" t="s">
        <v>880</v>
      </c>
      <c r="H48">
        <v>16000</v>
      </c>
      <c r="I48">
        <v>898.67468799999995</v>
      </c>
      <c r="J48">
        <v>16000</v>
      </c>
    </row>
    <row r="49" spans="1:10" x14ac:dyDescent="0.2">
      <c r="A49" t="s">
        <v>881</v>
      </c>
      <c r="B49">
        <v>900.43066589900002</v>
      </c>
      <c r="C49">
        <v>900.88179477400001</v>
      </c>
      <c r="D49">
        <v>900.67661845500004</v>
      </c>
      <c r="G49" t="s">
        <v>881</v>
      </c>
      <c r="H49">
        <v>15.486976</v>
      </c>
      <c r="I49">
        <v>8.7367679999999996</v>
      </c>
      <c r="J49">
        <v>8.8064</v>
      </c>
    </row>
    <row r="50" spans="1:10" x14ac:dyDescent="0.2">
      <c r="A50" t="s">
        <v>882</v>
      </c>
      <c r="B50">
        <v>900.561535456</v>
      </c>
      <c r="C50">
        <v>900.73007248500005</v>
      </c>
      <c r="D50">
        <v>900.67804614500005</v>
      </c>
      <c r="G50" t="s">
        <v>882</v>
      </c>
      <c r="H50">
        <v>31.764479999999999</v>
      </c>
      <c r="I50">
        <v>9.0562559999999994</v>
      </c>
      <c r="J50">
        <v>9.2282879999999992</v>
      </c>
    </row>
    <row r="51" spans="1:10" x14ac:dyDescent="0.2">
      <c r="A51" t="s">
        <v>883</v>
      </c>
      <c r="B51">
        <v>901.17603198100005</v>
      </c>
      <c r="C51">
        <v>900.70331985200005</v>
      </c>
      <c r="D51">
        <v>900.80257170499999</v>
      </c>
      <c r="G51" t="s">
        <v>883</v>
      </c>
      <c r="H51">
        <v>9054.9493760000005</v>
      </c>
      <c r="I51">
        <v>20.23424</v>
      </c>
      <c r="J51">
        <v>54.439936000000003</v>
      </c>
    </row>
    <row r="52" spans="1:10" x14ac:dyDescent="0.2">
      <c r="A52" t="s">
        <v>884</v>
      </c>
      <c r="B52">
        <v>267.69128387000001</v>
      </c>
      <c r="C52">
        <v>900.22800648199996</v>
      </c>
      <c r="D52">
        <v>901.01228915199999</v>
      </c>
      <c r="G52" t="s">
        <v>884</v>
      </c>
      <c r="H52">
        <v>16000</v>
      </c>
      <c r="I52">
        <v>28.749824</v>
      </c>
      <c r="J52">
        <v>106.217472</v>
      </c>
    </row>
    <row r="53" spans="1:10" x14ac:dyDescent="0.2">
      <c r="A53" t="s">
        <v>885</v>
      </c>
      <c r="B53">
        <v>353.15547186499998</v>
      </c>
      <c r="C53">
        <v>900.80350098400004</v>
      </c>
      <c r="D53">
        <v>900.80656674299996</v>
      </c>
      <c r="G53" t="s">
        <v>885</v>
      </c>
      <c r="H53">
        <v>16000</v>
      </c>
      <c r="I53">
        <v>288.42803199999997</v>
      </c>
      <c r="J53">
        <v>1264.898048</v>
      </c>
    </row>
    <row r="54" spans="1:10" x14ac:dyDescent="0.2">
      <c r="A54" t="s">
        <v>886</v>
      </c>
      <c r="B54">
        <v>304.63777496900002</v>
      </c>
      <c r="C54">
        <v>900.80721770800005</v>
      </c>
      <c r="D54">
        <v>900.56225555799995</v>
      </c>
      <c r="G54" t="s">
        <v>886</v>
      </c>
      <c r="H54">
        <v>16000</v>
      </c>
      <c r="I54">
        <v>67.293183999999997</v>
      </c>
      <c r="J54">
        <v>141.47584000000001</v>
      </c>
    </row>
    <row r="55" spans="1:10" x14ac:dyDescent="0.2">
      <c r="A55" t="s">
        <v>887</v>
      </c>
      <c r="B55">
        <v>362.21633642299997</v>
      </c>
      <c r="C55">
        <v>901.07363602400005</v>
      </c>
      <c r="D55">
        <v>374.22668306600002</v>
      </c>
      <c r="G55" t="s">
        <v>887</v>
      </c>
      <c r="H55">
        <v>16000</v>
      </c>
      <c r="I55">
        <v>14957.645823999999</v>
      </c>
      <c r="J55">
        <v>16000</v>
      </c>
    </row>
    <row r="56" spans="1:10" x14ac:dyDescent="0.2">
      <c r="A56" t="s">
        <v>888</v>
      </c>
      <c r="B56">
        <v>900.44122453299997</v>
      </c>
      <c r="C56">
        <v>900.61743040800002</v>
      </c>
      <c r="D56">
        <v>900.63187374799998</v>
      </c>
      <c r="G56" t="s">
        <v>888</v>
      </c>
      <c r="H56">
        <v>9.9983360000000001</v>
      </c>
      <c r="I56">
        <v>8.7777279999999998</v>
      </c>
      <c r="J56">
        <v>9.2979199999999995</v>
      </c>
    </row>
    <row r="57" spans="1:10" x14ac:dyDescent="0.2">
      <c r="A57" t="s">
        <v>889</v>
      </c>
      <c r="B57">
        <v>900.20509299000003</v>
      </c>
      <c r="C57">
        <v>900.61855696700002</v>
      </c>
      <c r="D57">
        <v>900.61639546499998</v>
      </c>
      <c r="G57" t="s">
        <v>889</v>
      </c>
      <c r="H57">
        <v>13.021184</v>
      </c>
      <c r="I57">
        <v>8.9620479999999993</v>
      </c>
      <c r="J57">
        <v>11.862016000000001</v>
      </c>
    </row>
    <row r="58" spans="1:10" x14ac:dyDescent="0.2">
      <c r="A58" t="s">
        <v>890</v>
      </c>
      <c r="B58">
        <v>301.40909507700002</v>
      </c>
      <c r="C58">
        <v>900.72696442999995</v>
      </c>
      <c r="D58">
        <v>293.36675469599999</v>
      </c>
      <c r="G58" t="s">
        <v>890</v>
      </c>
      <c r="H58">
        <v>16000</v>
      </c>
      <c r="I58">
        <v>7481.135104</v>
      </c>
      <c r="J58">
        <v>16000</v>
      </c>
    </row>
    <row r="59" spans="1:10" x14ac:dyDescent="0.2">
      <c r="A59" t="s">
        <v>891</v>
      </c>
      <c r="B59">
        <v>245.078564148</v>
      </c>
      <c r="C59">
        <v>901.12117005100004</v>
      </c>
      <c r="D59">
        <v>299.48153785900001</v>
      </c>
      <c r="G59" t="s">
        <v>891</v>
      </c>
      <c r="H59">
        <v>16000</v>
      </c>
      <c r="I59">
        <v>14920.269824000001</v>
      </c>
      <c r="J59">
        <v>16000</v>
      </c>
    </row>
    <row r="60" spans="1:10" x14ac:dyDescent="0.2">
      <c r="A60" t="s">
        <v>892</v>
      </c>
      <c r="B60">
        <v>275.43281568700002</v>
      </c>
      <c r="C60">
        <v>900.59310218300004</v>
      </c>
      <c r="D60">
        <v>900.57180929799995</v>
      </c>
      <c r="G60" t="s">
        <v>892</v>
      </c>
      <c r="H60">
        <v>16000</v>
      </c>
      <c r="I60">
        <v>4038.6396159999999</v>
      </c>
      <c r="J60">
        <v>4239.4378239999996</v>
      </c>
    </row>
    <row r="61" spans="1:10" x14ac:dyDescent="0.2">
      <c r="A61" t="s">
        <v>893</v>
      </c>
      <c r="B61">
        <v>334.769823761</v>
      </c>
      <c r="C61">
        <v>900.87606576400003</v>
      </c>
      <c r="D61">
        <v>316.588640446</v>
      </c>
      <c r="G61" t="s">
        <v>893</v>
      </c>
      <c r="H61">
        <v>16000</v>
      </c>
      <c r="I61">
        <v>10440.806399999999</v>
      </c>
      <c r="J61">
        <v>16000</v>
      </c>
    </row>
    <row r="62" spans="1:10" x14ac:dyDescent="0.2">
      <c r="A62" t="s">
        <v>894</v>
      </c>
      <c r="B62">
        <v>900.58257210299996</v>
      </c>
      <c r="C62">
        <v>900.56319834700003</v>
      </c>
      <c r="D62">
        <v>900.56790247599997</v>
      </c>
      <c r="G62" t="s">
        <v>894</v>
      </c>
      <c r="H62">
        <v>8.8268799999999992</v>
      </c>
      <c r="I62">
        <v>8.8350720000000003</v>
      </c>
      <c r="J62">
        <v>8.8432639999999996</v>
      </c>
    </row>
    <row r="63" spans="1:10" x14ac:dyDescent="0.2">
      <c r="A63" t="s">
        <v>895</v>
      </c>
      <c r="B63">
        <v>374.39203918700002</v>
      </c>
      <c r="C63">
        <v>901.26092959599998</v>
      </c>
      <c r="D63">
        <v>808.36159149299999</v>
      </c>
      <c r="G63" t="s">
        <v>895</v>
      </c>
      <c r="H63">
        <v>16000</v>
      </c>
      <c r="I63">
        <v>15194.312704</v>
      </c>
      <c r="J63">
        <v>16000</v>
      </c>
    </row>
    <row r="64" spans="1:10" x14ac:dyDescent="0.2">
      <c r="A64" t="s">
        <v>896</v>
      </c>
      <c r="B64">
        <v>285.26687088199998</v>
      </c>
      <c r="C64">
        <v>900.92642051899998</v>
      </c>
      <c r="D64">
        <v>420.396835082</v>
      </c>
      <c r="G64" t="s">
        <v>896</v>
      </c>
      <c r="H64">
        <v>16000</v>
      </c>
      <c r="I64">
        <v>9631.8750720000007</v>
      </c>
      <c r="J64">
        <v>16000</v>
      </c>
    </row>
    <row r="65" spans="1:10" x14ac:dyDescent="0.2">
      <c r="A65" t="s">
        <v>897</v>
      </c>
      <c r="B65">
        <v>900.59894763700004</v>
      </c>
      <c r="C65">
        <v>900.70924787000001</v>
      </c>
      <c r="D65">
        <v>326.96078279199997</v>
      </c>
      <c r="G65" t="s">
        <v>897</v>
      </c>
      <c r="H65">
        <v>773.341184</v>
      </c>
      <c r="I65">
        <v>2270.2407680000001</v>
      </c>
      <c r="J65">
        <v>16000</v>
      </c>
    </row>
    <row r="66" spans="1:10" x14ac:dyDescent="0.2">
      <c r="A66" t="s">
        <v>898</v>
      </c>
      <c r="B66">
        <v>900.29491190199997</v>
      </c>
      <c r="C66">
        <v>900.71652265700004</v>
      </c>
      <c r="D66">
        <v>900.69381047399997</v>
      </c>
      <c r="G66" t="s">
        <v>898</v>
      </c>
      <c r="H66">
        <v>833.94969600000002</v>
      </c>
      <c r="I66">
        <v>21.54496</v>
      </c>
      <c r="J66">
        <v>43.040768</v>
      </c>
    </row>
    <row r="67" spans="1:10" x14ac:dyDescent="0.2">
      <c r="A67" t="s">
        <v>899</v>
      </c>
      <c r="B67">
        <v>359.24753006700001</v>
      </c>
      <c r="C67">
        <v>900.76153183400004</v>
      </c>
      <c r="D67">
        <v>900.752875668</v>
      </c>
      <c r="G67" t="s">
        <v>899</v>
      </c>
      <c r="H67">
        <v>16000</v>
      </c>
      <c r="I67">
        <v>304.75059199999998</v>
      </c>
      <c r="J67">
        <v>575.27910399999996</v>
      </c>
    </row>
    <row r="68" spans="1:10" x14ac:dyDescent="0.2">
      <c r="A68" t="s">
        <v>900</v>
      </c>
      <c r="B68">
        <v>900.66301364499998</v>
      </c>
      <c r="C68">
        <v>900.52037272099994</v>
      </c>
      <c r="D68">
        <v>900.56751756699998</v>
      </c>
      <c r="G68" t="s">
        <v>900</v>
      </c>
      <c r="H68">
        <v>2636.0872960000002</v>
      </c>
      <c r="I68">
        <v>14.598144</v>
      </c>
      <c r="J68">
        <v>17.887232000000001</v>
      </c>
    </row>
    <row r="69" spans="1:10" x14ac:dyDescent="0.2">
      <c r="A69" t="s">
        <v>901</v>
      </c>
      <c r="B69">
        <v>900.53138542600004</v>
      </c>
      <c r="C69">
        <v>900.62532965900004</v>
      </c>
      <c r="D69">
        <v>900.70315056799996</v>
      </c>
      <c r="G69" t="s">
        <v>901</v>
      </c>
      <c r="H69">
        <v>219.52511999999999</v>
      </c>
      <c r="I69">
        <v>15.937536</v>
      </c>
      <c r="J69">
        <v>27.570176</v>
      </c>
    </row>
    <row r="70" spans="1:10" x14ac:dyDescent="0.2">
      <c r="A70" t="s">
        <v>902</v>
      </c>
      <c r="B70">
        <v>410.08142751999998</v>
      </c>
      <c r="C70">
        <v>900.97381410599996</v>
      </c>
      <c r="D70">
        <v>330.98709936</v>
      </c>
      <c r="G70" t="s">
        <v>902</v>
      </c>
      <c r="H70">
        <v>16000</v>
      </c>
      <c r="I70">
        <v>7359.2872960000004</v>
      </c>
      <c r="J70">
        <v>16000</v>
      </c>
    </row>
    <row r="71" spans="1:10" x14ac:dyDescent="0.2">
      <c r="A71" t="s">
        <v>903</v>
      </c>
      <c r="B71">
        <v>372.54315026699999</v>
      </c>
      <c r="C71">
        <v>900.19326328299996</v>
      </c>
      <c r="D71">
        <v>900.58493330700003</v>
      </c>
      <c r="G71" t="s">
        <v>903</v>
      </c>
      <c r="H71">
        <v>16000</v>
      </c>
      <c r="I71">
        <v>65.736704000000003</v>
      </c>
      <c r="J71">
        <v>2277.56032</v>
      </c>
    </row>
    <row r="72" spans="1:10" x14ac:dyDescent="0.2">
      <c r="A72" t="s">
        <v>904</v>
      </c>
      <c r="B72">
        <v>258.93554730199997</v>
      </c>
      <c r="C72">
        <v>900.73389185799999</v>
      </c>
      <c r="D72">
        <v>900.75519294200001</v>
      </c>
      <c r="G72" t="s">
        <v>904</v>
      </c>
      <c r="H72">
        <v>16000</v>
      </c>
      <c r="I72">
        <v>2062.0697599999999</v>
      </c>
      <c r="J72">
        <v>2515.02592</v>
      </c>
    </row>
    <row r="73" spans="1:10" x14ac:dyDescent="0.2">
      <c r="A73" t="s">
        <v>905</v>
      </c>
      <c r="B73">
        <v>254.275946734</v>
      </c>
      <c r="C73">
        <v>900.49925293000001</v>
      </c>
      <c r="D73">
        <v>900.72834091799996</v>
      </c>
      <c r="G73" t="s">
        <v>905</v>
      </c>
      <c r="H73">
        <v>16000</v>
      </c>
      <c r="I73">
        <v>1092.4236800000001</v>
      </c>
      <c r="J73">
        <v>2225.9712</v>
      </c>
    </row>
    <row r="74" spans="1:10" x14ac:dyDescent="0.2">
      <c r="A74" t="s">
        <v>906</v>
      </c>
      <c r="B74">
        <v>900.420728822</v>
      </c>
      <c r="C74">
        <v>900.20344078300002</v>
      </c>
      <c r="D74">
        <v>900.52688756600003</v>
      </c>
      <c r="G74" t="s">
        <v>906</v>
      </c>
      <c r="H74">
        <v>32.694271999999998</v>
      </c>
      <c r="I74">
        <v>11.583487999999999</v>
      </c>
      <c r="J74">
        <v>20.275200000000002</v>
      </c>
    </row>
    <row r="75" spans="1:10" x14ac:dyDescent="0.2">
      <c r="A75" t="s">
        <v>907</v>
      </c>
      <c r="B75">
        <v>674.48660142899996</v>
      </c>
      <c r="C75">
        <v>900.61311889299998</v>
      </c>
      <c r="D75">
        <v>900.959565097</v>
      </c>
      <c r="G75" t="s">
        <v>907</v>
      </c>
      <c r="H75">
        <v>16000</v>
      </c>
      <c r="I75">
        <v>4594.0654080000004</v>
      </c>
      <c r="J75">
        <v>9696.1126399999994</v>
      </c>
    </row>
    <row r="76" spans="1:10" x14ac:dyDescent="0.2">
      <c r="A76" t="s">
        <v>908</v>
      </c>
      <c r="B76">
        <v>358.23981279600002</v>
      </c>
      <c r="C76">
        <v>901.16613682299999</v>
      </c>
      <c r="D76">
        <v>339.77320929799998</v>
      </c>
      <c r="G76" t="s">
        <v>908</v>
      </c>
      <c r="H76">
        <v>16000</v>
      </c>
      <c r="I76">
        <v>14906.597376</v>
      </c>
      <c r="J76">
        <v>16000</v>
      </c>
    </row>
    <row r="77" spans="1:10" x14ac:dyDescent="0.2">
      <c r="A77" t="s">
        <v>909</v>
      </c>
      <c r="B77">
        <v>388.22756268199998</v>
      </c>
      <c r="C77">
        <v>900.99737023099999</v>
      </c>
      <c r="D77">
        <v>901.00127026200005</v>
      </c>
      <c r="G77" t="s">
        <v>909</v>
      </c>
      <c r="H77">
        <v>16000</v>
      </c>
      <c r="I77">
        <v>10.788864</v>
      </c>
      <c r="J77">
        <v>13.414400000000001</v>
      </c>
    </row>
    <row r="78" spans="1:10" x14ac:dyDescent="0.2">
      <c r="A78" t="s">
        <v>910</v>
      </c>
      <c r="B78">
        <v>329.31005549000002</v>
      </c>
      <c r="C78">
        <v>901.65688570600003</v>
      </c>
      <c r="D78">
        <v>264.983251198</v>
      </c>
      <c r="G78" t="s">
        <v>910</v>
      </c>
      <c r="H78">
        <v>16000</v>
      </c>
      <c r="I78">
        <v>15309.49632</v>
      </c>
      <c r="J78">
        <v>16000</v>
      </c>
    </row>
    <row r="79" spans="1:10" x14ac:dyDescent="0.2">
      <c r="A79" t="s">
        <v>911</v>
      </c>
      <c r="B79">
        <v>866.81160497999997</v>
      </c>
      <c r="C79">
        <v>900.57624852499998</v>
      </c>
      <c r="D79">
        <v>900.610461364</v>
      </c>
      <c r="G79" t="s">
        <v>911</v>
      </c>
      <c r="H79">
        <v>16000</v>
      </c>
      <c r="I79">
        <v>304.79155200000002</v>
      </c>
      <c r="J79">
        <v>504.79513600000001</v>
      </c>
    </row>
    <row r="80" spans="1:10" x14ac:dyDescent="0.2">
      <c r="A80" t="s">
        <v>912</v>
      </c>
      <c r="B80">
        <v>417.370231547</v>
      </c>
      <c r="C80">
        <v>901.29184270500002</v>
      </c>
      <c r="D80">
        <v>343.39237315899999</v>
      </c>
      <c r="G80" t="s">
        <v>912</v>
      </c>
      <c r="H80">
        <v>16000</v>
      </c>
      <c r="I80">
        <v>15830.695936</v>
      </c>
      <c r="J80">
        <v>16000</v>
      </c>
    </row>
    <row r="81" spans="1:10" x14ac:dyDescent="0.2">
      <c r="A81" t="s">
        <v>913</v>
      </c>
      <c r="B81">
        <v>292.96268531999999</v>
      </c>
      <c r="C81">
        <v>900.28142052400005</v>
      </c>
      <c r="D81">
        <v>900.62451302700003</v>
      </c>
      <c r="G81" t="s">
        <v>913</v>
      </c>
      <c r="H81">
        <v>16000</v>
      </c>
      <c r="I81">
        <v>21.54496</v>
      </c>
      <c r="J81">
        <v>28.225536000000002</v>
      </c>
    </row>
    <row r="82" spans="1:10" x14ac:dyDescent="0.2">
      <c r="A82" t="s">
        <v>914</v>
      </c>
      <c r="B82">
        <v>264.60447728499997</v>
      </c>
      <c r="C82">
        <v>592.45020705900004</v>
      </c>
      <c r="D82">
        <v>314.53130529600003</v>
      </c>
      <c r="G82" t="s">
        <v>914</v>
      </c>
      <c r="H82">
        <v>16000</v>
      </c>
      <c r="I82">
        <v>16000</v>
      </c>
      <c r="J82">
        <v>16000</v>
      </c>
    </row>
    <row r="83" spans="1:10" x14ac:dyDescent="0.2">
      <c r="A83" t="s">
        <v>915</v>
      </c>
      <c r="B83">
        <v>454.91475658100001</v>
      </c>
      <c r="C83">
        <v>900.81580006800004</v>
      </c>
      <c r="D83">
        <v>315.54649961400003</v>
      </c>
      <c r="G83" t="s">
        <v>915</v>
      </c>
      <c r="H83">
        <v>16000</v>
      </c>
      <c r="I83">
        <v>9467.0766079999994</v>
      </c>
      <c r="J83">
        <v>16000</v>
      </c>
    </row>
    <row r="84" spans="1:10" x14ac:dyDescent="0.2">
      <c r="A84" t="s">
        <v>916</v>
      </c>
      <c r="B84">
        <v>301.25968962399998</v>
      </c>
      <c r="C84">
        <v>900.42025803700005</v>
      </c>
      <c r="D84">
        <v>900.56801208900004</v>
      </c>
      <c r="G84" t="s">
        <v>916</v>
      </c>
      <c r="H84">
        <v>16000</v>
      </c>
      <c r="I84">
        <v>943.23916799999995</v>
      </c>
      <c r="J84">
        <v>1172.226048</v>
      </c>
    </row>
    <row r="85" spans="1:10" x14ac:dyDescent="0.2">
      <c r="A85" t="s">
        <v>917</v>
      </c>
      <c r="B85">
        <v>271.32480610300001</v>
      </c>
      <c r="C85">
        <v>782.29875594400005</v>
      </c>
      <c r="D85">
        <v>243.529617159</v>
      </c>
      <c r="G85" t="s">
        <v>917</v>
      </c>
      <c r="H85">
        <v>16000</v>
      </c>
      <c r="I85">
        <v>16000</v>
      </c>
      <c r="J85">
        <v>16000</v>
      </c>
    </row>
    <row r="86" spans="1:10" x14ac:dyDescent="0.2">
      <c r="A86" t="s">
        <v>918</v>
      </c>
      <c r="B86">
        <v>348.37115927100001</v>
      </c>
      <c r="C86">
        <v>900.74761833900004</v>
      </c>
      <c r="D86">
        <v>900.88740633600003</v>
      </c>
      <c r="G86" t="s">
        <v>918</v>
      </c>
      <c r="H86">
        <v>16000</v>
      </c>
      <c r="I86">
        <v>10332.061696000001</v>
      </c>
      <c r="J86">
        <v>15441.301503999999</v>
      </c>
    </row>
    <row r="87" spans="1:10" x14ac:dyDescent="0.2">
      <c r="A87" t="s">
        <v>919</v>
      </c>
      <c r="B87">
        <v>274.56951914199999</v>
      </c>
      <c r="C87">
        <v>663.28898936500002</v>
      </c>
      <c r="D87">
        <v>323.44657573400002</v>
      </c>
      <c r="G87" t="s">
        <v>919</v>
      </c>
      <c r="H87">
        <v>16000</v>
      </c>
      <c r="I87">
        <v>16000</v>
      </c>
      <c r="J87">
        <v>16000</v>
      </c>
    </row>
    <row r="88" spans="1:10" x14ac:dyDescent="0.2">
      <c r="A88" t="s">
        <v>920</v>
      </c>
      <c r="B88">
        <v>250.412556239</v>
      </c>
      <c r="C88">
        <v>900.36913307099996</v>
      </c>
      <c r="D88">
        <v>900.69767796500003</v>
      </c>
      <c r="G88" t="s">
        <v>920</v>
      </c>
      <c r="H88">
        <v>16000</v>
      </c>
      <c r="I88">
        <v>3666.0346880000002</v>
      </c>
      <c r="J88">
        <v>3724.7221760000002</v>
      </c>
    </row>
    <row r="89" spans="1:10" x14ac:dyDescent="0.2">
      <c r="A89" t="s">
        <v>921</v>
      </c>
      <c r="B89">
        <v>262.63546230899999</v>
      </c>
      <c r="C89">
        <v>704.30006337099996</v>
      </c>
      <c r="D89">
        <v>425.866931185</v>
      </c>
      <c r="G89" t="s">
        <v>921</v>
      </c>
      <c r="H89">
        <v>16000</v>
      </c>
      <c r="I89">
        <v>16000</v>
      </c>
      <c r="J89">
        <v>16000</v>
      </c>
    </row>
    <row r="90" spans="1:10" x14ac:dyDescent="0.2">
      <c r="A90" t="s">
        <v>922</v>
      </c>
      <c r="B90">
        <v>290.33938035800003</v>
      </c>
      <c r="C90">
        <v>900.92998198800001</v>
      </c>
      <c r="D90">
        <v>294.09185460499998</v>
      </c>
      <c r="G90" t="s">
        <v>922</v>
      </c>
      <c r="H90">
        <v>16000</v>
      </c>
      <c r="I90">
        <v>10521.063424</v>
      </c>
      <c r="J90">
        <v>16000</v>
      </c>
    </row>
    <row r="91" spans="1:10" x14ac:dyDescent="0.2">
      <c r="A91" t="s">
        <v>923</v>
      </c>
      <c r="B91">
        <v>260.84487040300002</v>
      </c>
      <c r="C91">
        <v>900.65596497800004</v>
      </c>
      <c r="D91">
        <v>235.278147838</v>
      </c>
      <c r="G91" t="s">
        <v>923</v>
      </c>
      <c r="H91">
        <v>16000</v>
      </c>
      <c r="I91">
        <v>7385.82528</v>
      </c>
      <c r="J91">
        <v>16000</v>
      </c>
    </row>
    <row r="92" spans="1:10" x14ac:dyDescent="0.2">
      <c r="A92" t="s">
        <v>924</v>
      </c>
      <c r="B92">
        <v>580.43816354600006</v>
      </c>
      <c r="C92">
        <v>900.45897315399998</v>
      </c>
      <c r="D92">
        <v>900.25743851899995</v>
      </c>
      <c r="G92" t="s">
        <v>924</v>
      </c>
      <c r="H92">
        <v>16000</v>
      </c>
      <c r="I92">
        <v>30.457856</v>
      </c>
      <c r="J92">
        <v>42.647551999999997</v>
      </c>
    </row>
    <row r="93" spans="1:10" x14ac:dyDescent="0.2">
      <c r="A93" t="s">
        <v>925</v>
      </c>
      <c r="B93">
        <v>244.57435914300001</v>
      </c>
      <c r="C93">
        <v>900.71818734500005</v>
      </c>
      <c r="D93">
        <v>318.26600759399997</v>
      </c>
      <c r="G93" t="s">
        <v>925</v>
      </c>
      <c r="H93">
        <v>16000</v>
      </c>
      <c r="I93">
        <v>8522.3792639999992</v>
      </c>
      <c r="J93">
        <v>16000</v>
      </c>
    </row>
    <row r="94" spans="1:10" x14ac:dyDescent="0.2">
      <c r="A94" t="s">
        <v>926</v>
      </c>
      <c r="B94">
        <v>314.65199078500001</v>
      </c>
      <c r="C94">
        <v>900.80344073200001</v>
      </c>
      <c r="D94">
        <v>667.359824688</v>
      </c>
      <c r="G94" t="s">
        <v>926</v>
      </c>
      <c r="H94">
        <v>16000</v>
      </c>
      <c r="I94">
        <v>7514.9352959999997</v>
      </c>
      <c r="J94">
        <v>16000</v>
      </c>
    </row>
    <row r="95" spans="1:10" x14ac:dyDescent="0.2">
      <c r="A95" t="s">
        <v>927</v>
      </c>
      <c r="B95">
        <v>249.62426269299999</v>
      </c>
      <c r="C95">
        <v>901.329464723</v>
      </c>
      <c r="D95">
        <v>310.288242287</v>
      </c>
      <c r="G95" t="s">
        <v>927</v>
      </c>
      <c r="H95">
        <v>16000</v>
      </c>
      <c r="I95">
        <v>14911.746048000001</v>
      </c>
      <c r="J95">
        <v>16000</v>
      </c>
    </row>
    <row r="96" spans="1:10" x14ac:dyDescent="0.2">
      <c r="A96" t="s">
        <v>928</v>
      </c>
      <c r="B96">
        <v>900.47565701200006</v>
      </c>
      <c r="C96">
        <v>900.63067360000002</v>
      </c>
      <c r="D96">
        <v>900.59843831199998</v>
      </c>
      <c r="G96" t="s">
        <v>928</v>
      </c>
      <c r="H96">
        <v>17.539072000000001</v>
      </c>
      <c r="I96">
        <v>14.635007999999999</v>
      </c>
      <c r="J96">
        <v>15.38048</v>
      </c>
    </row>
    <row r="97" spans="1:10" x14ac:dyDescent="0.2">
      <c r="A97" t="s">
        <v>929</v>
      </c>
      <c r="B97">
        <v>314.24517816399998</v>
      </c>
      <c r="C97">
        <v>900.98780075800005</v>
      </c>
      <c r="D97">
        <v>495.25355326200003</v>
      </c>
      <c r="G97" t="s">
        <v>929</v>
      </c>
      <c r="H97">
        <v>16000</v>
      </c>
      <c r="I97">
        <v>14905.683967999999</v>
      </c>
      <c r="J97">
        <v>16000</v>
      </c>
    </row>
    <row r="98" spans="1:10" x14ac:dyDescent="0.2">
      <c r="A98" t="s">
        <v>930</v>
      </c>
      <c r="B98">
        <v>260.58133175699999</v>
      </c>
      <c r="C98">
        <v>900.74241049600005</v>
      </c>
      <c r="D98">
        <v>233.588615465</v>
      </c>
      <c r="G98" t="s">
        <v>930</v>
      </c>
      <c r="H98">
        <v>16000</v>
      </c>
      <c r="I98">
        <v>8621.2157439999992</v>
      </c>
      <c r="J98">
        <v>16000</v>
      </c>
    </row>
    <row r="99" spans="1:10" x14ac:dyDescent="0.2">
      <c r="A99" t="s">
        <v>931</v>
      </c>
      <c r="B99">
        <v>275.57270638099999</v>
      </c>
      <c r="C99">
        <v>871.35900070299999</v>
      </c>
      <c r="D99">
        <v>347.33163368700002</v>
      </c>
      <c r="G99" t="s">
        <v>931</v>
      </c>
      <c r="H99">
        <v>16000</v>
      </c>
      <c r="I99">
        <v>16000</v>
      </c>
      <c r="J99">
        <v>16000</v>
      </c>
    </row>
    <row r="100" spans="1:10" x14ac:dyDescent="0.2">
      <c r="A100" t="s">
        <v>932</v>
      </c>
      <c r="B100">
        <v>579.44181760499998</v>
      </c>
      <c r="C100">
        <v>901.000313914</v>
      </c>
      <c r="D100">
        <v>360.17948710100001</v>
      </c>
      <c r="G100" t="s">
        <v>932</v>
      </c>
      <c r="H100">
        <v>16000</v>
      </c>
      <c r="I100">
        <v>14943.694847999999</v>
      </c>
      <c r="J100">
        <v>16000</v>
      </c>
    </row>
    <row r="101" spans="1:10" x14ac:dyDescent="0.2">
      <c r="A101" t="s">
        <v>933</v>
      </c>
      <c r="B101">
        <v>276.798249849</v>
      </c>
      <c r="C101">
        <v>901.19518481199998</v>
      </c>
      <c r="D101">
        <v>625.67023580099999</v>
      </c>
      <c r="G101" t="s">
        <v>933</v>
      </c>
      <c r="H101">
        <v>16000</v>
      </c>
      <c r="I101">
        <v>15003.078656</v>
      </c>
      <c r="J101">
        <v>16000</v>
      </c>
    </row>
    <row r="102" spans="1:10" x14ac:dyDescent="0.2">
      <c r="A102" t="s">
        <v>934</v>
      </c>
      <c r="B102">
        <v>283.46968845800001</v>
      </c>
      <c r="C102">
        <v>901.10289617900003</v>
      </c>
      <c r="D102">
        <v>274.973767603</v>
      </c>
      <c r="G102" t="s">
        <v>934</v>
      </c>
      <c r="H102">
        <v>16000</v>
      </c>
      <c r="I102">
        <v>10300.735488</v>
      </c>
      <c r="J102">
        <v>16000</v>
      </c>
    </row>
    <row r="103" spans="1:10" x14ac:dyDescent="0.2">
      <c r="A103" t="s">
        <v>935</v>
      </c>
      <c r="B103">
        <v>240.79882419899999</v>
      </c>
      <c r="C103">
        <v>900.73601434600005</v>
      </c>
      <c r="D103">
        <v>378.66010631</v>
      </c>
      <c r="G103" t="s">
        <v>935</v>
      </c>
      <c r="H103">
        <v>16000</v>
      </c>
      <c r="I103">
        <v>10185.46176</v>
      </c>
      <c r="J103">
        <v>16000</v>
      </c>
    </row>
    <row r="104" spans="1:10" x14ac:dyDescent="0.2">
      <c r="A104" t="s">
        <v>936</v>
      </c>
      <c r="B104">
        <v>269.47697736399999</v>
      </c>
      <c r="C104">
        <v>743.21841240900005</v>
      </c>
      <c r="D104">
        <v>224.29583413899999</v>
      </c>
      <c r="G104" t="s">
        <v>936</v>
      </c>
      <c r="H104">
        <v>16000</v>
      </c>
      <c r="I104">
        <v>16000</v>
      </c>
      <c r="J104">
        <v>16000</v>
      </c>
    </row>
    <row r="105" spans="1:10" x14ac:dyDescent="0.2">
      <c r="A105" t="s">
        <v>937</v>
      </c>
      <c r="B105">
        <v>337.81699579299999</v>
      </c>
      <c r="C105">
        <v>786.88196169599996</v>
      </c>
      <c r="D105">
        <v>317.85088365199999</v>
      </c>
      <c r="G105" t="s">
        <v>937</v>
      </c>
      <c r="H105">
        <v>16000</v>
      </c>
      <c r="I105">
        <v>16000</v>
      </c>
      <c r="J105">
        <v>16000</v>
      </c>
    </row>
    <row r="106" spans="1:10" x14ac:dyDescent="0.2">
      <c r="A106" t="s">
        <v>938</v>
      </c>
      <c r="B106">
        <v>267.942629275</v>
      </c>
      <c r="C106">
        <v>901.00845111399997</v>
      </c>
      <c r="D106">
        <v>458.920008741</v>
      </c>
      <c r="G106" t="s">
        <v>938</v>
      </c>
      <c r="H106">
        <v>16000</v>
      </c>
      <c r="I106">
        <v>14924.554239999999</v>
      </c>
      <c r="J106">
        <v>16000</v>
      </c>
    </row>
    <row r="107" spans="1:10" x14ac:dyDescent="0.2">
      <c r="A107" t="s">
        <v>939</v>
      </c>
      <c r="B107">
        <v>343.37022203399999</v>
      </c>
      <c r="C107">
        <v>900.91634880599997</v>
      </c>
      <c r="D107">
        <v>253.841023331</v>
      </c>
      <c r="G107" t="s">
        <v>939</v>
      </c>
      <c r="H107">
        <v>16000</v>
      </c>
      <c r="I107">
        <v>8135.3400320000001</v>
      </c>
      <c r="J107">
        <v>16000</v>
      </c>
    </row>
    <row r="108" spans="1:10" x14ac:dyDescent="0.2">
      <c r="A108" t="s">
        <v>940</v>
      </c>
      <c r="B108">
        <v>328.44329129400001</v>
      </c>
      <c r="C108">
        <v>900.96021605600004</v>
      </c>
      <c r="D108">
        <v>314.91615663699997</v>
      </c>
      <c r="G108" t="s">
        <v>940</v>
      </c>
      <c r="H108">
        <v>16000</v>
      </c>
      <c r="I108">
        <v>14971.211776</v>
      </c>
      <c r="J108">
        <v>16000</v>
      </c>
    </row>
    <row r="109" spans="1:10" x14ac:dyDescent="0.2">
      <c r="A109" t="s">
        <v>941</v>
      </c>
      <c r="B109">
        <v>304.29222677600001</v>
      </c>
      <c r="C109">
        <v>684.75595167200004</v>
      </c>
      <c r="D109">
        <v>341.88798187499998</v>
      </c>
      <c r="G109" t="s">
        <v>941</v>
      </c>
      <c r="H109">
        <v>16000</v>
      </c>
      <c r="I109">
        <v>16000</v>
      </c>
      <c r="J109">
        <v>16000</v>
      </c>
    </row>
    <row r="110" spans="1:10" x14ac:dyDescent="0.2">
      <c r="A110" t="s">
        <v>942</v>
      </c>
      <c r="B110">
        <v>234.739752428</v>
      </c>
      <c r="C110">
        <v>900.796229584</v>
      </c>
      <c r="D110">
        <v>643.863641164</v>
      </c>
      <c r="G110" t="s">
        <v>942</v>
      </c>
      <c r="H110">
        <v>16000</v>
      </c>
      <c r="I110">
        <v>7410.0613119999998</v>
      </c>
      <c r="J110">
        <v>16000</v>
      </c>
    </row>
    <row r="111" spans="1:10" x14ac:dyDescent="0.2">
      <c r="A111" t="s">
        <v>943</v>
      </c>
      <c r="B111">
        <v>248.36849641800001</v>
      </c>
      <c r="C111">
        <v>901.20382762199995</v>
      </c>
      <c r="D111">
        <v>687.99533256999996</v>
      </c>
      <c r="G111" t="s">
        <v>943</v>
      </c>
      <c r="H111">
        <v>16000</v>
      </c>
      <c r="I111">
        <v>14961.782784000001</v>
      </c>
      <c r="J111">
        <v>16000</v>
      </c>
    </row>
    <row r="112" spans="1:10" x14ac:dyDescent="0.2">
      <c r="A112" t="s">
        <v>944</v>
      </c>
      <c r="B112">
        <v>371.58849856099999</v>
      </c>
      <c r="C112">
        <v>901.01939975599998</v>
      </c>
      <c r="D112">
        <v>337.49577777299999</v>
      </c>
      <c r="G112" t="s">
        <v>944</v>
      </c>
      <c r="H112">
        <v>16000</v>
      </c>
      <c r="I112">
        <v>14905.962496</v>
      </c>
      <c r="J112">
        <v>16000</v>
      </c>
    </row>
    <row r="113" spans="1:10" x14ac:dyDescent="0.2">
      <c r="A113" t="s">
        <v>945</v>
      </c>
      <c r="B113">
        <v>552.37968263699997</v>
      </c>
      <c r="C113">
        <v>900.94177709899998</v>
      </c>
      <c r="D113">
        <v>901.15080430499995</v>
      </c>
      <c r="G113" t="s">
        <v>945</v>
      </c>
      <c r="H113">
        <v>16000</v>
      </c>
      <c r="I113">
        <v>10020.491264</v>
      </c>
      <c r="J113">
        <v>12243.918847999999</v>
      </c>
    </row>
    <row r="114" spans="1:10" x14ac:dyDescent="0.2">
      <c r="A114" t="s">
        <v>946</v>
      </c>
      <c r="B114">
        <v>243.15779695500001</v>
      </c>
      <c r="C114">
        <v>900.87342429399996</v>
      </c>
      <c r="D114">
        <v>315.044307135</v>
      </c>
      <c r="G114" t="s">
        <v>946</v>
      </c>
      <c r="H114">
        <v>16000</v>
      </c>
      <c r="I114">
        <v>9184.8089600000003</v>
      </c>
      <c r="J114">
        <v>16000</v>
      </c>
    </row>
    <row r="115" spans="1:10" x14ac:dyDescent="0.2">
      <c r="A115" t="s">
        <v>947</v>
      </c>
      <c r="B115">
        <v>357.00022468600002</v>
      </c>
      <c r="C115">
        <v>901.05077969599995</v>
      </c>
      <c r="D115">
        <v>901.29869364700005</v>
      </c>
      <c r="G115" t="s">
        <v>947</v>
      </c>
      <c r="H115">
        <v>16000</v>
      </c>
      <c r="I115">
        <v>15258.398719999999</v>
      </c>
      <c r="J115">
        <v>15414.505472000001</v>
      </c>
    </row>
    <row r="116" spans="1:10" x14ac:dyDescent="0.2">
      <c r="A116" t="s">
        <v>948</v>
      </c>
      <c r="B116">
        <v>231.61617044799999</v>
      </c>
      <c r="C116">
        <v>900.67826023400005</v>
      </c>
      <c r="D116">
        <v>333.38547047600002</v>
      </c>
      <c r="G116" t="s">
        <v>948</v>
      </c>
      <c r="H116">
        <v>16000</v>
      </c>
      <c r="I116">
        <v>7444.3980799999999</v>
      </c>
      <c r="J116">
        <v>16000</v>
      </c>
    </row>
    <row r="117" spans="1:10" x14ac:dyDescent="0.2">
      <c r="A117" t="s">
        <v>949</v>
      </c>
      <c r="B117">
        <v>259.16878341</v>
      </c>
      <c r="C117">
        <v>901.05255565699997</v>
      </c>
      <c r="D117">
        <v>321.05283604900001</v>
      </c>
      <c r="G117" t="s">
        <v>949</v>
      </c>
      <c r="H117">
        <v>16000</v>
      </c>
      <c r="I117">
        <v>9544.6958080000004</v>
      </c>
      <c r="J117">
        <v>16000</v>
      </c>
    </row>
    <row r="118" spans="1:10" x14ac:dyDescent="0.2">
      <c r="A118" t="s">
        <v>950</v>
      </c>
      <c r="B118">
        <v>243.76971373699999</v>
      </c>
      <c r="C118">
        <v>900.95453154500001</v>
      </c>
      <c r="D118">
        <v>363.76030083400002</v>
      </c>
      <c r="G118" t="s">
        <v>950</v>
      </c>
      <c r="H118">
        <v>16000</v>
      </c>
      <c r="I118">
        <v>7422.0298240000002</v>
      </c>
      <c r="J118">
        <v>16000</v>
      </c>
    </row>
    <row r="119" spans="1:10" x14ac:dyDescent="0.2">
      <c r="A119" t="s">
        <v>951</v>
      </c>
      <c r="B119">
        <v>258.32480092399999</v>
      </c>
      <c r="C119">
        <v>782.445824786</v>
      </c>
      <c r="D119">
        <v>378.569240304</v>
      </c>
      <c r="G119" t="s">
        <v>951</v>
      </c>
      <c r="H119">
        <v>16000</v>
      </c>
      <c r="I119">
        <v>16000</v>
      </c>
      <c r="J119">
        <v>16000</v>
      </c>
    </row>
    <row r="120" spans="1:10" x14ac:dyDescent="0.2">
      <c r="A120" t="s">
        <v>952</v>
      </c>
      <c r="B120">
        <v>285.222728335</v>
      </c>
      <c r="C120">
        <v>901.10427113399999</v>
      </c>
      <c r="D120">
        <v>308.859145227</v>
      </c>
      <c r="G120" t="s">
        <v>952</v>
      </c>
      <c r="H120">
        <v>16000</v>
      </c>
      <c r="I120">
        <v>14914.207743999999</v>
      </c>
      <c r="J120">
        <v>16000</v>
      </c>
    </row>
    <row r="121" spans="1:10" x14ac:dyDescent="0.2">
      <c r="A121" t="s">
        <v>953</v>
      </c>
      <c r="B121">
        <v>318.10460129500001</v>
      </c>
      <c r="C121">
        <v>901.11981507500002</v>
      </c>
      <c r="D121">
        <v>310.61370849399998</v>
      </c>
      <c r="G121" t="s">
        <v>953</v>
      </c>
      <c r="H121">
        <v>16000</v>
      </c>
      <c r="I121">
        <v>14955.364352000001</v>
      </c>
      <c r="J121">
        <v>16000</v>
      </c>
    </row>
    <row r="122" spans="1:10" x14ac:dyDescent="0.2">
      <c r="A122" t="s">
        <v>954</v>
      </c>
      <c r="B122">
        <v>277.56154948599999</v>
      </c>
      <c r="C122">
        <v>737.48011999799996</v>
      </c>
      <c r="D122">
        <v>354.56063649100003</v>
      </c>
      <c r="G122" t="s">
        <v>954</v>
      </c>
      <c r="H122">
        <v>16000</v>
      </c>
      <c r="I122">
        <v>16000</v>
      </c>
      <c r="J122">
        <v>16000</v>
      </c>
    </row>
    <row r="123" spans="1:10" x14ac:dyDescent="0.2">
      <c r="A123" t="s">
        <v>955</v>
      </c>
      <c r="B123">
        <v>235.699196046</v>
      </c>
      <c r="C123">
        <v>749.01904489799995</v>
      </c>
      <c r="D123">
        <v>362.02640970900001</v>
      </c>
      <c r="G123" t="s">
        <v>955</v>
      </c>
      <c r="H123">
        <v>16000</v>
      </c>
      <c r="I123">
        <v>16000</v>
      </c>
      <c r="J123">
        <v>16000</v>
      </c>
    </row>
    <row r="124" spans="1:10" x14ac:dyDescent="0.2">
      <c r="A124" t="s">
        <v>956</v>
      </c>
      <c r="B124">
        <v>264.69390834000001</v>
      </c>
      <c r="C124">
        <v>901.037702846</v>
      </c>
      <c r="D124">
        <v>234.092200977</v>
      </c>
      <c r="G124" t="s">
        <v>956</v>
      </c>
      <c r="H124">
        <v>16000</v>
      </c>
      <c r="I124">
        <v>14931.116032</v>
      </c>
      <c r="J124">
        <v>16000</v>
      </c>
    </row>
    <row r="125" spans="1:10" x14ac:dyDescent="0.2">
      <c r="A125" t="s">
        <v>957</v>
      </c>
      <c r="B125">
        <v>389.89451014799999</v>
      </c>
      <c r="C125">
        <v>900.759742254</v>
      </c>
      <c r="D125">
        <v>239.19009989400001</v>
      </c>
      <c r="G125" t="s">
        <v>957</v>
      </c>
      <c r="H125">
        <v>16000</v>
      </c>
      <c r="I125">
        <v>8517.5992320000005</v>
      </c>
      <c r="J125">
        <v>16000</v>
      </c>
    </row>
    <row r="126" spans="1:10" x14ac:dyDescent="0.2">
      <c r="A126" t="s">
        <v>958</v>
      </c>
      <c r="B126">
        <v>335.482892064</v>
      </c>
      <c r="C126">
        <v>900.861964908</v>
      </c>
      <c r="D126">
        <v>901.34047057600003</v>
      </c>
      <c r="G126" t="s">
        <v>958</v>
      </c>
      <c r="H126">
        <v>16000</v>
      </c>
      <c r="I126">
        <v>9655.4639360000001</v>
      </c>
      <c r="J126">
        <v>15150.600192</v>
      </c>
    </row>
    <row r="127" spans="1:10" x14ac:dyDescent="0.2">
      <c r="A127" t="s">
        <v>959</v>
      </c>
      <c r="B127">
        <v>281.96022654500001</v>
      </c>
      <c r="C127">
        <v>889.46840442300004</v>
      </c>
      <c r="D127">
        <v>326.931436491</v>
      </c>
      <c r="G127" t="s">
        <v>959</v>
      </c>
      <c r="H127">
        <v>16000</v>
      </c>
      <c r="I127">
        <v>16000</v>
      </c>
      <c r="J127">
        <v>16000</v>
      </c>
    </row>
    <row r="128" spans="1:10" x14ac:dyDescent="0.2">
      <c r="A128" t="s">
        <v>960</v>
      </c>
      <c r="B128">
        <v>300.14612388799998</v>
      </c>
      <c r="C128">
        <v>900.80388904999995</v>
      </c>
      <c r="D128">
        <v>358.632021726</v>
      </c>
      <c r="G128" t="s">
        <v>960</v>
      </c>
      <c r="H128">
        <v>16000</v>
      </c>
      <c r="I128">
        <v>10394.300416</v>
      </c>
      <c r="J128">
        <v>16000</v>
      </c>
    </row>
    <row r="129" spans="1:10" x14ac:dyDescent="0.2">
      <c r="A129" t="s">
        <v>961</v>
      </c>
      <c r="B129">
        <v>289.84874341400001</v>
      </c>
      <c r="C129">
        <v>900.88279217100001</v>
      </c>
      <c r="D129">
        <v>900.80486848700002</v>
      </c>
      <c r="G129" t="s">
        <v>961</v>
      </c>
      <c r="H129">
        <v>16000</v>
      </c>
      <c r="I129">
        <v>15024.828416</v>
      </c>
      <c r="J129">
        <v>8577.7981440000003</v>
      </c>
    </row>
    <row r="130" spans="1:10" x14ac:dyDescent="0.2">
      <c r="A130" t="s">
        <v>962</v>
      </c>
      <c r="B130">
        <v>282.41454880399999</v>
      </c>
      <c r="C130">
        <v>900.74573001299996</v>
      </c>
      <c r="D130">
        <v>277.39041941900001</v>
      </c>
      <c r="G130" t="s">
        <v>962</v>
      </c>
      <c r="H130">
        <v>16000</v>
      </c>
      <c r="I130">
        <v>10560.397311999999</v>
      </c>
      <c r="J130">
        <v>16000</v>
      </c>
    </row>
    <row r="131" spans="1:10" x14ac:dyDescent="0.2">
      <c r="A131" t="s">
        <v>963</v>
      </c>
      <c r="B131">
        <v>274.79770590800001</v>
      </c>
      <c r="C131">
        <v>808.56434757299996</v>
      </c>
      <c r="D131">
        <v>316.06534569399997</v>
      </c>
      <c r="G131" t="s">
        <v>963</v>
      </c>
      <c r="H131">
        <v>16000</v>
      </c>
      <c r="I131">
        <v>16000</v>
      </c>
      <c r="J131">
        <v>16000</v>
      </c>
    </row>
    <row r="132" spans="1:10" x14ac:dyDescent="0.2">
      <c r="A132" t="s">
        <v>964</v>
      </c>
      <c r="B132">
        <v>283.02608759899999</v>
      </c>
      <c r="C132">
        <v>901.20853455199995</v>
      </c>
      <c r="D132">
        <v>371.42841855799998</v>
      </c>
      <c r="G132" t="s">
        <v>964</v>
      </c>
      <c r="H132">
        <v>16000</v>
      </c>
      <c r="I132">
        <v>14957.199360000001</v>
      </c>
      <c r="J132">
        <v>16000</v>
      </c>
    </row>
    <row r="133" spans="1:10" x14ac:dyDescent="0.2">
      <c r="A133" t="s">
        <v>965</v>
      </c>
      <c r="B133">
        <v>264.491244849</v>
      </c>
      <c r="C133">
        <v>901.12133119199996</v>
      </c>
      <c r="D133">
        <v>314.09170927899999</v>
      </c>
      <c r="G133" t="s">
        <v>965</v>
      </c>
      <c r="H133">
        <v>16000</v>
      </c>
      <c r="I133">
        <v>15279.906816000001</v>
      </c>
      <c r="J133">
        <v>16000</v>
      </c>
    </row>
    <row r="134" spans="1:10" x14ac:dyDescent="0.2">
      <c r="A134" t="s">
        <v>966</v>
      </c>
      <c r="B134">
        <v>269.666747988</v>
      </c>
      <c r="C134">
        <v>794.39109446199996</v>
      </c>
      <c r="D134">
        <v>816.26279474399996</v>
      </c>
      <c r="G134" t="s">
        <v>966</v>
      </c>
      <c r="H134">
        <v>16000</v>
      </c>
      <c r="I134">
        <v>16000</v>
      </c>
      <c r="J134">
        <v>16000</v>
      </c>
    </row>
    <row r="135" spans="1:10" x14ac:dyDescent="0.2">
      <c r="A135" t="s">
        <v>967</v>
      </c>
      <c r="B135">
        <v>445.36496587699997</v>
      </c>
      <c r="C135">
        <v>901.35649847000002</v>
      </c>
      <c r="D135">
        <v>375.210583434</v>
      </c>
      <c r="G135" t="s">
        <v>967</v>
      </c>
      <c r="H135">
        <v>16000</v>
      </c>
      <c r="I135">
        <v>15172.99712</v>
      </c>
      <c r="J135">
        <v>16000</v>
      </c>
    </row>
    <row r="136" spans="1:10" x14ac:dyDescent="0.2">
      <c r="A136" t="s">
        <v>968</v>
      </c>
      <c r="B136">
        <v>247.78415055299999</v>
      </c>
      <c r="C136">
        <v>707.400409653</v>
      </c>
      <c r="D136">
        <v>685.27386797300005</v>
      </c>
      <c r="G136" t="s">
        <v>968</v>
      </c>
      <c r="H136">
        <v>16000</v>
      </c>
      <c r="I136">
        <v>16000</v>
      </c>
      <c r="J136">
        <v>16000</v>
      </c>
    </row>
    <row r="137" spans="1:10" x14ac:dyDescent="0.2">
      <c r="A137" t="s">
        <v>969</v>
      </c>
      <c r="B137">
        <v>313.86192082100001</v>
      </c>
      <c r="C137">
        <v>799.57869366499995</v>
      </c>
      <c r="D137">
        <v>655.70206682800006</v>
      </c>
      <c r="G137" t="s">
        <v>969</v>
      </c>
      <c r="H137">
        <v>16000</v>
      </c>
      <c r="I137">
        <v>16000</v>
      </c>
      <c r="J137">
        <v>16000</v>
      </c>
    </row>
    <row r="138" spans="1:10" x14ac:dyDescent="0.2">
      <c r="A138" t="s">
        <v>970</v>
      </c>
      <c r="B138">
        <v>387.22107886499998</v>
      </c>
      <c r="C138">
        <v>817.53879359400003</v>
      </c>
      <c r="D138">
        <v>588.46509837400004</v>
      </c>
      <c r="G138" t="s">
        <v>970</v>
      </c>
      <c r="H138">
        <v>16000</v>
      </c>
      <c r="I138">
        <v>16000</v>
      </c>
      <c r="J138">
        <v>16000</v>
      </c>
    </row>
    <row r="139" spans="1:10" x14ac:dyDescent="0.2">
      <c r="A139" t="s">
        <v>971</v>
      </c>
      <c r="B139">
        <v>274.65657055600002</v>
      </c>
      <c r="C139">
        <v>900.83351148199995</v>
      </c>
      <c r="D139">
        <v>307.73059558800003</v>
      </c>
      <c r="G139" t="s">
        <v>971</v>
      </c>
      <c r="H139">
        <v>16000</v>
      </c>
      <c r="I139">
        <v>10145.280000000001</v>
      </c>
      <c r="J139">
        <v>16000</v>
      </c>
    </row>
    <row r="140" spans="1:10" x14ac:dyDescent="0.2">
      <c r="A140" t="s">
        <v>972</v>
      </c>
      <c r="B140">
        <v>276.39855823800002</v>
      </c>
      <c r="C140">
        <v>901.03639334699994</v>
      </c>
      <c r="D140">
        <v>480.17590314099999</v>
      </c>
      <c r="G140" t="s">
        <v>972</v>
      </c>
      <c r="H140">
        <v>16000</v>
      </c>
      <c r="I140">
        <v>15004.7744</v>
      </c>
      <c r="J140">
        <v>16000</v>
      </c>
    </row>
    <row r="141" spans="1:10" x14ac:dyDescent="0.2">
      <c r="A141" t="s">
        <v>973</v>
      </c>
      <c r="B141">
        <v>318.03187783999999</v>
      </c>
      <c r="C141">
        <v>825.18769141400003</v>
      </c>
      <c r="D141">
        <v>488.02787016600001</v>
      </c>
      <c r="G141" t="s">
        <v>973</v>
      </c>
      <c r="H141">
        <v>16000</v>
      </c>
      <c r="I141">
        <v>16000</v>
      </c>
      <c r="J141">
        <v>16000</v>
      </c>
    </row>
    <row r="142" spans="1:10" x14ac:dyDescent="0.2">
      <c r="A142" t="s">
        <v>974</v>
      </c>
      <c r="B142">
        <v>234.46538080400001</v>
      </c>
      <c r="C142">
        <v>900.80964833400003</v>
      </c>
      <c r="D142">
        <v>860.82649957599995</v>
      </c>
      <c r="G142" t="s">
        <v>974</v>
      </c>
      <c r="H142">
        <v>16000</v>
      </c>
      <c r="I142">
        <v>8771.7601279999999</v>
      </c>
      <c r="J142">
        <v>16000</v>
      </c>
    </row>
    <row r="143" spans="1:10" x14ac:dyDescent="0.2">
      <c r="A143" t="s">
        <v>975</v>
      </c>
      <c r="B143">
        <v>258.46980444500002</v>
      </c>
      <c r="C143">
        <v>900.81326489800006</v>
      </c>
      <c r="D143">
        <v>471.00332027399998</v>
      </c>
      <c r="G143" t="s">
        <v>975</v>
      </c>
      <c r="H143">
        <v>16000</v>
      </c>
      <c r="I143">
        <v>8304.6973440000002</v>
      </c>
      <c r="J143">
        <v>16000</v>
      </c>
    </row>
    <row r="144" spans="1:10" x14ac:dyDescent="0.2">
      <c r="A144" t="s">
        <v>976</v>
      </c>
      <c r="B144">
        <v>235.786291006</v>
      </c>
      <c r="C144">
        <v>603.54956849799999</v>
      </c>
      <c r="D144">
        <v>360.51183251700002</v>
      </c>
      <c r="G144" t="s">
        <v>976</v>
      </c>
      <c r="H144">
        <v>16000</v>
      </c>
      <c r="I144">
        <v>16000</v>
      </c>
      <c r="J144">
        <v>16000</v>
      </c>
    </row>
    <row r="145" spans="1:10" x14ac:dyDescent="0.2">
      <c r="A145" t="s">
        <v>977</v>
      </c>
      <c r="B145">
        <v>395.26628126200001</v>
      </c>
      <c r="C145">
        <v>589.68770482699995</v>
      </c>
      <c r="D145">
        <v>900.94627722099995</v>
      </c>
      <c r="G145" t="s">
        <v>977</v>
      </c>
      <c r="H145">
        <v>16000</v>
      </c>
      <c r="I145">
        <v>16000</v>
      </c>
      <c r="J145">
        <v>9157.9432959999995</v>
      </c>
    </row>
    <row r="146" spans="1:10" x14ac:dyDescent="0.2">
      <c r="A146" t="s">
        <v>978</v>
      </c>
      <c r="B146">
        <v>251.63941311900001</v>
      </c>
      <c r="C146">
        <v>674.36812564399997</v>
      </c>
      <c r="D146">
        <v>900.97405518699998</v>
      </c>
      <c r="G146" t="s">
        <v>978</v>
      </c>
      <c r="H146">
        <v>16000</v>
      </c>
      <c r="I146">
        <v>16000</v>
      </c>
      <c r="J146">
        <v>8666.5297919999994</v>
      </c>
    </row>
    <row r="147" spans="1:10" x14ac:dyDescent="0.2">
      <c r="A147" t="s">
        <v>979</v>
      </c>
      <c r="B147">
        <v>236.77150342900001</v>
      </c>
      <c r="C147">
        <v>782.20751877500004</v>
      </c>
      <c r="D147">
        <v>900.95746463</v>
      </c>
      <c r="G147" t="s">
        <v>979</v>
      </c>
      <c r="H147">
        <v>16000</v>
      </c>
      <c r="I147">
        <v>16000</v>
      </c>
      <c r="J147">
        <v>9373.6714240000001</v>
      </c>
    </row>
    <row r="148" spans="1:10" x14ac:dyDescent="0.2">
      <c r="A148" t="s">
        <v>980</v>
      </c>
      <c r="B148">
        <v>306.68264920199999</v>
      </c>
      <c r="C148">
        <v>691.00651817100004</v>
      </c>
      <c r="D148">
        <v>241.36001009</v>
      </c>
      <c r="G148" t="s">
        <v>980</v>
      </c>
      <c r="H148">
        <v>16000</v>
      </c>
      <c r="I148">
        <v>16000</v>
      </c>
      <c r="J148">
        <v>16000</v>
      </c>
    </row>
    <row r="149" spans="1:10" x14ac:dyDescent="0.2">
      <c r="A149" t="s">
        <v>981</v>
      </c>
      <c r="B149">
        <v>230.87440232200001</v>
      </c>
      <c r="C149">
        <v>901.13898750299995</v>
      </c>
      <c r="D149">
        <v>420.31236422000001</v>
      </c>
      <c r="G149" t="s">
        <v>981</v>
      </c>
      <c r="H149">
        <v>16000</v>
      </c>
      <c r="I149">
        <v>14969.774079999999</v>
      </c>
      <c r="J149">
        <v>16000</v>
      </c>
    </row>
    <row r="150" spans="1:10" x14ac:dyDescent="0.2">
      <c r="A150" t="s">
        <v>982</v>
      </c>
      <c r="B150">
        <v>286.46572742400002</v>
      </c>
      <c r="C150">
        <v>662.27781862300003</v>
      </c>
      <c r="D150">
        <v>269.81448065199999</v>
      </c>
      <c r="G150" t="s">
        <v>982</v>
      </c>
      <c r="H150">
        <v>16000</v>
      </c>
      <c r="I150">
        <v>16000</v>
      </c>
      <c r="J150">
        <v>16000</v>
      </c>
    </row>
    <row r="151" spans="1:10" x14ac:dyDescent="0.2">
      <c r="A151" t="s">
        <v>983</v>
      </c>
      <c r="B151">
        <v>250.789363288</v>
      </c>
      <c r="C151">
        <v>900.77883559999998</v>
      </c>
      <c r="D151">
        <v>751.81305029500004</v>
      </c>
      <c r="G151" t="s">
        <v>983</v>
      </c>
      <c r="H151">
        <v>16000</v>
      </c>
      <c r="I151">
        <v>8776.1510400000006</v>
      </c>
      <c r="J151">
        <v>16000</v>
      </c>
    </row>
    <row r="152" spans="1:10" x14ac:dyDescent="0.2">
      <c r="A152" t="s">
        <v>984</v>
      </c>
      <c r="B152">
        <v>305.01056910199998</v>
      </c>
      <c r="C152">
        <v>901.08244443599995</v>
      </c>
      <c r="D152">
        <v>625.52228361000004</v>
      </c>
      <c r="G152" t="s">
        <v>984</v>
      </c>
      <c r="H152">
        <v>16000</v>
      </c>
      <c r="I152">
        <v>14930.464768</v>
      </c>
      <c r="J152">
        <v>16000</v>
      </c>
    </row>
    <row r="153" spans="1:10" x14ac:dyDescent="0.2">
      <c r="A153" t="s">
        <v>985</v>
      </c>
      <c r="B153">
        <v>345.69724319099998</v>
      </c>
      <c r="C153">
        <v>754.51687681500005</v>
      </c>
      <c r="D153">
        <v>329.61227969100003</v>
      </c>
      <c r="G153" t="s">
        <v>985</v>
      </c>
      <c r="H153">
        <v>16000</v>
      </c>
      <c r="I153">
        <v>16000</v>
      </c>
      <c r="J153">
        <v>16000</v>
      </c>
    </row>
    <row r="154" spans="1:10" x14ac:dyDescent="0.2">
      <c r="A154" t="s">
        <v>986</v>
      </c>
      <c r="B154">
        <v>358.51379549400002</v>
      </c>
      <c r="C154">
        <v>756.57567970699995</v>
      </c>
      <c r="D154">
        <v>331.45483824399997</v>
      </c>
      <c r="G154" t="s">
        <v>986</v>
      </c>
      <c r="H154">
        <v>16000</v>
      </c>
      <c r="I154">
        <v>16000</v>
      </c>
      <c r="J154">
        <v>16000</v>
      </c>
    </row>
    <row r="155" spans="1:10" x14ac:dyDescent="0.2">
      <c r="A155" t="s">
        <v>987</v>
      </c>
      <c r="B155">
        <v>286.59009589599998</v>
      </c>
      <c r="C155">
        <v>900.73143060500001</v>
      </c>
      <c r="D155">
        <v>580.61234234300002</v>
      </c>
      <c r="G155" t="s">
        <v>987</v>
      </c>
      <c r="H155">
        <v>16000</v>
      </c>
      <c r="I155">
        <v>7379.1242240000001</v>
      </c>
      <c r="J155">
        <v>16000</v>
      </c>
    </row>
    <row r="156" spans="1:10" x14ac:dyDescent="0.2">
      <c r="A156" t="s">
        <v>988</v>
      </c>
      <c r="B156">
        <v>334.15315001099998</v>
      </c>
      <c r="C156">
        <v>900.73565080100002</v>
      </c>
      <c r="D156">
        <v>576.83813253999995</v>
      </c>
      <c r="G156" t="s">
        <v>988</v>
      </c>
      <c r="H156">
        <v>16000</v>
      </c>
      <c r="I156">
        <v>7430.2750720000004</v>
      </c>
      <c r="J156">
        <v>16000</v>
      </c>
    </row>
    <row r="157" spans="1:10" x14ac:dyDescent="0.2">
      <c r="A157" t="s">
        <v>989</v>
      </c>
      <c r="B157">
        <v>240.748013421</v>
      </c>
      <c r="C157">
        <v>865.81533198</v>
      </c>
      <c r="D157">
        <v>275.95552676599999</v>
      </c>
      <c r="G157" t="s">
        <v>989</v>
      </c>
      <c r="H157">
        <v>16000</v>
      </c>
      <c r="I157">
        <v>16000</v>
      </c>
      <c r="J157">
        <v>16000</v>
      </c>
    </row>
    <row r="158" spans="1:10" x14ac:dyDescent="0.2">
      <c r="A158" t="s">
        <v>990</v>
      </c>
      <c r="B158">
        <v>258.24059554199999</v>
      </c>
      <c r="C158">
        <v>901.11088607299996</v>
      </c>
      <c r="D158">
        <v>304.54295888799999</v>
      </c>
      <c r="G158" t="s">
        <v>990</v>
      </c>
      <c r="H158">
        <v>16000</v>
      </c>
      <c r="I158">
        <v>14930.759679999999</v>
      </c>
      <c r="J158">
        <v>16000</v>
      </c>
    </row>
    <row r="159" spans="1:10" x14ac:dyDescent="0.2">
      <c r="A159" t="s">
        <v>991</v>
      </c>
      <c r="B159">
        <v>242.97418495100001</v>
      </c>
      <c r="C159">
        <v>897.86626549799996</v>
      </c>
      <c r="D159">
        <v>901.11610701200004</v>
      </c>
      <c r="G159" t="s">
        <v>991</v>
      </c>
      <c r="H159">
        <v>16000</v>
      </c>
      <c r="I159">
        <v>16000</v>
      </c>
      <c r="J159">
        <v>11087.314944</v>
      </c>
    </row>
    <row r="160" spans="1:10" x14ac:dyDescent="0.2">
      <c r="A160" t="s">
        <v>992</v>
      </c>
      <c r="B160">
        <v>227.788611014</v>
      </c>
      <c r="C160">
        <v>901.12989532200004</v>
      </c>
      <c r="D160">
        <v>312.29015045</v>
      </c>
      <c r="G160" t="s">
        <v>992</v>
      </c>
      <c r="H160">
        <v>16000</v>
      </c>
      <c r="I160">
        <v>14891.057151999999</v>
      </c>
      <c r="J160">
        <v>16000</v>
      </c>
    </row>
    <row r="161" spans="1:10" x14ac:dyDescent="0.2">
      <c r="A161" t="s">
        <v>993</v>
      </c>
      <c r="B161">
        <v>256.34232049600001</v>
      </c>
      <c r="C161">
        <v>746.57821592000005</v>
      </c>
      <c r="D161">
        <v>859.38169605500002</v>
      </c>
      <c r="G161" t="s">
        <v>993</v>
      </c>
      <c r="H161">
        <v>16000</v>
      </c>
      <c r="I161">
        <v>16000</v>
      </c>
      <c r="J161">
        <v>16000</v>
      </c>
    </row>
    <row r="162" spans="1:10" x14ac:dyDescent="0.2">
      <c r="A162" t="s">
        <v>994</v>
      </c>
      <c r="B162">
        <v>239.04418958900001</v>
      </c>
      <c r="C162">
        <v>570.86494316200003</v>
      </c>
      <c r="D162">
        <v>311.643517266</v>
      </c>
      <c r="G162" t="s">
        <v>994</v>
      </c>
      <c r="H162">
        <v>16000</v>
      </c>
      <c r="I162">
        <v>16000</v>
      </c>
      <c r="J162">
        <v>16000</v>
      </c>
    </row>
    <row r="163" spans="1:10" x14ac:dyDescent="0.2">
      <c r="A163" t="s">
        <v>995</v>
      </c>
      <c r="B163">
        <v>239.28766783200001</v>
      </c>
      <c r="C163">
        <v>813.23098905100005</v>
      </c>
      <c r="D163">
        <v>328.82778323399998</v>
      </c>
      <c r="G163" t="s">
        <v>995</v>
      </c>
      <c r="H163">
        <v>16000</v>
      </c>
      <c r="I163">
        <v>16000</v>
      </c>
      <c r="J163">
        <v>16000</v>
      </c>
    </row>
    <row r="164" spans="1:10" x14ac:dyDescent="0.2">
      <c r="A164" t="s">
        <v>996</v>
      </c>
      <c r="B164">
        <v>258.41481858700001</v>
      </c>
      <c r="C164">
        <v>901.03297192000002</v>
      </c>
      <c r="D164">
        <v>314.83853890500001</v>
      </c>
      <c r="G164" t="s">
        <v>996</v>
      </c>
      <c r="H164">
        <v>16000</v>
      </c>
      <c r="I164">
        <v>14910.472191999999</v>
      </c>
      <c r="J164">
        <v>16000</v>
      </c>
    </row>
    <row r="165" spans="1:10" x14ac:dyDescent="0.2">
      <c r="A165" t="s">
        <v>997</v>
      </c>
      <c r="B165">
        <v>384.91719468100001</v>
      </c>
      <c r="C165">
        <v>828.50521643599996</v>
      </c>
      <c r="D165">
        <v>382.59614033899999</v>
      </c>
      <c r="G165" t="s">
        <v>997</v>
      </c>
      <c r="H165">
        <v>16000</v>
      </c>
      <c r="I165">
        <v>16000</v>
      </c>
      <c r="J165">
        <v>16000</v>
      </c>
    </row>
    <row r="166" spans="1:10" x14ac:dyDescent="0.2">
      <c r="A166" t="s">
        <v>998</v>
      </c>
      <c r="B166">
        <v>385.39433057899998</v>
      </c>
      <c r="C166">
        <v>834.22791353100001</v>
      </c>
      <c r="D166">
        <v>361.34888046499998</v>
      </c>
      <c r="G166" t="s">
        <v>998</v>
      </c>
      <c r="H166">
        <v>16000</v>
      </c>
      <c r="I166">
        <v>16000</v>
      </c>
      <c r="J166">
        <v>16000</v>
      </c>
    </row>
    <row r="167" spans="1:10" x14ac:dyDescent="0.2">
      <c r="A167" t="s">
        <v>999</v>
      </c>
      <c r="B167">
        <v>261.67438487099997</v>
      </c>
      <c r="C167">
        <v>519.21344740100005</v>
      </c>
      <c r="D167">
        <v>610.57680147899998</v>
      </c>
      <c r="G167" t="s">
        <v>999</v>
      </c>
      <c r="H167">
        <v>16000</v>
      </c>
      <c r="I167">
        <v>16000</v>
      </c>
      <c r="J167">
        <v>16000</v>
      </c>
    </row>
    <row r="168" spans="1:10" x14ac:dyDescent="0.2">
      <c r="A168" t="s">
        <v>1000</v>
      </c>
      <c r="B168">
        <v>235.53142177199999</v>
      </c>
      <c r="C168">
        <v>900.90492355699996</v>
      </c>
      <c r="D168">
        <v>505.47076003000001</v>
      </c>
      <c r="G168" t="s">
        <v>1000</v>
      </c>
      <c r="H168">
        <v>16000</v>
      </c>
      <c r="I168">
        <v>9915.5435519999992</v>
      </c>
      <c r="J168">
        <v>16000</v>
      </c>
    </row>
    <row r="169" spans="1:10" x14ac:dyDescent="0.2">
      <c r="A169" t="s">
        <v>1001</v>
      </c>
      <c r="B169">
        <v>292.54950083199998</v>
      </c>
      <c r="C169">
        <v>900.98597761799999</v>
      </c>
      <c r="D169">
        <v>900.77313423400005</v>
      </c>
      <c r="G169" t="s">
        <v>1001</v>
      </c>
      <c r="H169">
        <v>16000</v>
      </c>
      <c r="I169">
        <v>15330.816000000001</v>
      </c>
      <c r="J169">
        <v>10000.5888</v>
      </c>
    </row>
    <row r="170" spans="1:10" x14ac:dyDescent="0.2">
      <c r="A170" t="s">
        <v>1002</v>
      </c>
      <c r="B170">
        <v>259.89299405000003</v>
      </c>
      <c r="C170">
        <v>901.12883448399998</v>
      </c>
      <c r="D170">
        <v>725.29241300599995</v>
      </c>
      <c r="G170" t="s">
        <v>1002</v>
      </c>
      <c r="H170">
        <v>16000</v>
      </c>
      <c r="I170">
        <v>15059.476479999999</v>
      </c>
      <c r="J170">
        <v>16000</v>
      </c>
    </row>
    <row r="171" spans="1:10" x14ac:dyDescent="0.2">
      <c r="A171" t="s">
        <v>1003</v>
      </c>
      <c r="B171">
        <v>275.90569621899999</v>
      </c>
      <c r="C171">
        <v>901.27909736900006</v>
      </c>
      <c r="D171">
        <v>306.87938292500002</v>
      </c>
      <c r="G171" t="s">
        <v>1003</v>
      </c>
      <c r="H171">
        <v>16000</v>
      </c>
      <c r="I171">
        <v>15984.381952</v>
      </c>
      <c r="J171">
        <v>16000</v>
      </c>
    </row>
    <row r="172" spans="1:10" x14ac:dyDescent="0.2">
      <c r="A172" t="s">
        <v>1004</v>
      </c>
      <c r="B172">
        <v>297.64236547799999</v>
      </c>
      <c r="C172">
        <v>901.12417811399996</v>
      </c>
      <c r="D172">
        <v>816.742567947</v>
      </c>
      <c r="G172" t="s">
        <v>1004</v>
      </c>
      <c r="H172">
        <v>16000</v>
      </c>
      <c r="I172">
        <v>15057.567744</v>
      </c>
      <c r="J172">
        <v>16000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A92"/>
  <sheetViews>
    <sheetView workbookViewId="0">
      <selection activeCell="AV39" sqref="AV39"/>
    </sheetView>
  </sheetViews>
  <sheetFormatPr baseColWidth="10" defaultColWidth="8.83203125" defaultRowHeight="15" x14ac:dyDescent="0.2"/>
  <cols>
    <col min="4" max="4" width="10.33203125" bestFit="1" customWidth="1"/>
    <col min="5" max="5" width="10.33203125" customWidth="1"/>
    <col min="29" max="29" width="11.33203125" customWidth="1"/>
    <col min="35" max="35" width="9.6640625" bestFit="1" customWidth="1"/>
    <col min="40" max="40" width="11.33203125" bestFit="1" customWidth="1"/>
    <col min="46" max="46" width="9.6640625" bestFit="1" customWidth="1"/>
    <col min="48" max="49" width="7.83203125" customWidth="1"/>
    <col min="50" max="50" width="11.33203125" bestFit="1" customWidth="1"/>
    <col min="57" max="57" width="9.6640625" bestFit="1" customWidth="1"/>
  </cols>
  <sheetData>
    <row r="1" spans="1:105" x14ac:dyDescent="0.2">
      <c r="F1" s="18" t="s">
        <v>1005</v>
      </c>
      <c r="G1" s="18"/>
      <c r="H1" s="18"/>
      <c r="I1" s="18"/>
      <c r="J1" s="18"/>
      <c r="K1" s="18"/>
      <c r="L1" s="18"/>
      <c r="N1" s="20" t="s">
        <v>1006</v>
      </c>
      <c r="O1" s="20"/>
      <c r="P1" s="20"/>
      <c r="Q1" s="20"/>
      <c r="R1" s="20"/>
      <c r="S1" s="20"/>
      <c r="T1" s="20"/>
      <c r="V1" s="21" t="s">
        <v>1007</v>
      </c>
      <c r="W1" s="21"/>
      <c r="X1" s="21"/>
      <c r="Y1" s="21"/>
      <c r="Z1" s="21"/>
      <c r="AA1" s="21"/>
      <c r="AB1" s="21"/>
      <c r="AD1" s="8" t="s">
        <v>1008</v>
      </c>
      <c r="AE1" s="8"/>
      <c r="AF1" s="8"/>
      <c r="AG1" s="8"/>
      <c r="AH1" s="8"/>
      <c r="AI1" s="8"/>
      <c r="AJ1" s="8"/>
      <c r="AK1" s="3"/>
      <c r="AO1" s="9" t="s">
        <v>1009</v>
      </c>
      <c r="AP1" s="9"/>
      <c r="AQ1" s="9"/>
      <c r="AR1" s="9"/>
      <c r="AS1" s="9"/>
      <c r="AT1" s="9"/>
      <c r="AU1" s="9"/>
      <c r="AY1" s="10" t="s">
        <v>1010</v>
      </c>
      <c r="AZ1" s="10"/>
      <c r="BA1" s="10"/>
      <c r="BB1" s="10"/>
      <c r="BC1" s="10"/>
      <c r="BD1" s="10"/>
      <c r="BE1" s="10"/>
      <c r="BF1" s="10"/>
      <c r="BQ1" s="18" t="s">
        <v>1011</v>
      </c>
      <c r="BR1" s="18"/>
      <c r="BS1" s="18"/>
      <c r="BT1" s="18"/>
      <c r="BU1" s="18"/>
      <c r="BV1" s="18"/>
      <c r="BW1" s="18"/>
      <c r="BX1" s="18"/>
      <c r="CA1" s="19" t="s">
        <v>1012</v>
      </c>
      <c r="CB1" s="19"/>
      <c r="CC1" s="19"/>
      <c r="CD1" s="19"/>
      <c r="CE1" s="19"/>
      <c r="CF1" s="19"/>
      <c r="CG1" s="19"/>
      <c r="CH1" s="19"/>
      <c r="CJ1" s="20" t="s">
        <v>1013</v>
      </c>
      <c r="CK1" s="20"/>
      <c r="CL1" s="20"/>
      <c r="CM1" s="20"/>
      <c r="CN1" s="20"/>
      <c r="CO1" s="20"/>
      <c r="CP1" s="20"/>
      <c r="CQ1" s="20"/>
      <c r="CS1" s="20" t="s">
        <v>1014</v>
      </c>
      <c r="CT1" s="20"/>
      <c r="CU1" s="20"/>
      <c r="CV1" s="20"/>
      <c r="CW1" s="20"/>
      <c r="CX1" s="20"/>
      <c r="CY1" s="20"/>
      <c r="CZ1" s="20"/>
    </row>
    <row r="2" spans="1:105" x14ac:dyDescent="0.2">
      <c r="C2" t="s">
        <v>784</v>
      </c>
      <c r="F2" t="s">
        <v>785</v>
      </c>
      <c r="G2" t="s">
        <v>786</v>
      </c>
      <c r="H2" t="s">
        <v>787</v>
      </c>
      <c r="I2" t="s">
        <v>788</v>
      </c>
      <c r="K2" t="s">
        <v>824</v>
      </c>
      <c r="L2" t="s">
        <v>825</v>
      </c>
      <c r="N2" t="s">
        <v>785</v>
      </c>
      <c r="O2" t="s">
        <v>786</v>
      </c>
      <c r="P2" t="s">
        <v>787</v>
      </c>
      <c r="Q2" t="s">
        <v>788</v>
      </c>
      <c r="S2" t="s">
        <v>824</v>
      </c>
      <c r="T2" t="s">
        <v>826</v>
      </c>
      <c r="V2" t="s">
        <v>785</v>
      </c>
      <c r="W2" t="s">
        <v>786</v>
      </c>
      <c r="X2" t="s">
        <v>787</v>
      </c>
      <c r="Y2" t="s">
        <v>788</v>
      </c>
      <c r="AA2" t="s">
        <v>824</v>
      </c>
      <c r="AB2" t="s">
        <v>826</v>
      </c>
      <c r="AD2" t="s">
        <v>785</v>
      </c>
      <c r="AE2" t="s">
        <v>1015</v>
      </c>
      <c r="AF2" t="s">
        <v>787</v>
      </c>
      <c r="AG2" t="s">
        <v>1016</v>
      </c>
      <c r="AI2" t="s">
        <v>824</v>
      </c>
      <c r="AJ2" t="s">
        <v>826</v>
      </c>
      <c r="AO2" t="s">
        <v>785</v>
      </c>
      <c r="AP2" t="s">
        <v>1017</v>
      </c>
      <c r="AQ2" t="s">
        <v>787</v>
      </c>
      <c r="AR2" t="s">
        <v>830</v>
      </c>
      <c r="AT2" t="s">
        <v>824</v>
      </c>
      <c r="AU2" t="s">
        <v>826</v>
      </c>
      <c r="AY2" t="s">
        <v>785</v>
      </c>
      <c r="AZ2" t="s">
        <v>831</v>
      </c>
      <c r="BA2" t="s">
        <v>787</v>
      </c>
      <c r="BB2" t="s">
        <v>1018</v>
      </c>
      <c r="BE2" t="s">
        <v>824</v>
      </c>
      <c r="BF2" t="s">
        <v>826</v>
      </c>
      <c r="BQ2" t="s">
        <v>785</v>
      </c>
      <c r="BR2" t="s">
        <v>786</v>
      </c>
      <c r="BS2" t="s">
        <v>787</v>
      </c>
      <c r="BT2" t="s">
        <v>788</v>
      </c>
      <c r="BW2" t="s">
        <v>824</v>
      </c>
      <c r="BX2" t="s">
        <v>826</v>
      </c>
      <c r="CA2" t="s">
        <v>785</v>
      </c>
      <c r="CB2" t="s">
        <v>786</v>
      </c>
      <c r="CC2" t="s">
        <v>787</v>
      </c>
      <c r="CD2" t="s">
        <v>788</v>
      </c>
      <c r="CG2" t="s">
        <v>824</v>
      </c>
      <c r="CH2" t="s">
        <v>826</v>
      </c>
      <c r="CJ2" t="s">
        <v>785</v>
      </c>
      <c r="CK2" t="s">
        <v>786</v>
      </c>
      <c r="CL2" t="s">
        <v>787</v>
      </c>
      <c r="CM2" t="s">
        <v>788</v>
      </c>
      <c r="CP2" t="s">
        <v>824</v>
      </c>
      <c r="CQ2" t="s">
        <v>826</v>
      </c>
      <c r="CT2" t="s">
        <v>785</v>
      </c>
      <c r="CU2" t="s">
        <v>786</v>
      </c>
      <c r="CV2" t="s">
        <v>787</v>
      </c>
      <c r="CW2" t="s">
        <v>788</v>
      </c>
      <c r="CZ2" t="s">
        <v>824</v>
      </c>
      <c r="DA2" t="s">
        <v>826</v>
      </c>
    </row>
    <row r="3" spans="1:105" ht="18.75" customHeight="1" x14ac:dyDescent="0.2">
      <c r="A3" t="s">
        <v>805</v>
      </c>
      <c r="B3">
        <v>100</v>
      </c>
      <c r="C3">
        <v>5</v>
      </c>
      <c r="D3" t="str">
        <f t="shared" ref="D3:D34" si="0">A3&amp;"-"&amp;B3&amp;"-0"&amp;C3</f>
        <v>ccf1-100-05</v>
      </c>
      <c r="F3" t="s">
        <v>833</v>
      </c>
      <c r="G3">
        <v>8.1357354000000007E-2</v>
      </c>
      <c r="H3">
        <v>0.100893953989725</v>
      </c>
      <c r="I3">
        <v>6.2873599999999996</v>
      </c>
      <c r="K3">
        <v>149</v>
      </c>
      <c r="N3" t="s">
        <v>833</v>
      </c>
      <c r="O3">
        <v>9.8020395999999996E-2</v>
      </c>
      <c r="P3">
        <v>0.123669467982836</v>
      </c>
      <c r="Q3">
        <v>6.2177280000000001</v>
      </c>
      <c r="S3">
        <v>149</v>
      </c>
      <c r="V3" t="s">
        <v>833</v>
      </c>
      <c r="W3">
        <v>7.5428522999999997E-2</v>
      </c>
      <c r="X3">
        <v>7.8977529003168401E-2</v>
      </c>
      <c r="Y3">
        <v>6.1972480000000001</v>
      </c>
      <c r="AC3" t="s">
        <v>1019</v>
      </c>
      <c r="AD3" t="s">
        <v>833</v>
      </c>
      <c r="AE3">
        <v>0.112576778</v>
      </c>
      <c r="AF3">
        <v>0.16292733798036299</v>
      </c>
      <c r="AG3">
        <v>6.3283199999999997</v>
      </c>
      <c r="AI3" s="5">
        <v>149</v>
      </c>
      <c r="AJ3" s="4">
        <v>5.908E-6</v>
      </c>
      <c r="AK3" s="6">
        <v>1.19348E-6</v>
      </c>
      <c r="AN3" t="s">
        <v>1019</v>
      </c>
      <c r="AO3" t="s">
        <v>833</v>
      </c>
      <c r="AP3">
        <v>0.11676247300000001</v>
      </c>
      <c r="AQ3">
        <v>0.153499485983047</v>
      </c>
      <c r="AR3">
        <v>6.1972480000000001</v>
      </c>
      <c r="AT3">
        <v>149</v>
      </c>
      <c r="AU3" s="1">
        <v>3.6804000000000002E-5</v>
      </c>
      <c r="AV3" s="1">
        <v>1.6006200000000001E-6</v>
      </c>
      <c r="AW3" s="1"/>
      <c r="AX3" s="1" t="s">
        <v>1019</v>
      </c>
      <c r="AY3" t="s">
        <v>833</v>
      </c>
      <c r="AZ3">
        <v>0.102610805</v>
      </c>
      <c r="BA3">
        <v>0.137297364010009</v>
      </c>
      <c r="BB3">
        <v>6.1931520000000004</v>
      </c>
      <c r="BE3">
        <v>149</v>
      </c>
      <c r="BF3" s="1">
        <v>3.1655000000000001E-5</v>
      </c>
      <c r="BG3" s="1">
        <v>1.6006200000000001E-6</v>
      </c>
      <c r="BH3" s="1"/>
      <c r="BI3" s="1"/>
      <c r="BJ3" s="1"/>
      <c r="BK3" s="1"/>
      <c r="BL3" s="1"/>
      <c r="BM3" s="1"/>
      <c r="BN3" s="1"/>
      <c r="BO3" s="1"/>
      <c r="BQ3" t="s">
        <v>833</v>
      </c>
      <c r="BR3">
        <v>7.5465236000000005E-2</v>
      </c>
      <c r="BS3">
        <v>7.8881027002353193E-2</v>
      </c>
      <c r="BT3">
        <v>6.1972480000000001</v>
      </c>
      <c r="CA3" t="s">
        <v>833</v>
      </c>
      <c r="CB3">
        <v>7.5610477999999995E-2</v>
      </c>
      <c r="CC3">
        <v>1.2002224239986301</v>
      </c>
      <c r="CD3">
        <v>8.5032960000000006</v>
      </c>
      <c r="CJ3" t="s">
        <v>833</v>
      </c>
      <c r="CK3">
        <v>6.7873291000000002E-2</v>
      </c>
      <c r="CL3">
        <v>0.20671865204349099</v>
      </c>
      <c r="CM3">
        <v>6.4593920000000002</v>
      </c>
      <c r="CT3" t="s">
        <v>833</v>
      </c>
      <c r="CU3">
        <v>6.8704524000000003E-2</v>
      </c>
      <c r="CV3">
        <v>7.5707399984821594E-2</v>
      </c>
      <c r="CW3">
        <v>6.1972480000000001</v>
      </c>
    </row>
    <row r="4" spans="1:105" x14ac:dyDescent="0.2">
      <c r="A4" t="s">
        <v>806</v>
      </c>
      <c r="B4">
        <v>100</v>
      </c>
      <c r="C4">
        <v>5</v>
      </c>
      <c r="D4" t="str">
        <f t="shared" si="0"/>
        <v>ccf2-100-05</v>
      </c>
      <c r="F4" t="s">
        <v>833</v>
      </c>
      <c r="G4">
        <v>2.3231848230000001</v>
      </c>
      <c r="H4">
        <v>2.3384411070000999</v>
      </c>
      <c r="I4">
        <v>6.6887679999999996</v>
      </c>
      <c r="K4">
        <v>135316</v>
      </c>
      <c r="N4" t="s">
        <v>833</v>
      </c>
      <c r="O4">
        <v>2.5198708500000002</v>
      </c>
      <c r="P4">
        <v>2.55794997001066</v>
      </c>
      <c r="Q4">
        <v>6.6027519999999997</v>
      </c>
      <c r="S4">
        <v>135316</v>
      </c>
      <c r="V4" t="s">
        <v>833</v>
      </c>
      <c r="W4">
        <v>2.3073376219999999</v>
      </c>
      <c r="X4">
        <v>2.3159617380006199</v>
      </c>
      <c r="Y4">
        <v>6.557696</v>
      </c>
      <c r="AC4" t="s">
        <v>1020</v>
      </c>
      <c r="AD4" t="s">
        <v>833</v>
      </c>
      <c r="AE4">
        <v>2.84156977</v>
      </c>
      <c r="AF4">
        <v>2.8762176710006302</v>
      </c>
      <c r="AG4">
        <v>6.6969599999999998</v>
      </c>
      <c r="AI4">
        <v>135316</v>
      </c>
      <c r="AJ4" s="1">
        <v>1.8791E-5</v>
      </c>
      <c r="AK4" s="1">
        <v>1.21642E-6</v>
      </c>
      <c r="AN4" t="s">
        <v>1020</v>
      </c>
      <c r="AO4" t="s">
        <v>833</v>
      </c>
      <c r="AP4">
        <v>3.1006338119999999</v>
      </c>
      <c r="AQ4">
        <v>3.14356524700997</v>
      </c>
      <c r="AR4">
        <v>6.5986560000000001</v>
      </c>
      <c r="AT4">
        <v>135316</v>
      </c>
      <c r="AU4">
        <v>1.6714400000000001E-2</v>
      </c>
      <c r="AV4" s="1">
        <v>1.64337E-6</v>
      </c>
      <c r="AW4" s="1"/>
      <c r="AX4" t="s">
        <v>1020</v>
      </c>
      <c r="AY4" t="s">
        <v>833</v>
      </c>
      <c r="AZ4">
        <v>2.8968663480000001</v>
      </c>
      <c r="BA4">
        <v>2.9333124880213202</v>
      </c>
      <c r="BB4">
        <v>6.5617919999999996</v>
      </c>
      <c r="BE4">
        <v>135316</v>
      </c>
      <c r="BF4">
        <v>1.6710200000000001E-2</v>
      </c>
      <c r="BG4" s="1">
        <v>1.64337E-6</v>
      </c>
      <c r="BH4" s="1"/>
      <c r="BI4" s="1"/>
      <c r="BJ4" s="1"/>
      <c r="BK4" s="1"/>
      <c r="BL4" s="1"/>
      <c r="BM4" s="1"/>
      <c r="BN4" s="1"/>
      <c r="BO4" s="1"/>
      <c r="BQ4" t="s">
        <v>792</v>
      </c>
      <c r="BR4">
        <v>1.7521832429999999</v>
      </c>
      <c r="BS4">
        <v>931.24296183895694</v>
      </c>
      <c r="BT4">
        <v>6.8567039999999997</v>
      </c>
      <c r="CA4" t="s">
        <v>792</v>
      </c>
      <c r="CB4">
        <v>0.45509744200000002</v>
      </c>
      <c r="CC4">
        <v>931.08317759109195</v>
      </c>
      <c r="CD4">
        <v>6.6355199999999996</v>
      </c>
      <c r="CJ4" t="s">
        <v>792</v>
      </c>
      <c r="CK4">
        <v>0.67931265799999996</v>
      </c>
      <c r="CL4">
        <v>931.15772994607596</v>
      </c>
      <c r="CM4">
        <v>6.5699839999999998</v>
      </c>
      <c r="CT4" t="s">
        <v>792</v>
      </c>
      <c r="CU4">
        <v>0.68708283999999997</v>
      </c>
      <c r="CV4">
        <v>931.09404628304696</v>
      </c>
      <c r="CW4">
        <v>6.6232319999999998</v>
      </c>
    </row>
    <row r="5" spans="1:105" x14ac:dyDescent="0.2">
      <c r="A5" t="s">
        <v>807</v>
      </c>
      <c r="B5">
        <v>100</v>
      </c>
      <c r="C5">
        <v>5</v>
      </c>
      <c r="D5" t="str">
        <f t="shared" si="0"/>
        <v>ccf3-100-05</v>
      </c>
      <c r="F5" t="s">
        <v>833</v>
      </c>
      <c r="G5">
        <v>39.900944891999998</v>
      </c>
      <c r="H5">
        <v>39.9870643120084</v>
      </c>
      <c r="I5">
        <v>6.9918719999999999</v>
      </c>
      <c r="K5">
        <v>2166912</v>
      </c>
      <c r="N5" t="s">
        <v>833</v>
      </c>
      <c r="O5">
        <v>39.355989866999998</v>
      </c>
      <c r="P5">
        <v>39.428141193988203</v>
      </c>
      <c r="Q5">
        <v>6.8689920000000004</v>
      </c>
      <c r="S5">
        <v>2166912</v>
      </c>
      <c r="V5" t="s">
        <v>833</v>
      </c>
      <c r="W5">
        <v>39.195691803000003</v>
      </c>
      <c r="X5">
        <v>39.270434821999501</v>
      </c>
      <c r="Y5">
        <v>6.9304319999999997</v>
      </c>
      <c r="AC5" t="s">
        <v>1021</v>
      </c>
      <c r="AD5" t="s">
        <v>833</v>
      </c>
      <c r="AE5">
        <v>48.333348209999997</v>
      </c>
      <c r="AF5">
        <v>48.455456413008498</v>
      </c>
      <c r="AG5">
        <v>6.9918719999999999</v>
      </c>
      <c r="AI5">
        <v>2166912</v>
      </c>
      <c r="AJ5" s="1">
        <v>3.1235999999999997E-5</v>
      </c>
      <c r="AK5" s="1">
        <v>2.3972000000000001E-6</v>
      </c>
      <c r="AN5" t="s">
        <v>1021</v>
      </c>
      <c r="AO5" t="s">
        <v>833</v>
      </c>
      <c r="AP5">
        <v>49.136650009</v>
      </c>
      <c r="AQ5">
        <v>49.231419953022801</v>
      </c>
      <c r="AR5">
        <v>6.8567039999999997</v>
      </c>
      <c r="AT5">
        <v>2166912</v>
      </c>
      <c r="AU5">
        <v>0.214925</v>
      </c>
      <c r="AV5" s="1">
        <v>3.3368700000000002E-6</v>
      </c>
      <c r="AW5" s="1"/>
      <c r="AX5" t="s">
        <v>1021</v>
      </c>
      <c r="AY5" t="s">
        <v>833</v>
      </c>
      <c r="AZ5">
        <v>48.459245586999998</v>
      </c>
      <c r="BA5">
        <v>48.572062658000497</v>
      </c>
      <c r="BB5">
        <v>6.9017600000000003</v>
      </c>
      <c r="BE5">
        <v>2166912</v>
      </c>
      <c r="BF5">
        <v>0.213396</v>
      </c>
      <c r="BG5" s="1">
        <v>3.3368700000000002E-6</v>
      </c>
      <c r="BH5" s="1"/>
      <c r="BI5" s="1"/>
      <c r="BJ5" s="1"/>
      <c r="BK5" s="1"/>
      <c r="BL5" s="1"/>
      <c r="BM5" s="1"/>
      <c r="BN5" s="1"/>
      <c r="BO5" s="1"/>
      <c r="BQ5" t="s">
        <v>792</v>
      </c>
      <c r="BR5">
        <v>1.83191338</v>
      </c>
      <c r="BS5">
        <v>931.154577834007</v>
      </c>
      <c r="BT5">
        <v>6.9099519999999997</v>
      </c>
      <c r="CA5" t="s">
        <v>792</v>
      </c>
      <c r="CB5">
        <v>0.775578718</v>
      </c>
      <c r="CC5">
        <v>931.36102461605299</v>
      </c>
      <c r="CD5">
        <v>6.8403200000000002</v>
      </c>
      <c r="CJ5" t="s">
        <v>792</v>
      </c>
      <c r="CK5">
        <v>2.0664164089999999</v>
      </c>
      <c r="CL5">
        <v>931.03010035702005</v>
      </c>
      <c r="CM5">
        <v>6.9345280000000002</v>
      </c>
      <c r="CT5" t="s">
        <v>792</v>
      </c>
      <c r="CU5">
        <v>2.028365274</v>
      </c>
      <c r="CV5">
        <v>931.43089571397195</v>
      </c>
      <c r="CW5">
        <v>6.8648959999999999</v>
      </c>
    </row>
    <row r="6" spans="1:105" x14ac:dyDescent="0.2">
      <c r="A6" t="s">
        <v>808</v>
      </c>
      <c r="B6">
        <v>100</v>
      </c>
      <c r="C6">
        <v>5</v>
      </c>
      <c r="D6" t="str">
        <f t="shared" si="0"/>
        <v>ccf4-100-05</v>
      </c>
      <c r="F6" t="s">
        <v>792</v>
      </c>
      <c r="G6">
        <v>900.97583012699999</v>
      </c>
      <c r="H6">
        <v>903.40829579500098</v>
      </c>
      <c r="I6">
        <v>7.1966720000000004</v>
      </c>
      <c r="K6">
        <v>138755072</v>
      </c>
      <c r="N6" t="s">
        <v>792</v>
      </c>
      <c r="O6">
        <v>901.00334988500003</v>
      </c>
      <c r="P6">
        <v>902.75816702097597</v>
      </c>
      <c r="Q6">
        <v>7.2581119999999997</v>
      </c>
      <c r="S6">
        <v>138755072</v>
      </c>
      <c r="V6" t="s">
        <v>792</v>
      </c>
      <c r="W6">
        <v>901.00220537400003</v>
      </c>
      <c r="X6">
        <v>903.49286717300095</v>
      </c>
      <c r="Y6">
        <v>7.2704000000000004</v>
      </c>
      <c r="AC6" t="s">
        <v>1022</v>
      </c>
      <c r="AD6" t="s">
        <v>792</v>
      </c>
      <c r="AE6">
        <v>901.00027503900003</v>
      </c>
      <c r="AF6">
        <v>902.63264713500303</v>
      </c>
      <c r="AG6">
        <v>7.3236480000000004</v>
      </c>
      <c r="AI6">
        <v>138755072</v>
      </c>
      <c r="AJ6" s="1">
        <v>3.5781999999999997E-5</v>
      </c>
      <c r="AK6" s="1">
        <v>1.39831E-5</v>
      </c>
      <c r="AN6" t="s">
        <v>1022</v>
      </c>
      <c r="AO6" t="s">
        <v>792</v>
      </c>
      <c r="AP6">
        <v>901.00157390100003</v>
      </c>
      <c r="AQ6">
        <v>902.26208944199595</v>
      </c>
      <c r="AR6">
        <v>7.254016</v>
      </c>
      <c r="AT6">
        <v>138755072</v>
      </c>
      <c r="AU6">
        <v>15.196999999999999</v>
      </c>
      <c r="AV6" s="1">
        <v>1.95728E-5</v>
      </c>
      <c r="AW6" s="1"/>
      <c r="AX6" t="s">
        <v>1022</v>
      </c>
      <c r="AY6" t="s">
        <v>792</v>
      </c>
      <c r="AZ6">
        <v>901.002709106</v>
      </c>
      <c r="BA6">
        <v>902.52458547099297</v>
      </c>
      <c r="BB6">
        <v>7.254016</v>
      </c>
      <c r="BE6">
        <v>138755072</v>
      </c>
      <c r="BF6">
        <v>15.177099999999999</v>
      </c>
      <c r="BG6" s="1">
        <v>1.95728E-5</v>
      </c>
      <c r="BH6" s="1"/>
      <c r="BI6" s="1"/>
      <c r="BJ6" s="1"/>
      <c r="BK6" s="1"/>
      <c r="BL6" s="1"/>
      <c r="BM6" s="1"/>
      <c r="BN6" s="1"/>
      <c r="BO6" s="1"/>
      <c r="BQ6" t="s">
        <v>792</v>
      </c>
      <c r="BR6">
        <v>23.561155550999999</v>
      </c>
      <c r="BS6">
        <v>931.332190723042</v>
      </c>
      <c r="BT6">
        <v>7.2908799999999996</v>
      </c>
      <c r="CA6" t="s">
        <v>792</v>
      </c>
      <c r="CB6">
        <v>21.495045733000001</v>
      </c>
      <c r="CC6">
        <v>931.23664593102797</v>
      </c>
      <c r="CD6">
        <v>7.3113599999999996</v>
      </c>
      <c r="CJ6" t="s">
        <v>792</v>
      </c>
      <c r="CK6">
        <v>122.79454971</v>
      </c>
      <c r="CL6">
        <v>931.26747423794495</v>
      </c>
      <c r="CM6">
        <v>7.254016</v>
      </c>
      <c r="CT6" t="s">
        <v>792</v>
      </c>
      <c r="CU6">
        <v>122.864231613</v>
      </c>
      <c r="CV6">
        <v>931.12437067006204</v>
      </c>
      <c r="CW6">
        <v>7.1966720000000004</v>
      </c>
    </row>
    <row r="7" spans="1:105" x14ac:dyDescent="0.2">
      <c r="A7" t="s">
        <v>809</v>
      </c>
      <c r="B7">
        <v>100</v>
      </c>
      <c r="C7">
        <v>5</v>
      </c>
      <c r="D7" t="str">
        <f t="shared" si="0"/>
        <v>ccf5-100-05</v>
      </c>
      <c r="F7" t="s">
        <v>792</v>
      </c>
      <c r="G7">
        <v>901.00144774099999</v>
      </c>
      <c r="H7">
        <v>903.42214553699796</v>
      </c>
      <c r="I7">
        <v>7.8848000000000003</v>
      </c>
      <c r="K7">
        <v>139014144</v>
      </c>
      <c r="N7" t="s">
        <v>792</v>
      </c>
      <c r="O7">
        <v>900.99687281599995</v>
      </c>
      <c r="P7">
        <v>902.91110272199103</v>
      </c>
      <c r="Q7">
        <v>7.5161600000000002</v>
      </c>
      <c r="S7">
        <v>139014144</v>
      </c>
      <c r="V7" t="s">
        <v>792</v>
      </c>
      <c r="W7">
        <v>900.99437541299994</v>
      </c>
      <c r="X7">
        <v>902.75540065798805</v>
      </c>
      <c r="Y7">
        <v>7.5243520000000004</v>
      </c>
      <c r="AC7" t="s">
        <v>1023</v>
      </c>
      <c r="AD7" t="s">
        <v>792</v>
      </c>
      <c r="AE7">
        <v>901.00263383100003</v>
      </c>
      <c r="AF7">
        <v>902.44799939001598</v>
      </c>
      <c r="AG7">
        <v>7.9134719999999996</v>
      </c>
      <c r="AI7">
        <v>139014144</v>
      </c>
      <c r="AJ7" s="1">
        <v>4.3599E-5</v>
      </c>
      <c r="AK7" s="1">
        <v>1.4633200000000001E-5</v>
      </c>
      <c r="AN7" t="s">
        <v>1023</v>
      </c>
      <c r="AO7" t="s">
        <v>792</v>
      </c>
      <c r="AP7">
        <v>901.00181766000003</v>
      </c>
      <c r="AQ7">
        <v>902.18585661900499</v>
      </c>
      <c r="AR7">
        <v>7.5161600000000002</v>
      </c>
      <c r="AT7">
        <v>139014144</v>
      </c>
      <c r="AU7">
        <v>15.131600000000001</v>
      </c>
      <c r="AV7" s="1">
        <v>2.10455E-5</v>
      </c>
      <c r="AW7" s="1"/>
      <c r="AX7" t="s">
        <v>1023</v>
      </c>
      <c r="AY7" t="s">
        <v>792</v>
      </c>
      <c r="AZ7">
        <v>900.99725093200004</v>
      </c>
      <c r="BA7">
        <v>902.22195341400197</v>
      </c>
      <c r="BB7">
        <v>7.5980800000000004</v>
      </c>
      <c r="BE7">
        <v>139014144</v>
      </c>
      <c r="BF7">
        <v>15.1676</v>
      </c>
      <c r="BG7" s="1">
        <v>2.10455E-5</v>
      </c>
      <c r="BH7" s="1"/>
      <c r="BI7" s="1"/>
      <c r="BJ7" s="1"/>
      <c r="BK7" s="1"/>
      <c r="BL7" s="1"/>
      <c r="BM7" s="1"/>
      <c r="BN7" s="1"/>
      <c r="BO7" s="1"/>
      <c r="BQ7" t="s">
        <v>792</v>
      </c>
      <c r="BR7">
        <v>30.863251228999999</v>
      </c>
      <c r="BS7">
        <v>931.09824767999805</v>
      </c>
      <c r="BT7">
        <v>7.6103680000000002</v>
      </c>
      <c r="CA7" t="s">
        <v>792</v>
      </c>
      <c r="CB7">
        <v>29.037919978000001</v>
      </c>
      <c r="CC7">
        <v>931.13439781393299</v>
      </c>
      <c r="CD7">
        <v>7.6226560000000001</v>
      </c>
      <c r="CJ7" t="s">
        <v>792</v>
      </c>
      <c r="CK7">
        <v>123.37229838899999</v>
      </c>
      <c r="CL7">
        <v>931.25382156704995</v>
      </c>
      <c r="CM7">
        <v>7.5735039999999998</v>
      </c>
      <c r="CT7" t="s">
        <v>792</v>
      </c>
      <c r="CU7">
        <v>122.942523341</v>
      </c>
      <c r="CV7">
        <v>931.04602252505697</v>
      </c>
      <c r="CW7">
        <v>7.6185600000000004</v>
      </c>
    </row>
    <row r="8" spans="1:105" x14ac:dyDescent="0.2">
      <c r="A8" t="s">
        <v>810</v>
      </c>
      <c r="B8">
        <v>100</v>
      </c>
      <c r="C8">
        <v>5</v>
      </c>
      <c r="D8" t="str">
        <f t="shared" si="0"/>
        <v>ccf6-100-05</v>
      </c>
      <c r="F8" t="s">
        <v>792</v>
      </c>
      <c r="G8">
        <v>900.50811335699996</v>
      </c>
      <c r="H8">
        <v>901.02341751800805</v>
      </c>
      <c r="I8">
        <v>8.4377600000000008</v>
      </c>
      <c r="N8" t="s">
        <v>792</v>
      </c>
      <c r="O8">
        <v>900.57327815600001</v>
      </c>
      <c r="P8">
        <v>901.06586396999705</v>
      </c>
      <c r="Q8">
        <v>7.9175680000000002</v>
      </c>
      <c r="V8" t="s">
        <v>792</v>
      </c>
      <c r="W8">
        <v>900.59151441999995</v>
      </c>
      <c r="X8">
        <v>901.01325938699301</v>
      </c>
      <c r="Y8">
        <v>7.9544319999999997</v>
      </c>
      <c r="AC8" t="s">
        <v>1024</v>
      </c>
      <c r="AD8" t="s">
        <v>792</v>
      </c>
      <c r="AE8">
        <v>900.46385791399996</v>
      </c>
      <c r="AF8">
        <v>901.03186579799501</v>
      </c>
      <c r="AG8">
        <v>8.3722239999999992</v>
      </c>
      <c r="AN8" t="s">
        <v>1024</v>
      </c>
      <c r="AO8" t="s">
        <v>792</v>
      </c>
      <c r="AP8">
        <v>900.606204617</v>
      </c>
      <c r="AQ8">
        <v>901.04825900500805</v>
      </c>
      <c r="AR8">
        <v>7.9175680000000002</v>
      </c>
      <c r="AX8" t="s">
        <v>1024</v>
      </c>
      <c r="AY8" t="s">
        <v>792</v>
      </c>
      <c r="AZ8">
        <v>900.62724787299999</v>
      </c>
      <c r="BA8">
        <v>901.04067850697902</v>
      </c>
      <c r="BB8">
        <v>7.9134719999999996</v>
      </c>
      <c r="BQ8" t="s">
        <v>792</v>
      </c>
      <c r="BR8">
        <v>900.60140243299998</v>
      </c>
      <c r="BS8">
        <v>901.00967098097306</v>
      </c>
      <c r="BT8">
        <v>8.0076800000000006</v>
      </c>
      <c r="CA8" t="s">
        <v>792</v>
      </c>
      <c r="CB8">
        <v>900.64315807699995</v>
      </c>
      <c r="CC8">
        <v>901.01031578599896</v>
      </c>
      <c r="CD8">
        <v>7.9544319999999997</v>
      </c>
      <c r="CJ8" t="s">
        <v>792</v>
      </c>
      <c r="CK8">
        <v>900.68229501200005</v>
      </c>
      <c r="CL8">
        <v>901.00945186591696</v>
      </c>
      <c r="CM8">
        <v>7.9380480000000002</v>
      </c>
      <c r="CT8" t="s">
        <v>792</v>
      </c>
      <c r="CU8">
        <v>900.53896677</v>
      </c>
      <c r="CV8">
        <v>901.00983396102595</v>
      </c>
      <c r="CW8">
        <v>7.9052800000000003</v>
      </c>
    </row>
    <row r="9" spans="1:105" x14ac:dyDescent="0.2">
      <c r="A9" t="s">
        <v>811</v>
      </c>
      <c r="B9">
        <v>100</v>
      </c>
      <c r="C9">
        <v>5</v>
      </c>
      <c r="D9" t="str">
        <f t="shared" si="0"/>
        <v>ccf7-100-05</v>
      </c>
      <c r="F9" t="s">
        <v>792</v>
      </c>
      <c r="G9">
        <v>900.238029342</v>
      </c>
      <c r="H9">
        <v>901.02447767600802</v>
      </c>
      <c r="I9">
        <v>8.8268799999999992</v>
      </c>
      <c r="N9" t="s">
        <v>792</v>
      </c>
      <c r="O9">
        <v>900.56854198099995</v>
      </c>
      <c r="P9">
        <v>901.03177664201905</v>
      </c>
      <c r="Q9">
        <v>8.5360639999999997</v>
      </c>
      <c r="V9" t="s">
        <v>792</v>
      </c>
      <c r="W9">
        <v>900.55779994900001</v>
      </c>
      <c r="X9">
        <v>901.012258672999</v>
      </c>
      <c r="Y9">
        <v>8.5237759999999998</v>
      </c>
      <c r="AC9" t="s">
        <v>1025</v>
      </c>
      <c r="AD9" t="s">
        <v>792</v>
      </c>
      <c r="AE9">
        <v>900.317365827</v>
      </c>
      <c r="AF9">
        <v>901.03222791000701</v>
      </c>
      <c r="AG9">
        <v>8.8268799999999992</v>
      </c>
      <c r="AN9" t="s">
        <v>1025</v>
      </c>
      <c r="AO9" t="s">
        <v>792</v>
      </c>
      <c r="AP9">
        <v>900.57390462900003</v>
      </c>
      <c r="AQ9">
        <v>901.04445578399395</v>
      </c>
      <c r="AR9">
        <v>8.4746240000000004</v>
      </c>
      <c r="AX9" t="s">
        <v>1025</v>
      </c>
      <c r="AY9" t="s">
        <v>792</v>
      </c>
      <c r="AZ9">
        <v>900.587552964</v>
      </c>
      <c r="BA9">
        <v>901.03471640599298</v>
      </c>
      <c r="BB9">
        <v>8.5278720000000003</v>
      </c>
      <c r="BQ9" t="s">
        <v>792</v>
      </c>
      <c r="BR9">
        <v>900.31961623899997</v>
      </c>
      <c r="BS9">
        <v>901.01303382601998</v>
      </c>
      <c r="BT9">
        <v>9.2692479999999993</v>
      </c>
      <c r="CA9" t="s">
        <v>792</v>
      </c>
      <c r="CB9">
        <v>900.45022201400002</v>
      </c>
      <c r="CC9">
        <v>901.00699391798105</v>
      </c>
      <c r="CD9">
        <v>8.5442560000000007</v>
      </c>
      <c r="CJ9" t="s">
        <v>792</v>
      </c>
      <c r="CK9">
        <v>900.46412727999996</v>
      </c>
      <c r="CL9">
        <v>901.01032569201197</v>
      </c>
      <c r="CM9">
        <v>8.5770239999999998</v>
      </c>
      <c r="CT9" t="s">
        <v>792</v>
      </c>
      <c r="CU9">
        <v>900.49653926200006</v>
      </c>
      <c r="CV9">
        <v>901.00650697701997</v>
      </c>
      <c r="CW9">
        <v>8.5401600000000002</v>
      </c>
    </row>
    <row r="10" spans="1:105" x14ac:dyDescent="0.2">
      <c r="A10" t="s">
        <v>812</v>
      </c>
      <c r="B10">
        <v>100</v>
      </c>
      <c r="C10">
        <v>5</v>
      </c>
      <c r="D10" t="str">
        <f t="shared" si="0"/>
        <v>ccf8-100-05</v>
      </c>
      <c r="F10" t="s">
        <v>792</v>
      </c>
      <c r="G10">
        <v>900.53506641399997</v>
      </c>
      <c r="H10">
        <v>901.02663284899597</v>
      </c>
      <c r="I10">
        <v>10.100735999999999</v>
      </c>
      <c r="N10" t="s">
        <v>792</v>
      </c>
      <c r="O10">
        <v>900.57686152899998</v>
      </c>
      <c r="P10">
        <v>901.02901377101</v>
      </c>
      <c r="Q10">
        <v>8.8309759999999997</v>
      </c>
      <c r="V10" t="s">
        <v>792</v>
      </c>
      <c r="W10">
        <v>900.55886131499994</v>
      </c>
      <c r="X10">
        <v>901.01193925899804</v>
      </c>
      <c r="Y10">
        <v>8.9210879999999992</v>
      </c>
      <c r="AC10" t="s">
        <v>1026</v>
      </c>
      <c r="AD10" t="s">
        <v>792</v>
      </c>
      <c r="AE10">
        <v>900.56415408700002</v>
      </c>
      <c r="AF10">
        <v>901.03483758700895</v>
      </c>
      <c r="AG10">
        <v>10.018815999999999</v>
      </c>
      <c r="AN10" t="s">
        <v>1026</v>
      </c>
      <c r="AO10" t="s">
        <v>792</v>
      </c>
      <c r="AP10">
        <v>900.55980494400001</v>
      </c>
      <c r="AQ10">
        <v>901.039733700017</v>
      </c>
      <c r="AR10">
        <v>8.8268799999999992</v>
      </c>
      <c r="AX10" t="s">
        <v>1026</v>
      </c>
      <c r="AY10" t="s">
        <v>792</v>
      </c>
      <c r="AZ10">
        <v>900.593005221</v>
      </c>
      <c r="BA10">
        <v>901.03468856602501</v>
      </c>
      <c r="BB10">
        <v>8.9620479999999993</v>
      </c>
      <c r="BQ10" t="s">
        <v>792</v>
      </c>
      <c r="BR10">
        <v>900.60141419199999</v>
      </c>
      <c r="BS10">
        <v>901.00468168401801</v>
      </c>
      <c r="BT10">
        <v>8.9292800000000003</v>
      </c>
      <c r="CA10" t="s">
        <v>792</v>
      </c>
      <c r="CB10">
        <v>900.61603384099999</v>
      </c>
      <c r="CC10">
        <v>901.00762154604297</v>
      </c>
      <c r="CD10">
        <v>8.8309759999999997</v>
      </c>
      <c r="CJ10" t="s">
        <v>792</v>
      </c>
      <c r="CK10">
        <v>900.473664031</v>
      </c>
      <c r="CL10">
        <v>901.00680687499698</v>
      </c>
      <c r="CM10">
        <v>8.8309759999999997</v>
      </c>
      <c r="CT10" t="s">
        <v>792</v>
      </c>
      <c r="CU10">
        <v>900.60092052000005</v>
      </c>
      <c r="CV10">
        <v>901.00823310110695</v>
      </c>
      <c r="CW10">
        <v>8.8801279999999991</v>
      </c>
    </row>
    <row r="11" spans="1:105" x14ac:dyDescent="0.2">
      <c r="A11" t="s">
        <v>813</v>
      </c>
      <c r="B11">
        <v>100</v>
      </c>
      <c r="C11">
        <v>5</v>
      </c>
      <c r="D11" t="str">
        <f t="shared" si="0"/>
        <v>ccf9-100-05</v>
      </c>
      <c r="F11" t="s">
        <v>792</v>
      </c>
      <c r="G11">
        <v>900.502327595</v>
      </c>
      <c r="H11">
        <v>901.02167390599698</v>
      </c>
      <c r="I11">
        <v>9.7116159999999994</v>
      </c>
      <c r="N11" t="s">
        <v>792</v>
      </c>
      <c r="O11">
        <v>900.62440271599996</v>
      </c>
      <c r="P11">
        <v>901.03022412001098</v>
      </c>
      <c r="Q11">
        <v>9.1791359999999997</v>
      </c>
      <c r="V11" t="s">
        <v>792</v>
      </c>
      <c r="W11">
        <v>900.32915398299997</v>
      </c>
      <c r="X11">
        <v>901.01225018399396</v>
      </c>
      <c r="Y11">
        <v>9.1750399999999992</v>
      </c>
      <c r="AC11" t="s">
        <v>1027</v>
      </c>
      <c r="AD11" t="s">
        <v>792</v>
      </c>
      <c r="AE11">
        <v>900.49929923900004</v>
      </c>
      <c r="AF11">
        <v>901.03369731100895</v>
      </c>
      <c r="AG11">
        <v>9.6256000000000004</v>
      </c>
      <c r="AN11" t="s">
        <v>1027</v>
      </c>
      <c r="AO11" t="s">
        <v>792</v>
      </c>
      <c r="AP11">
        <v>900.48886139900003</v>
      </c>
      <c r="AQ11">
        <v>901.04059063098896</v>
      </c>
      <c r="AR11">
        <v>9.2241920000000004</v>
      </c>
      <c r="AX11" t="s">
        <v>1027</v>
      </c>
      <c r="AY11" t="s">
        <v>792</v>
      </c>
      <c r="AZ11">
        <v>900.62511521900001</v>
      </c>
      <c r="BA11">
        <v>901.03798539398099</v>
      </c>
      <c r="BB11">
        <v>9.2405760000000008</v>
      </c>
      <c r="BQ11" t="s">
        <v>792</v>
      </c>
      <c r="BR11">
        <v>900.26414824400001</v>
      </c>
      <c r="BS11">
        <v>901.00510239496305</v>
      </c>
      <c r="BT11">
        <v>9.3388799999999996</v>
      </c>
      <c r="CA11" t="s">
        <v>792</v>
      </c>
      <c r="CB11">
        <v>900.507882268</v>
      </c>
      <c r="CC11">
        <v>901.00793934706599</v>
      </c>
      <c r="CD11">
        <v>9.1750399999999992</v>
      </c>
      <c r="CJ11" t="s">
        <v>792</v>
      </c>
      <c r="CK11">
        <v>900.59315650799999</v>
      </c>
      <c r="CL11">
        <v>901.007550410926</v>
      </c>
      <c r="CM11">
        <v>9.2323839999999997</v>
      </c>
      <c r="CT11" t="s">
        <v>792</v>
      </c>
      <c r="CU11">
        <v>900.57336251000004</v>
      </c>
      <c r="CV11">
        <v>901.00772744591802</v>
      </c>
      <c r="CW11">
        <v>9.2979199999999995</v>
      </c>
    </row>
    <row r="12" spans="1:105" x14ac:dyDescent="0.2">
      <c r="A12" t="s">
        <v>805</v>
      </c>
      <c r="B12">
        <v>200</v>
      </c>
      <c r="C12">
        <v>5</v>
      </c>
      <c r="D12" t="str">
        <f t="shared" si="0"/>
        <v>ccf1-200-05</v>
      </c>
      <c r="F12" t="s">
        <v>833</v>
      </c>
      <c r="G12">
        <v>0.97996791100000002</v>
      </c>
      <c r="H12">
        <v>0.98823162699409295</v>
      </c>
      <c r="I12">
        <v>7.2499200000000004</v>
      </c>
      <c r="K12">
        <v>38595</v>
      </c>
      <c r="N12" t="s">
        <v>833</v>
      </c>
      <c r="O12">
        <v>1.01740323</v>
      </c>
      <c r="P12">
        <v>1.03555413201684</v>
      </c>
      <c r="Q12">
        <v>6.7256320000000001</v>
      </c>
      <c r="S12">
        <v>38595</v>
      </c>
      <c r="V12" t="s">
        <v>833</v>
      </c>
      <c r="W12">
        <v>1.007870482</v>
      </c>
      <c r="X12">
        <v>1.0123133300075999</v>
      </c>
      <c r="Y12">
        <v>6.7706879999999998</v>
      </c>
      <c r="AC12" t="s">
        <v>1028</v>
      </c>
      <c r="AD12" t="s">
        <v>833</v>
      </c>
      <c r="AE12">
        <v>1.176530842</v>
      </c>
      <c r="AF12">
        <v>1.2020970709854699</v>
      </c>
      <c r="AG12">
        <v>7.2581119999999997</v>
      </c>
      <c r="AI12">
        <v>38595</v>
      </c>
      <c r="AJ12" s="1">
        <v>1.9324999999999999E-5</v>
      </c>
      <c r="AK12" s="1">
        <v>1.9808299999999999E-7</v>
      </c>
      <c r="AN12" t="s">
        <v>1028</v>
      </c>
      <c r="AO12" t="s">
        <v>833</v>
      </c>
      <c r="AP12">
        <v>1.1896825529999999</v>
      </c>
      <c r="AQ12">
        <v>1.220803076023</v>
      </c>
      <c r="AR12">
        <v>6.7215360000000004</v>
      </c>
      <c r="AT12">
        <v>38595</v>
      </c>
      <c r="AU12">
        <v>1.54573E-2</v>
      </c>
      <c r="AV12" s="1">
        <v>2.57129E-7</v>
      </c>
      <c r="AW12" s="1"/>
      <c r="AX12" s="1" t="s">
        <v>1028</v>
      </c>
      <c r="AY12" t="s">
        <v>833</v>
      </c>
      <c r="AZ12">
        <v>1.153946672</v>
      </c>
      <c r="BA12">
        <v>1.1819323119998399</v>
      </c>
      <c r="BB12">
        <v>6.7624959999999996</v>
      </c>
      <c r="BE12">
        <v>38595</v>
      </c>
      <c r="BF12">
        <v>1.3857299999999999E-2</v>
      </c>
      <c r="BG12" s="1">
        <v>2.57129E-7</v>
      </c>
      <c r="BH12" s="1"/>
      <c r="BI12" s="1"/>
      <c r="BJ12" s="1"/>
      <c r="BK12" s="1"/>
      <c r="BL12" s="1"/>
      <c r="BM12" s="1"/>
      <c r="BN12" s="1"/>
      <c r="BO12" s="1"/>
      <c r="BQ12" t="s">
        <v>833</v>
      </c>
      <c r="BR12">
        <v>0.99964777900000001</v>
      </c>
      <c r="BS12">
        <v>18.891143208020299</v>
      </c>
      <c r="BT12">
        <v>6.7215360000000004</v>
      </c>
      <c r="CA12" t="s">
        <v>833</v>
      </c>
      <c r="CB12">
        <v>0.97886116300000003</v>
      </c>
      <c r="CC12">
        <v>23.114818155066999</v>
      </c>
      <c r="CD12">
        <v>8.0896000000000008</v>
      </c>
      <c r="CJ12" t="s">
        <v>833</v>
      </c>
      <c r="CK12">
        <v>1.183916287</v>
      </c>
      <c r="CL12">
        <v>42.057831402984398</v>
      </c>
      <c r="CM12">
        <v>6.7624959999999996</v>
      </c>
      <c r="CT12" t="s">
        <v>833</v>
      </c>
      <c r="CU12">
        <v>1.1724345789999999</v>
      </c>
      <c r="CV12">
        <v>43.347469019004997</v>
      </c>
      <c r="CW12">
        <v>6.7379199999999999</v>
      </c>
    </row>
    <row r="13" spans="1:105" x14ac:dyDescent="0.2">
      <c r="A13" t="s">
        <v>806</v>
      </c>
      <c r="B13">
        <v>200</v>
      </c>
      <c r="C13">
        <v>5</v>
      </c>
      <c r="D13" t="str">
        <f t="shared" si="0"/>
        <v>ccf2-200-05</v>
      </c>
      <c r="F13" t="s">
        <v>833</v>
      </c>
      <c r="G13">
        <v>14.18923755</v>
      </c>
      <c r="H13">
        <v>14.251391930010801</v>
      </c>
      <c r="I13">
        <v>13.02528</v>
      </c>
      <c r="K13">
        <v>590652</v>
      </c>
      <c r="N13" t="s">
        <v>833</v>
      </c>
      <c r="O13">
        <v>14.070816247</v>
      </c>
      <c r="P13">
        <v>14.1118162210041</v>
      </c>
      <c r="Q13">
        <v>7.5694080000000001</v>
      </c>
      <c r="S13">
        <v>590652</v>
      </c>
      <c r="V13" t="s">
        <v>833</v>
      </c>
      <c r="W13">
        <v>15.064247107</v>
      </c>
      <c r="X13">
        <v>15.1132492430042</v>
      </c>
      <c r="Y13">
        <v>7.6840960000000003</v>
      </c>
      <c r="AC13" t="s">
        <v>1029</v>
      </c>
      <c r="AD13" t="s">
        <v>833</v>
      </c>
      <c r="AE13">
        <v>16.807068467000001</v>
      </c>
      <c r="AF13">
        <v>16.872276566980801</v>
      </c>
      <c r="AG13">
        <v>13.021184</v>
      </c>
      <c r="AI13">
        <v>590652</v>
      </c>
      <c r="AJ13">
        <v>2.7419199999999998E-4</v>
      </c>
      <c r="AK13" s="1">
        <v>1.9826200000000001E-7</v>
      </c>
      <c r="AN13" t="s">
        <v>1029</v>
      </c>
      <c r="AO13" t="s">
        <v>833</v>
      </c>
      <c r="AP13">
        <v>16.816384222</v>
      </c>
      <c r="AQ13">
        <v>16.875801084010099</v>
      </c>
      <c r="AR13">
        <v>7.5161600000000002</v>
      </c>
      <c r="AT13">
        <v>590652</v>
      </c>
      <c r="AU13">
        <v>0.18981600000000001</v>
      </c>
      <c r="AV13" s="1">
        <v>2.5761399999999999E-7</v>
      </c>
      <c r="AW13" s="1"/>
      <c r="AX13" t="s">
        <v>1029</v>
      </c>
      <c r="AY13" t="s">
        <v>833</v>
      </c>
      <c r="AZ13">
        <v>17.221681088</v>
      </c>
      <c r="BA13">
        <v>17.282802385976499</v>
      </c>
      <c r="BB13">
        <v>7.6513280000000004</v>
      </c>
      <c r="BE13">
        <v>590652</v>
      </c>
      <c r="BF13">
        <v>0.189526</v>
      </c>
      <c r="BG13" s="1">
        <v>2.5761399999999999E-7</v>
      </c>
      <c r="BH13" s="1"/>
      <c r="BI13" s="1"/>
      <c r="BJ13" s="1"/>
      <c r="BK13" s="1"/>
      <c r="BL13" s="1"/>
      <c r="BM13" s="1"/>
      <c r="BN13" s="1"/>
      <c r="BO13" s="1"/>
      <c r="BQ13" t="s">
        <v>792</v>
      </c>
      <c r="BR13">
        <v>1.903011239</v>
      </c>
      <c r="BS13">
        <v>931.19125318096405</v>
      </c>
      <c r="BT13">
        <v>7.8684159999999999</v>
      </c>
      <c r="CA13" t="s">
        <v>792</v>
      </c>
      <c r="CB13">
        <v>0.66000027299999997</v>
      </c>
      <c r="CC13">
        <v>931.05119230691298</v>
      </c>
      <c r="CD13">
        <v>7.5857919999999996</v>
      </c>
      <c r="CJ13" t="s">
        <v>792</v>
      </c>
      <c r="CK13">
        <v>1.273924743</v>
      </c>
      <c r="CL13">
        <v>931.10433615196905</v>
      </c>
      <c r="CM13">
        <v>7.5202559999999998</v>
      </c>
      <c r="CT13" t="s">
        <v>792</v>
      </c>
      <c r="CU13">
        <v>1.274542611</v>
      </c>
      <c r="CV13">
        <v>931.06056994700305</v>
      </c>
      <c r="CW13">
        <v>7.5243520000000004</v>
      </c>
    </row>
    <row r="14" spans="1:105" x14ac:dyDescent="0.2">
      <c r="A14" t="s">
        <v>807</v>
      </c>
      <c r="B14">
        <v>200</v>
      </c>
      <c r="C14">
        <v>5</v>
      </c>
      <c r="D14" t="str">
        <f t="shared" si="0"/>
        <v>ccf3-200-05</v>
      </c>
      <c r="F14" t="s">
        <v>833</v>
      </c>
      <c r="G14">
        <v>126.474966369</v>
      </c>
      <c r="H14">
        <v>126.72853575200099</v>
      </c>
      <c r="I14">
        <v>78.938112000000004</v>
      </c>
      <c r="K14">
        <v>5124571</v>
      </c>
      <c r="N14" t="s">
        <v>833</v>
      </c>
      <c r="O14">
        <v>127.13217714300001</v>
      </c>
      <c r="P14">
        <v>127.390225430979</v>
      </c>
      <c r="Q14">
        <v>8.4336640000000003</v>
      </c>
      <c r="S14">
        <v>5124571</v>
      </c>
      <c r="V14" t="s">
        <v>833</v>
      </c>
      <c r="W14">
        <v>124.828229689</v>
      </c>
      <c r="X14">
        <v>125.065133632</v>
      </c>
      <c r="Y14">
        <v>8.4992000000000001</v>
      </c>
      <c r="AC14" t="s">
        <v>1030</v>
      </c>
      <c r="AD14" t="s">
        <v>833</v>
      </c>
      <c r="AE14">
        <v>152.107668872</v>
      </c>
      <c r="AF14">
        <v>152.433942621981</v>
      </c>
      <c r="AG14">
        <v>78.917631999999998</v>
      </c>
      <c r="AI14">
        <v>5124571</v>
      </c>
      <c r="AJ14">
        <v>2.1854999999999999E-3</v>
      </c>
      <c r="AK14" s="1">
        <v>2.0233099999999999E-7</v>
      </c>
      <c r="AN14" t="s">
        <v>1030</v>
      </c>
      <c r="AO14" t="s">
        <v>833</v>
      </c>
      <c r="AP14">
        <v>149.539492276</v>
      </c>
      <c r="AQ14">
        <v>149.85494801099401</v>
      </c>
      <c r="AR14">
        <v>8.3025920000000006</v>
      </c>
      <c r="AT14">
        <v>5124571</v>
      </c>
      <c r="AU14">
        <v>1.50519</v>
      </c>
      <c r="AV14" s="1">
        <v>2.6479700000000001E-7</v>
      </c>
      <c r="AW14" s="1"/>
      <c r="AX14" t="s">
        <v>1030</v>
      </c>
      <c r="AY14" t="s">
        <v>833</v>
      </c>
      <c r="AZ14">
        <v>149.64532529300001</v>
      </c>
      <c r="BA14">
        <v>149.949708386993</v>
      </c>
      <c r="BB14">
        <v>8.6958079999999995</v>
      </c>
      <c r="BE14">
        <v>5124571</v>
      </c>
      <c r="BF14">
        <v>1.51424</v>
      </c>
      <c r="BG14" s="1">
        <v>2.6479700000000001E-7</v>
      </c>
      <c r="BH14" s="1"/>
      <c r="BI14" s="1"/>
      <c r="BJ14" s="1"/>
      <c r="BK14" s="1"/>
      <c r="BL14" s="1"/>
      <c r="BM14" s="1"/>
      <c r="BN14" s="1"/>
      <c r="BO14" s="1"/>
      <c r="BQ14" t="s">
        <v>792</v>
      </c>
      <c r="BR14">
        <v>4.0652815139999996</v>
      </c>
      <c r="BS14">
        <v>931.09217421500898</v>
      </c>
      <c r="BT14">
        <v>8.3640319999999999</v>
      </c>
      <c r="CA14" t="s">
        <v>792</v>
      </c>
      <c r="CB14">
        <v>2.8518603420000002</v>
      </c>
      <c r="CC14">
        <v>931.17975775897503</v>
      </c>
      <c r="CD14">
        <v>8.3681280000000005</v>
      </c>
      <c r="CJ14" t="s">
        <v>792</v>
      </c>
      <c r="CK14">
        <v>7.6197413999999997</v>
      </c>
      <c r="CL14">
        <v>931.32166438095703</v>
      </c>
      <c r="CM14">
        <v>8.4500480000000007</v>
      </c>
      <c r="CT14" t="s">
        <v>792</v>
      </c>
      <c r="CU14">
        <v>7.5447339519999996</v>
      </c>
      <c r="CV14">
        <v>931.31652973289602</v>
      </c>
      <c r="CW14">
        <v>8.4213760000000004</v>
      </c>
    </row>
    <row r="15" spans="1:105" x14ac:dyDescent="0.2">
      <c r="A15" t="s">
        <v>808</v>
      </c>
      <c r="B15">
        <v>200</v>
      </c>
      <c r="C15">
        <v>5</v>
      </c>
      <c r="D15" t="str">
        <f t="shared" si="0"/>
        <v>ccf4-200-05</v>
      </c>
      <c r="F15" t="s">
        <v>792</v>
      </c>
      <c r="G15">
        <v>901.01993061200005</v>
      </c>
      <c r="H15">
        <v>903.22656071999495</v>
      </c>
      <c r="I15">
        <v>101.629952</v>
      </c>
      <c r="K15">
        <v>630422619</v>
      </c>
      <c r="N15" t="s">
        <v>792</v>
      </c>
      <c r="O15">
        <v>901.01554023000006</v>
      </c>
      <c r="P15">
        <v>903.30382524800302</v>
      </c>
      <c r="Q15">
        <v>9.2364800000000002</v>
      </c>
      <c r="S15">
        <v>630422619</v>
      </c>
      <c r="V15" t="s">
        <v>792</v>
      </c>
      <c r="W15">
        <v>901.00901058800002</v>
      </c>
      <c r="X15">
        <v>902.80115667699999</v>
      </c>
      <c r="Y15">
        <v>9.5027200000000001</v>
      </c>
      <c r="AC15" t="s">
        <v>1031</v>
      </c>
      <c r="AD15" t="s">
        <v>792</v>
      </c>
      <c r="AE15">
        <v>901.01205639900002</v>
      </c>
      <c r="AF15">
        <v>902.29802483000003</v>
      </c>
      <c r="AG15">
        <v>101.76512</v>
      </c>
      <c r="AI15">
        <v>630422619</v>
      </c>
      <c r="AK15" s="1">
        <v>2.0233099999999999E-7</v>
      </c>
      <c r="AN15" t="s">
        <v>1031</v>
      </c>
      <c r="AO15" t="s">
        <v>792</v>
      </c>
      <c r="AP15">
        <v>900.40765734199999</v>
      </c>
      <c r="AQ15">
        <v>901.039912736014</v>
      </c>
      <c r="AR15">
        <v>9.3511679999999995</v>
      </c>
      <c r="AT15">
        <v>630422619</v>
      </c>
      <c r="AU15">
        <v>174.536</v>
      </c>
      <c r="AV15" s="1">
        <v>2.6479700000000001E-7</v>
      </c>
      <c r="AW15" s="1"/>
      <c r="AX15" t="s">
        <v>1031</v>
      </c>
      <c r="AY15" t="s">
        <v>792</v>
      </c>
      <c r="AZ15">
        <v>900.45720542200002</v>
      </c>
      <c r="BA15">
        <v>901.04678218701099</v>
      </c>
      <c r="BB15">
        <v>9.4822399999999991</v>
      </c>
      <c r="BQ15" t="s">
        <v>792</v>
      </c>
      <c r="BR15">
        <v>190.81968807800001</v>
      </c>
      <c r="BS15">
        <v>931.06617777602503</v>
      </c>
      <c r="BT15">
        <v>9.2979199999999995</v>
      </c>
      <c r="CA15" t="s">
        <v>792</v>
      </c>
      <c r="CB15">
        <v>192.21243558200001</v>
      </c>
      <c r="CC15">
        <v>931.32737893192098</v>
      </c>
      <c r="CD15">
        <v>9.2651520000000005</v>
      </c>
      <c r="CJ15" t="s">
        <v>792</v>
      </c>
      <c r="CK15">
        <v>818.86070119600004</v>
      </c>
      <c r="CL15">
        <v>931.12100532103796</v>
      </c>
      <c r="CM15">
        <v>9.2241920000000004</v>
      </c>
      <c r="CT15" t="s">
        <v>792</v>
      </c>
      <c r="CU15">
        <v>804.33768873099996</v>
      </c>
      <c r="CV15">
        <v>931.21816528600095</v>
      </c>
      <c r="CW15">
        <v>9.1709440000000004</v>
      </c>
    </row>
    <row r="16" spans="1:105" x14ac:dyDescent="0.2">
      <c r="A16" t="s">
        <v>809</v>
      </c>
      <c r="B16">
        <v>200</v>
      </c>
      <c r="C16">
        <v>5</v>
      </c>
      <c r="D16" t="str">
        <f t="shared" si="0"/>
        <v>ccf5-200-05</v>
      </c>
      <c r="F16" t="s">
        <v>792</v>
      </c>
      <c r="G16">
        <v>901.01363254900002</v>
      </c>
      <c r="H16">
        <v>902.32094418400004</v>
      </c>
      <c r="I16">
        <v>31.805440000000001</v>
      </c>
      <c r="K16">
        <v>1056597145</v>
      </c>
      <c r="N16" t="s">
        <v>792</v>
      </c>
      <c r="O16">
        <v>901.00814626399995</v>
      </c>
      <c r="P16">
        <v>902.69810833199801</v>
      </c>
      <c r="Q16">
        <v>9.3593600000000006</v>
      </c>
      <c r="S16">
        <v>1056597145</v>
      </c>
      <c r="V16" t="s">
        <v>792</v>
      </c>
      <c r="W16">
        <v>901.00764401100002</v>
      </c>
      <c r="X16">
        <v>902.35533921000001</v>
      </c>
      <c r="Y16">
        <v>12.754944</v>
      </c>
      <c r="AC16" t="s">
        <v>1032</v>
      </c>
      <c r="AD16" t="s">
        <v>792</v>
      </c>
      <c r="AE16">
        <v>900.49836832599999</v>
      </c>
      <c r="AF16">
        <v>901.04763137400698</v>
      </c>
      <c r="AG16">
        <v>31.772672</v>
      </c>
      <c r="AN16" t="s">
        <v>1032</v>
      </c>
      <c r="AO16" t="s">
        <v>792</v>
      </c>
      <c r="AP16">
        <v>900.55780081299997</v>
      </c>
      <c r="AQ16">
        <v>901.08245863701404</v>
      </c>
      <c r="AR16">
        <v>9.4453759999999996</v>
      </c>
      <c r="AX16" t="s">
        <v>1032</v>
      </c>
      <c r="AY16" t="s">
        <v>792</v>
      </c>
      <c r="AZ16">
        <v>900.33519087100001</v>
      </c>
      <c r="BA16">
        <v>901.07322749099603</v>
      </c>
      <c r="BB16">
        <v>12.763135999999999</v>
      </c>
      <c r="BQ16" t="s">
        <v>792</v>
      </c>
      <c r="BR16">
        <v>339.13952653400003</v>
      </c>
      <c r="BS16">
        <v>931.27321163896704</v>
      </c>
      <c r="BT16">
        <v>9.5313920000000003</v>
      </c>
      <c r="CA16" t="s">
        <v>792</v>
      </c>
      <c r="CB16">
        <v>340.42046652300002</v>
      </c>
      <c r="CC16">
        <v>931.01558949809896</v>
      </c>
      <c r="CD16">
        <v>9.4945280000000007</v>
      </c>
      <c r="CJ16" t="s">
        <v>792</v>
      </c>
      <c r="CK16">
        <v>900.65091390800001</v>
      </c>
      <c r="CL16">
        <v>901.01113358000202</v>
      </c>
      <c r="CM16">
        <v>9.5272959999999998</v>
      </c>
      <c r="CT16" t="s">
        <v>792</v>
      </c>
      <c r="CU16">
        <v>900.33329752400005</v>
      </c>
      <c r="CV16">
        <v>901.00909013394198</v>
      </c>
      <c r="CW16">
        <v>9.4986239999999995</v>
      </c>
    </row>
    <row r="17" spans="1:101" x14ac:dyDescent="0.2">
      <c r="A17" t="s">
        <v>810</v>
      </c>
      <c r="B17">
        <v>200</v>
      </c>
      <c r="C17">
        <v>5</v>
      </c>
      <c r="D17" t="str">
        <f t="shared" si="0"/>
        <v>ccf6-200-05</v>
      </c>
      <c r="F17" t="s">
        <v>792</v>
      </c>
      <c r="G17">
        <v>900.55491692999999</v>
      </c>
      <c r="H17">
        <v>901.05411435499195</v>
      </c>
      <c r="I17">
        <v>51.171328000000003</v>
      </c>
      <c r="N17" t="s">
        <v>792</v>
      </c>
      <c r="O17">
        <v>900.45830030399998</v>
      </c>
      <c r="P17">
        <v>901.07239105299197</v>
      </c>
      <c r="Q17">
        <v>12.36992</v>
      </c>
      <c r="V17" t="s">
        <v>792</v>
      </c>
      <c r="W17">
        <v>900.54513914799998</v>
      </c>
      <c r="X17">
        <v>901.05721981299496</v>
      </c>
      <c r="Y17">
        <v>38.453248000000002</v>
      </c>
      <c r="AC17" t="s">
        <v>1033</v>
      </c>
      <c r="AD17" t="s">
        <v>792</v>
      </c>
      <c r="AE17">
        <v>900.64608491599995</v>
      </c>
      <c r="AF17">
        <v>901.03807240398601</v>
      </c>
      <c r="AG17">
        <v>51.163136000000002</v>
      </c>
      <c r="AN17" t="s">
        <v>1033</v>
      </c>
      <c r="AO17" t="s">
        <v>792</v>
      </c>
      <c r="AP17">
        <v>900.57493953699998</v>
      </c>
      <c r="AQ17">
        <v>901.06955200099003</v>
      </c>
      <c r="AR17">
        <v>12.402687999999999</v>
      </c>
      <c r="AX17" t="s">
        <v>1033</v>
      </c>
      <c r="AY17" t="s">
        <v>792</v>
      </c>
      <c r="AZ17">
        <v>900.55694487799997</v>
      </c>
      <c r="BA17">
        <v>901.06492180700297</v>
      </c>
      <c r="BB17">
        <v>38.412287999999997</v>
      </c>
      <c r="BQ17" t="s">
        <v>792</v>
      </c>
      <c r="BR17">
        <v>900.55778460099998</v>
      </c>
      <c r="BS17">
        <v>901.00827808701399</v>
      </c>
      <c r="BT17">
        <v>12.464128000000001</v>
      </c>
      <c r="CA17" t="s">
        <v>792</v>
      </c>
      <c r="CB17">
        <v>900.55548175900003</v>
      </c>
      <c r="CC17">
        <v>901.007169220945</v>
      </c>
      <c r="CD17">
        <v>12.365824</v>
      </c>
      <c r="CJ17" t="s">
        <v>792</v>
      </c>
      <c r="CK17">
        <v>900.54819589700003</v>
      </c>
      <c r="CL17">
        <v>901.00744709605306</v>
      </c>
      <c r="CM17">
        <v>12.464128000000001</v>
      </c>
      <c r="CT17" t="s">
        <v>792</v>
      </c>
      <c r="CU17">
        <v>900.54833352499998</v>
      </c>
      <c r="CV17">
        <v>901.008717342978</v>
      </c>
      <c r="CW17">
        <v>12.320767999999999</v>
      </c>
    </row>
    <row r="18" spans="1:101" x14ac:dyDescent="0.2">
      <c r="A18" t="s">
        <v>811</v>
      </c>
      <c r="B18">
        <v>200</v>
      </c>
      <c r="C18">
        <v>5</v>
      </c>
      <c r="D18" t="str">
        <f t="shared" si="0"/>
        <v>ccf7-200-05</v>
      </c>
      <c r="F18" t="s">
        <v>792</v>
      </c>
      <c r="G18">
        <v>900.49205166199999</v>
      </c>
      <c r="H18">
        <v>901.05474658100798</v>
      </c>
      <c r="I18">
        <v>421.1712</v>
      </c>
      <c r="N18" t="s">
        <v>792</v>
      </c>
      <c r="O18">
        <v>900.58715135</v>
      </c>
      <c r="P18">
        <v>901.03226893299097</v>
      </c>
      <c r="Q18">
        <v>17.26464</v>
      </c>
      <c r="V18" t="s">
        <v>792</v>
      </c>
      <c r="W18">
        <v>900.57681414000001</v>
      </c>
      <c r="X18">
        <v>901.01724870200201</v>
      </c>
      <c r="Y18">
        <v>59.875328000000003</v>
      </c>
      <c r="AC18" t="s">
        <v>1034</v>
      </c>
      <c r="AD18" t="s">
        <v>792</v>
      </c>
      <c r="AE18">
        <v>900.65055078900002</v>
      </c>
      <c r="AF18">
        <v>901.07389002601803</v>
      </c>
      <c r="AG18">
        <v>421.04831999999999</v>
      </c>
      <c r="AN18" t="s">
        <v>1034</v>
      </c>
      <c r="AO18" t="s">
        <v>792</v>
      </c>
      <c r="AP18">
        <v>900.28162654000005</v>
      </c>
      <c r="AQ18">
        <v>901.04254292498797</v>
      </c>
      <c r="AR18">
        <v>17.334271999999999</v>
      </c>
      <c r="AX18" t="s">
        <v>1034</v>
      </c>
      <c r="AY18" t="s">
        <v>792</v>
      </c>
      <c r="AZ18">
        <v>900.28867023199996</v>
      </c>
      <c r="BA18">
        <v>901.03848899400305</v>
      </c>
      <c r="BB18">
        <v>59.817984000000003</v>
      </c>
      <c r="BQ18" t="s">
        <v>792</v>
      </c>
      <c r="BR18">
        <v>900.24367232300006</v>
      </c>
      <c r="BS18">
        <v>901.00875784998004</v>
      </c>
      <c r="BT18">
        <v>17.301504000000001</v>
      </c>
      <c r="CA18" t="s">
        <v>792</v>
      </c>
      <c r="CB18">
        <v>900.51200476899999</v>
      </c>
      <c r="CC18">
        <v>901.00783881498501</v>
      </c>
      <c r="CD18">
        <v>17.305599999999998</v>
      </c>
      <c r="CJ18" t="s">
        <v>792</v>
      </c>
      <c r="CK18">
        <v>900.46179210299999</v>
      </c>
      <c r="CL18">
        <v>901.00821710692196</v>
      </c>
      <c r="CM18">
        <v>17.219584000000001</v>
      </c>
      <c r="CT18" t="s">
        <v>792</v>
      </c>
      <c r="CU18">
        <v>900.46056202800003</v>
      </c>
      <c r="CV18">
        <v>901.00918504397805</v>
      </c>
      <c r="CW18">
        <v>17.338367999999999</v>
      </c>
    </row>
    <row r="19" spans="1:101" x14ac:dyDescent="0.2">
      <c r="A19" t="s">
        <v>812</v>
      </c>
      <c r="B19">
        <v>200</v>
      </c>
      <c r="C19">
        <v>5</v>
      </c>
      <c r="D19" t="str">
        <f t="shared" si="0"/>
        <v>ccf8-200-05</v>
      </c>
      <c r="F19" t="s">
        <v>792</v>
      </c>
      <c r="G19">
        <v>900.86720379799999</v>
      </c>
      <c r="H19">
        <v>901.409260942993</v>
      </c>
      <c r="I19">
        <v>7845.8552319999999</v>
      </c>
      <c r="N19" t="s">
        <v>792</v>
      </c>
      <c r="O19">
        <v>900.566950765</v>
      </c>
      <c r="P19">
        <v>901.03521986500698</v>
      </c>
      <c r="Q19">
        <v>76.337152000000003</v>
      </c>
      <c r="V19" t="s">
        <v>792</v>
      </c>
      <c r="W19">
        <v>900.51575821200004</v>
      </c>
      <c r="X19">
        <v>901.06608318800795</v>
      </c>
      <c r="Y19">
        <v>707.178496</v>
      </c>
      <c r="AC19" t="s">
        <v>1035</v>
      </c>
      <c r="AD19" t="s">
        <v>792</v>
      </c>
      <c r="AE19">
        <v>900.94669834299998</v>
      </c>
      <c r="AF19">
        <v>901.44975428198802</v>
      </c>
      <c r="AG19">
        <v>7845.7528320000001</v>
      </c>
      <c r="AN19" t="s">
        <v>1035</v>
      </c>
      <c r="AO19" t="s">
        <v>792</v>
      </c>
      <c r="AP19">
        <v>900.51202771999999</v>
      </c>
      <c r="AQ19">
        <v>901.04963903702401</v>
      </c>
      <c r="AR19">
        <v>76.333055999999999</v>
      </c>
      <c r="AX19" t="s">
        <v>1035</v>
      </c>
      <c r="AY19" t="s">
        <v>792</v>
      </c>
      <c r="AZ19">
        <v>900.60726083300005</v>
      </c>
      <c r="BA19">
        <v>901.09452569400298</v>
      </c>
      <c r="BB19">
        <v>707.04742399999998</v>
      </c>
      <c r="BQ19" t="s">
        <v>792</v>
      </c>
      <c r="BR19">
        <v>900.31376178000005</v>
      </c>
      <c r="BS19">
        <v>901.00848670396897</v>
      </c>
      <c r="BT19">
        <v>76.337152000000003</v>
      </c>
      <c r="CA19" t="s">
        <v>792</v>
      </c>
      <c r="CB19">
        <v>900.58738244300002</v>
      </c>
      <c r="CC19">
        <v>901.01296312699503</v>
      </c>
      <c r="CD19">
        <v>76.431359999999998</v>
      </c>
      <c r="CJ19" t="s">
        <v>792</v>
      </c>
      <c r="CK19">
        <v>900.47103703400001</v>
      </c>
      <c r="CL19">
        <v>901.01180496800202</v>
      </c>
      <c r="CM19">
        <v>76.333055999999999</v>
      </c>
      <c r="CT19" t="s">
        <v>792</v>
      </c>
      <c r="CU19">
        <v>900.582344767</v>
      </c>
      <c r="CV19">
        <v>901.01344215997904</v>
      </c>
      <c r="CW19">
        <v>76.431359999999998</v>
      </c>
    </row>
    <row r="20" spans="1:101" x14ac:dyDescent="0.2">
      <c r="A20" t="s">
        <v>813</v>
      </c>
      <c r="B20">
        <v>200</v>
      </c>
      <c r="C20">
        <v>5</v>
      </c>
      <c r="D20" t="str">
        <f t="shared" si="0"/>
        <v>ccf9-200-05</v>
      </c>
      <c r="F20" t="s">
        <v>792</v>
      </c>
      <c r="G20">
        <v>900.51382068500004</v>
      </c>
      <c r="H20">
        <v>901.066772660997</v>
      </c>
      <c r="I20">
        <v>725.40160000000003</v>
      </c>
      <c r="N20" t="s">
        <v>792</v>
      </c>
      <c r="O20">
        <v>900.57684954599995</v>
      </c>
      <c r="P20">
        <v>901.03059418499402</v>
      </c>
      <c r="Q20">
        <v>33.480704000000003</v>
      </c>
      <c r="V20" t="s">
        <v>792</v>
      </c>
      <c r="W20">
        <v>900.64395018200003</v>
      </c>
      <c r="X20">
        <v>901.04416733401001</v>
      </c>
      <c r="Y20">
        <v>397.43078400000002</v>
      </c>
      <c r="AC20" t="s">
        <v>1036</v>
      </c>
      <c r="AD20" t="s">
        <v>792</v>
      </c>
      <c r="AE20">
        <v>900.42187422400002</v>
      </c>
      <c r="AF20">
        <v>901.08658683800604</v>
      </c>
      <c r="AG20">
        <v>725.40569600000003</v>
      </c>
      <c r="AN20" t="s">
        <v>1036</v>
      </c>
      <c r="AO20" t="s">
        <v>792</v>
      </c>
      <c r="AP20">
        <v>900.43999998899994</v>
      </c>
      <c r="AQ20">
        <v>901.045500142994</v>
      </c>
      <c r="AR20">
        <v>33.501184000000002</v>
      </c>
      <c r="AX20" t="s">
        <v>1036</v>
      </c>
      <c r="AY20" t="s">
        <v>792</v>
      </c>
      <c r="AZ20">
        <v>900.63986642899999</v>
      </c>
      <c r="BA20">
        <v>901.07254433000298</v>
      </c>
      <c r="BB20">
        <v>397.54547200000002</v>
      </c>
      <c r="BQ20" t="s">
        <v>792</v>
      </c>
      <c r="BR20">
        <v>900.449418154</v>
      </c>
      <c r="BS20">
        <v>901.010202899982</v>
      </c>
      <c r="BT20">
        <v>33.533951999999999</v>
      </c>
      <c r="CA20" t="s">
        <v>792</v>
      </c>
      <c r="CB20">
        <v>900.46807927299994</v>
      </c>
      <c r="CC20">
        <v>901.00887755095005</v>
      </c>
      <c r="CD20">
        <v>33.161216000000003</v>
      </c>
      <c r="CJ20" t="s">
        <v>792</v>
      </c>
      <c r="CK20">
        <v>900.60831183000005</v>
      </c>
      <c r="CL20">
        <v>901.01099390699505</v>
      </c>
      <c r="CM20">
        <v>33.173504000000001</v>
      </c>
      <c r="CT20" t="s">
        <v>792</v>
      </c>
      <c r="CU20">
        <v>900.56074649100003</v>
      </c>
      <c r="CV20">
        <v>901.01089811907104</v>
      </c>
      <c r="CW20">
        <v>33.234943999999999</v>
      </c>
    </row>
    <row r="21" spans="1:101" x14ac:dyDescent="0.2">
      <c r="A21" t="s">
        <v>805</v>
      </c>
      <c r="B21">
        <v>300</v>
      </c>
      <c r="C21">
        <v>5</v>
      </c>
      <c r="D21" t="str">
        <f t="shared" si="0"/>
        <v>ccf1-300-05</v>
      </c>
      <c r="F21" t="s">
        <v>792</v>
      </c>
      <c r="G21">
        <v>901.01421236500005</v>
      </c>
      <c r="H21">
        <v>902.600299847006</v>
      </c>
      <c r="I21">
        <v>274.0224</v>
      </c>
      <c r="K21">
        <v>54057207</v>
      </c>
      <c r="N21" t="s">
        <v>792</v>
      </c>
      <c r="O21">
        <v>901.00203499500003</v>
      </c>
      <c r="P21">
        <v>902.39309761000902</v>
      </c>
      <c r="Q21">
        <v>11.042816</v>
      </c>
      <c r="S21">
        <v>54057207</v>
      </c>
      <c r="V21" t="s">
        <v>792</v>
      </c>
      <c r="W21">
        <v>901.00367379099998</v>
      </c>
      <c r="X21">
        <v>902.62402644599194</v>
      </c>
      <c r="Y21">
        <v>12.767232</v>
      </c>
      <c r="AC21" t="s">
        <v>1037</v>
      </c>
      <c r="AD21" t="s">
        <v>792</v>
      </c>
      <c r="AE21">
        <v>901.023330418</v>
      </c>
      <c r="AF21">
        <v>902.69682358999796</v>
      </c>
      <c r="AG21">
        <v>274.08793600000001</v>
      </c>
      <c r="AI21">
        <v>54057207</v>
      </c>
      <c r="AJ21">
        <v>6.8963799999999997E-3</v>
      </c>
      <c r="AK21">
        <v>3.2000000000000003E-4</v>
      </c>
      <c r="AN21" t="s">
        <v>1037</v>
      </c>
      <c r="AO21" t="s">
        <v>792</v>
      </c>
      <c r="AP21">
        <v>901.00434332299994</v>
      </c>
      <c r="AQ21">
        <v>902.57903287699401</v>
      </c>
      <c r="AR21">
        <v>10.911744000000001</v>
      </c>
      <c r="AT21">
        <v>54057207</v>
      </c>
      <c r="AU21">
        <v>50.393500000000003</v>
      </c>
      <c r="AV21">
        <v>3.3607199999999998E-4</v>
      </c>
      <c r="AX21" t="s">
        <v>1037</v>
      </c>
      <c r="AY21" t="s">
        <v>792</v>
      </c>
      <c r="AZ21">
        <v>901.00386247400002</v>
      </c>
      <c r="BA21">
        <v>902.51185347800401</v>
      </c>
      <c r="BB21">
        <v>12.767232</v>
      </c>
      <c r="BE21">
        <v>54057207</v>
      </c>
      <c r="BF21">
        <v>50.391599999999997</v>
      </c>
      <c r="BG21">
        <v>3.3607199999999998E-4</v>
      </c>
      <c r="BQ21" t="s">
        <v>792</v>
      </c>
      <c r="BR21">
        <v>79.503948511999994</v>
      </c>
      <c r="BS21">
        <v>931.19174451101503</v>
      </c>
      <c r="BT21">
        <v>11.059200000000001</v>
      </c>
      <c r="CA21" t="s">
        <v>792</v>
      </c>
      <c r="CB21">
        <v>77.824837709999997</v>
      </c>
      <c r="CC21">
        <v>931.41594105004299</v>
      </c>
      <c r="CD21">
        <v>11.960319999999999</v>
      </c>
      <c r="CJ21" t="s">
        <v>792</v>
      </c>
      <c r="CK21">
        <v>187.634932338</v>
      </c>
      <c r="CL21">
        <v>931.33686745597504</v>
      </c>
      <c r="CM21">
        <v>11.083776</v>
      </c>
      <c r="CT21" t="s">
        <v>792</v>
      </c>
      <c r="CU21">
        <v>185.69706647199999</v>
      </c>
      <c r="CV21">
        <v>931.21372248907505</v>
      </c>
      <c r="CW21">
        <v>11.005952000000001</v>
      </c>
    </row>
    <row r="22" spans="1:101" x14ac:dyDescent="0.2">
      <c r="A22" t="s">
        <v>806</v>
      </c>
      <c r="B22">
        <v>300</v>
      </c>
      <c r="C22">
        <v>5</v>
      </c>
      <c r="D22" t="str">
        <f t="shared" si="0"/>
        <v>ccf2-300-05</v>
      </c>
      <c r="F22" t="s">
        <v>792</v>
      </c>
      <c r="G22">
        <v>900.57480872500003</v>
      </c>
      <c r="H22">
        <v>901.03707629600797</v>
      </c>
      <c r="I22">
        <v>275.92294399999997</v>
      </c>
      <c r="N22" t="s">
        <v>792</v>
      </c>
      <c r="O22">
        <v>900.49836293600004</v>
      </c>
      <c r="P22">
        <v>901.03157715799102</v>
      </c>
      <c r="Q22">
        <v>11.321344</v>
      </c>
      <c r="V22" t="s">
        <v>792</v>
      </c>
      <c r="W22">
        <v>900.74399103200005</v>
      </c>
      <c r="X22">
        <v>901.02988384400601</v>
      </c>
      <c r="Y22">
        <v>13.021184</v>
      </c>
      <c r="AC22" t="s">
        <v>1038</v>
      </c>
      <c r="AD22" t="s">
        <v>792</v>
      </c>
      <c r="AE22">
        <v>900.55485027700001</v>
      </c>
      <c r="AF22">
        <v>901.05095511200398</v>
      </c>
      <c r="AG22">
        <v>275.95571200000001</v>
      </c>
      <c r="AN22" t="s">
        <v>1038</v>
      </c>
      <c r="AO22" t="s">
        <v>792</v>
      </c>
      <c r="AP22">
        <v>900.488247935</v>
      </c>
      <c r="AQ22">
        <v>901.03923762499403</v>
      </c>
      <c r="AR22">
        <v>11.321344</v>
      </c>
      <c r="AX22" t="s">
        <v>1038</v>
      </c>
      <c r="AY22" t="s">
        <v>792</v>
      </c>
      <c r="AZ22">
        <v>900.75656670000001</v>
      </c>
      <c r="BA22">
        <v>901.03468039201096</v>
      </c>
      <c r="BB22">
        <v>13.156352</v>
      </c>
      <c r="BE22">
        <v>630422619</v>
      </c>
      <c r="BF22">
        <v>175.34399999999999</v>
      </c>
      <c r="BG22" s="1">
        <v>2.6479700000000001E-7</v>
      </c>
      <c r="BH22" s="1"/>
      <c r="BI22" s="1"/>
      <c r="BJ22" s="1"/>
      <c r="BK22" s="1"/>
      <c r="BL22" s="1"/>
      <c r="BM22" s="1"/>
      <c r="BN22" s="1"/>
      <c r="BO22" s="1"/>
      <c r="BQ22" t="s">
        <v>792</v>
      </c>
      <c r="BR22">
        <v>901.00164123699994</v>
      </c>
      <c r="BS22">
        <v>902.350975712994</v>
      </c>
      <c r="BT22">
        <v>11.419648</v>
      </c>
      <c r="CA22" t="s">
        <v>792</v>
      </c>
      <c r="CB22">
        <v>900.72396885299997</v>
      </c>
      <c r="CC22">
        <v>901.00813768501303</v>
      </c>
      <c r="CD22">
        <v>11.321344</v>
      </c>
      <c r="CJ22" t="s">
        <v>792</v>
      </c>
      <c r="CK22">
        <v>900.62069671699999</v>
      </c>
      <c r="CL22">
        <v>901.00793402700197</v>
      </c>
      <c r="CM22">
        <v>11.358207999999999</v>
      </c>
      <c r="CT22" t="s">
        <v>792</v>
      </c>
      <c r="CU22">
        <v>900.60588271400002</v>
      </c>
      <c r="CV22">
        <v>901.00888575706597</v>
      </c>
      <c r="CW22">
        <v>11.448320000000001</v>
      </c>
    </row>
    <row r="23" spans="1:101" x14ac:dyDescent="0.2">
      <c r="A23" t="s">
        <v>807</v>
      </c>
      <c r="B23">
        <v>300</v>
      </c>
      <c r="C23">
        <v>5</v>
      </c>
      <c r="D23" t="str">
        <f t="shared" si="0"/>
        <v>ccf3-300-05</v>
      </c>
      <c r="F23" t="s">
        <v>792</v>
      </c>
      <c r="G23">
        <v>900.56416337799999</v>
      </c>
      <c r="H23">
        <v>901.18150436600195</v>
      </c>
      <c r="I23">
        <v>1038.368768</v>
      </c>
      <c r="N23" t="s">
        <v>792</v>
      </c>
      <c r="O23">
        <v>900.45803051300004</v>
      </c>
      <c r="P23">
        <v>901.03570649798996</v>
      </c>
      <c r="Q23">
        <v>20.889600000000002</v>
      </c>
      <c r="V23" t="s">
        <v>792</v>
      </c>
      <c r="W23">
        <v>900.68039624000005</v>
      </c>
      <c r="X23">
        <v>901.01282686900197</v>
      </c>
      <c r="Y23">
        <v>27.934719999999999</v>
      </c>
      <c r="AC23" t="s">
        <v>1039</v>
      </c>
      <c r="AD23" t="s">
        <v>792</v>
      </c>
      <c r="AE23">
        <v>900.60671619100003</v>
      </c>
      <c r="AF23">
        <v>901.08905166099396</v>
      </c>
      <c r="AG23">
        <v>1038.3482879999999</v>
      </c>
      <c r="AN23" t="s">
        <v>1039</v>
      </c>
      <c r="AO23" t="s">
        <v>792</v>
      </c>
      <c r="AP23">
        <v>900.45866372199998</v>
      </c>
      <c r="AQ23">
        <v>901.040101741993</v>
      </c>
      <c r="AR23">
        <v>20.889600000000002</v>
      </c>
      <c r="AX23" t="s">
        <v>1039</v>
      </c>
      <c r="AY23" t="s">
        <v>792</v>
      </c>
      <c r="AZ23">
        <v>900.72519436000005</v>
      </c>
      <c r="BA23">
        <v>901.03371725501995</v>
      </c>
      <c r="BB23">
        <v>27.967487999999999</v>
      </c>
      <c r="BQ23" t="s">
        <v>792</v>
      </c>
      <c r="BR23">
        <v>900.397059109</v>
      </c>
      <c r="BS23">
        <v>901.00947203295004</v>
      </c>
      <c r="BT23">
        <v>20.905984</v>
      </c>
      <c r="CA23" t="s">
        <v>792</v>
      </c>
      <c r="CB23">
        <v>900.65975866199994</v>
      </c>
      <c r="CC23">
        <v>901.014592514024</v>
      </c>
      <c r="CD23">
        <v>20.811775999999998</v>
      </c>
      <c r="CJ23" t="s">
        <v>792</v>
      </c>
      <c r="CK23">
        <v>900.60511828300002</v>
      </c>
      <c r="CL23">
        <v>901.00948102795496</v>
      </c>
      <c r="CM23">
        <v>20.885504000000001</v>
      </c>
      <c r="CT23" t="s">
        <v>792</v>
      </c>
      <c r="CU23">
        <v>900.60905088100003</v>
      </c>
      <c r="CV23">
        <v>901.00904014008097</v>
      </c>
      <c r="CW23">
        <v>20.885504000000001</v>
      </c>
    </row>
    <row r="24" spans="1:101" x14ac:dyDescent="0.2">
      <c r="A24" t="s">
        <v>808</v>
      </c>
      <c r="B24">
        <v>300</v>
      </c>
      <c r="C24">
        <v>5</v>
      </c>
      <c r="D24" t="str">
        <f t="shared" si="0"/>
        <v>ccf4-300-05</v>
      </c>
      <c r="F24" t="s">
        <v>793</v>
      </c>
      <c r="G24">
        <v>349.83729810199998</v>
      </c>
      <c r="H24">
        <v>350.09724382498803</v>
      </c>
      <c r="I24">
        <v>16000</v>
      </c>
      <c r="N24" t="s">
        <v>792</v>
      </c>
      <c r="O24">
        <v>900.62211614900002</v>
      </c>
      <c r="P24">
        <v>901.14406738101297</v>
      </c>
      <c r="Q24">
        <v>1349.5705599999999</v>
      </c>
      <c r="V24" t="s">
        <v>792</v>
      </c>
      <c r="W24">
        <v>900.65869783400001</v>
      </c>
      <c r="X24">
        <v>901.15825405399596</v>
      </c>
      <c r="Y24">
        <v>1974.1450239999999</v>
      </c>
      <c r="AC24" t="s">
        <v>1040</v>
      </c>
      <c r="AD24" t="s">
        <v>793</v>
      </c>
      <c r="AE24">
        <v>352.25189193099999</v>
      </c>
      <c r="AF24">
        <v>352.53378224899598</v>
      </c>
      <c r="AG24">
        <v>16000</v>
      </c>
      <c r="AN24" t="s">
        <v>1040</v>
      </c>
      <c r="AO24" t="s">
        <v>792</v>
      </c>
      <c r="AP24">
        <v>900.54871417000004</v>
      </c>
      <c r="AQ24">
        <v>901.15238832798696</v>
      </c>
      <c r="AR24">
        <v>1352.183808</v>
      </c>
      <c r="AX24" t="s">
        <v>1040</v>
      </c>
      <c r="AY24" t="s">
        <v>792</v>
      </c>
      <c r="AZ24">
        <v>900.77032449499995</v>
      </c>
      <c r="BA24">
        <v>901.20674883900199</v>
      </c>
      <c r="BB24">
        <v>2248.7162880000001</v>
      </c>
      <c r="BQ24" t="s">
        <v>792</v>
      </c>
      <c r="BR24">
        <v>900.44863632800002</v>
      </c>
      <c r="BS24">
        <v>901.032420185045</v>
      </c>
      <c r="BT24">
        <v>1352.175616</v>
      </c>
      <c r="CA24" t="s">
        <v>792</v>
      </c>
      <c r="CB24">
        <v>900.50070214899995</v>
      </c>
      <c r="CC24">
        <v>901.06641071802005</v>
      </c>
      <c r="CD24">
        <v>1352.1879039999999</v>
      </c>
      <c r="CJ24" t="s">
        <v>792</v>
      </c>
      <c r="CK24">
        <v>900.64308091700002</v>
      </c>
      <c r="CL24">
        <v>901.09282535698696</v>
      </c>
      <c r="CM24">
        <v>1352.25344</v>
      </c>
      <c r="CT24" t="s">
        <v>792</v>
      </c>
      <c r="CU24">
        <v>900.65854646000003</v>
      </c>
      <c r="CV24">
        <v>901.09546943893599</v>
      </c>
      <c r="CW24">
        <v>1352.1960959999999</v>
      </c>
    </row>
    <row r="25" spans="1:101" x14ac:dyDescent="0.2">
      <c r="A25" t="s">
        <v>809</v>
      </c>
      <c r="B25">
        <v>300</v>
      </c>
      <c r="C25">
        <v>5</v>
      </c>
      <c r="D25" t="str">
        <f t="shared" si="0"/>
        <v>ccf5-300-05</v>
      </c>
      <c r="F25" t="s">
        <v>793</v>
      </c>
      <c r="G25">
        <v>336.32704077400001</v>
      </c>
      <c r="H25">
        <v>336.60075600599498</v>
      </c>
      <c r="I25">
        <v>16000</v>
      </c>
      <c r="N25" t="s">
        <v>792</v>
      </c>
      <c r="O25">
        <v>900.69547767799997</v>
      </c>
      <c r="P25">
        <v>901.240885388018</v>
      </c>
      <c r="Q25">
        <v>1870.311424</v>
      </c>
      <c r="V25" t="s">
        <v>792</v>
      </c>
      <c r="W25">
        <v>900.72324805200003</v>
      </c>
      <c r="X25">
        <v>901.20549759799906</v>
      </c>
      <c r="Y25">
        <v>2290.2702079999999</v>
      </c>
      <c r="AC25" t="s">
        <v>1041</v>
      </c>
      <c r="AD25" t="s">
        <v>793</v>
      </c>
      <c r="AE25">
        <v>363.07352179399999</v>
      </c>
      <c r="AF25">
        <v>363.41590933498799</v>
      </c>
      <c r="AG25">
        <v>16000</v>
      </c>
      <c r="AN25" t="s">
        <v>1041</v>
      </c>
      <c r="AO25" t="s">
        <v>792</v>
      </c>
      <c r="AP25">
        <v>900.72441632000005</v>
      </c>
      <c r="AQ25">
        <v>901.19790643500096</v>
      </c>
      <c r="AR25">
        <v>1870.3155200000001</v>
      </c>
      <c r="AX25" t="s">
        <v>1041</v>
      </c>
      <c r="AY25" t="s">
        <v>792</v>
      </c>
      <c r="AZ25">
        <v>900.702116553</v>
      </c>
      <c r="BA25">
        <v>901.23920653600305</v>
      </c>
      <c r="BB25">
        <v>2290.2702079999999</v>
      </c>
      <c r="BQ25" t="s">
        <v>792</v>
      </c>
      <c r="BR25">
        <v>900.584370562</v>
      </c>
      <c r="BS25">
        <v>901.09311168495299</v>
      </c>
      <c r="BT25">
        <v>1870.3155200000001</v>
      </c>
      <c r="CA25" t="s">
        <v>792</v>
      </c>
      <c r="CB25">
        <v>900.57292839700006</v>
      </c>
      <c r="CC25">
        <v>901.10460631293199</v>
      </c>
      <c r="CD25">
        <v>1870.319616</v>
      </c>
      <c r="CJ25" t="s">
        <v>792</v>
      </c>
      <c r="CK25">
        <v>900.74945739099996</v>
      </c>
      <c r="CL25">
        <v>901.14362157194398</v>
      </c>
      <c r="CM25">
        <v>1870.3155200000001</v>
      </c>
      <c r="CT25" t="s">
        <v>792</v>
      </c>
      <c r="CU25">
        <v>900.74166945100001</v>
      </c>
      <c r="CV25">
        <v>901.14705631998299</v>
      </c>
      <c r="CW25">
        <v>1870.3319039999999</v>
      </c>
    </row>
    <row r="26" spans="1:101" x14ac:dyDescent="0.2">
      <c r="A26" t="s">
        <v>810</v>
      </c>
      <c r="B26">
        <v>300</v>
      </c>
      <c r="C26">
        <v>5</v>
      </c>
      <c r="D26" t="str">
        <f t="shared" si="0"/>
        <v>ccf6-300-05</v>
      </c>
      <c r="F26" t="s">
        <v>793</v>
      </c>
      <c r="G26">
        <v>487.65660420199998</v>
      </c>
      <c r="H26">
        <v>488.31646492899699</v>
      </c>
      <c r="I26">
        <v>16000</v>
      </c>
      <c r="N26" t="s">
        <v>792</v>
      </c>
      <c r="O26">
        <v>900.80794851400003</v>
      </c>
      <c r="P26">
        <v>901.46841499098798</v>
      </c>
      <c r="Q26">
        <v>7639.1956479999999</v>
      </c>
      <c r="V26" t="s">
        <v>792</v>
      </c>
      <c r="W26">
        <v>901.24915324599999</v>
      </c>
      <c r="X26">
        <v>901.87178122400599</v>
      </c>
      <c r="Y26">
        <v>15190.364159999999</v>
      </c>
      <c r="AC26" t="s">
        <v>1042</v>
      </c>
      <c r="AD26" t="s">
        <v>793</v>
      </c>
      <c r="AE26">
        <v>504.89603783799998</v>
      </c>
      <c r="AF26">
        <v>505.45033972201003</v>
      </c>
      <c r="AG26">
        <v>16000</v>
      </c>
      <c r="AN26" t="s">
        <v>1042</v>
      </c>
      <c r="AO26" t="s">
        <v>792</v>
      </c>
      <c r="AP26">
        <v>900.88287345499998</v>
      </c>
      <c r="AQ26">
        <v>901.53797506698095</v>
      </c>
      <c r="AR26">
        <v>7639.2488960000001</v>
      </c>
      <c r="AX26" t="s">
        <v>1042</v>
      </c>
      <c r="AY26" t="s">
        <v>792</v>
      </c>
      <c r="AZ26">
        <v>901.32678059499995</v>
      </c>
      <c r="BA26">
        <v>901.99731209798404</v>
      </c>
      <c r="BB26">
        <v>15190.368256</v>
      </c>
      <c r="BQ26" t="s">
        <v>792</v>
      </c>
      <c r="BR26">
        <v>900.67786667999997</v>
      </c>
      <c r="BS26">
        <v>901.51092393201498</v>
      </c>
      <c r="BT26">
        <v>7639.2980479999997</v>
      </c>
      <c r="CA26" t="s">
        <v>792</v>
      </c>
      <c r="CB26">
        <v>900.88682278700003</v>
      </c>
      <c r="CC26">
        <v>901.46189127210505</v>
      </c>
      <c r="CD26">
        <v>7639.3226240000004</v>
      </c>
      <c r="CJ26" t="s">
        <v>792</v>
      </c>
      <c r="CK26">
        <v>900.73698509099995</v>
      </c>
      <c r="CL26">
        <v>901.46390951308399</v>
      </c>
      <c r="CM26">
        <v>7639.32672</v>
      </c>
      <c r="CT26" t="s">
        <v>792</v>
      </c>
      <c r="CU26">
        <v>900.72812298899998</v>
      </c>
      <c r="CV26">
        <v>901.44967636105105</v>
      </c>
      <c r="CW26">
        <v>7639.1874559999997</v>
      </c>
    </row>
    <row r="27" spans="1:101" x14ac:dyDescent="0.2">
      <c r="A27" t="s">
        <v>811</v>
      </c>
      <c r="B27">
        <v>300</v>
      </c>
      <c r="C27">
        <v>5</v>
      </c>
      <c r="D27" t="str">
        <f t="shared" si="0"/>
        <v>ccf7-300-05</v>
      </c>
      <c r="F27" t="s">
        <v>793</v>
      </c>
      <c r="G27">
        <v>332.507556701</v>
      </c>
      <c r="H27">
        <v>332.77725015800303</v>
      </c>
      <c r="I27">
        <v>16000</v>
      </c>
      <c r="N27" t="s">
        <v>793</v>
      </c>
      <c r="O27">
        <v>615.80678229099999</v>
      </c>
      <c r="P27">
        <v>616.19825253900399</v>
      </c>
      <c r="Q27">
        <v>16000</v>
      </c>
      <c r="V27" t="s">
        <v>793</v>
      </c>
      <c r="W27">
        <v>218.33906976200001</v>
      </c>
      <c r="X27">
        <v>218.50296498100201</v>
      </c>
      <c r="Y27">
        <v>16000</v>
      </c>
      <c r="AC27" t="s">
        <v>1043</v>
      </c>
      <c r="AD27" t="s">
        <v>793</v>
      </c>
      <c r="AE27">
        <v>341.68712385399999</v>
      </c>
      <c r="AF27">
        <v>342.04875965000201</v>
      </c>
      <c r="AG27">
        <v>16000</v>
      </c>
      <c r="AN27" t="s">
        <v>1043</v>
      </c>
      <c r="AO27" t="s">
        <v>793</v>
      </c>
      <c r="AP27">
        <v>623.10625450800001</v>
      </c>
      <c r="AQ27">
        <v>623.55053041700705</v>
      </c>
      <c r="AR27">
        <v>16000</v>
      </c>
      <c r="AX27" t="s">
        <v>1043</v>
      </c>
      <c r="AY27" t="s">
        <v>793</v>
      </c>
      <c r="AZ27">
        <v>230.39695430500001</v>
      </c>
      <c r="BA27">
        <v>230.639003213</v>
      </c>
      <c r="BB27">
        <v>16000</v>
      </c>
      <c r="BQ27" t="s">
        <v>793</v>
      </c>
      <c r="BR27">
        <v>643.69631973399999</v>
      </c>
      <c r="BS27">
        <v>644.19595854595502</v>
      </c>
      <c r="BT27">
        <v>16000</v>
      </c>
      <c r="CA27" t="s">
        <v>793</v>
      </c>
      <c r="CB27">
        <v>691.490532906</v>
      </c>
      <c r="CC27">
        <v>692.04289016500104</v>
      </c>
      <c r="CD27">
        <v>16000</v>
      </c>
      <c r="CJ27" t="s">
        <v>793</v>
      </c>
      <c r="CK27">
        <v>638.19151328099997</v>
      </c>
      <c r="CL27">
        <v>638.69469064800001</v>
      </c>
      <c r="CM27">
        <v>16000</v>
      </c>
      <c r="CT27" t="s">
        <v>793</v>
      </c>
      <c r="CU27">
        <v>639.78705454700003</v>
      </c>
      <c r="CV27">
        <v>640.26028136198795</v>
      </c>
      <c r="CW27">
        <v>16000</v>
      </c>
    </row>
    <row r="28" spans="1:101" x14ac:dyDescent="0.2">
      <c r="A28" t="s">
        <v>812</v>
      </c>
      <c r="B28">
        <v>300</v>
      </c>
      <c r="C28">
        <v>5</v>
      </c>
      <c r="D28" t="str">
        <f t="shared" si="0"/>
        <v>ccf8-300-05</v>
      </c>
      <c r="F28" t="s">
        <v>793</v>
      </c>
      <c r="G28">
        <v>271.28413565199997</v>
      </c>
      <c r="H28">
        <v>271.522281566998</v>
      </c>
      <c r="I28">
        <v>16000</v>
      </c>
      <c r="N28" t="s">
        <v>793</v>
      </c>
      <c r="O28">
        <v>721.74495434200003</v>
      </c>
      <c r="P28">
        <v>722.35118228697604</v>
      </c>
      <c r="Q28">
        <v>16000</v>
      </c>
      <c r="V28" t="s">
        <v>793</v>
      </c>
      <c r="W28">
        <v>236.94244482600001</v>
      </c>
      <c r="X28">
        <v>237.20342525900901</v>
      </c>
      <c r="Y28">
        <v>16000</v>
      </c>
      <c r="AC28" t="s">
        <v>1044</v>
      </c>
      <c r="AD28" t="s">
        <v>793</v>
      </c>
      <c r="AE28">
        <v>269.39371121300002</v>
      </c>
      <c r="AF28">
        <v>269.63671735799198</v>
      </c>
      <c r="AG28">
        <v>16000</v>
      </c>
      <c r="AN28" t="s">
        <v>1044</v>
      </c>
      <c r="AO28" t="s">
        <v>793</v>
      </c>
      <c r="AP28">
        <v>727.03524810800002</v>
      </c>
      <c r="AQ28">
        <v>727.74595781997698</v>
      </c>
      <c r="AR28">
        <v>16000</v>
      </c>
      <c r="AX28" t="s">
        <v>1044</v>
      </c>
      <c r="AY28" t="s">
        <v>793</v>
      </c>
      <c r="AZ28">
        <v>238.99841170100001</v>
      </c>
      <c r="BA28">
        <v>239.210889971</v>
      </c>
      <c r="BB28">
        <v>16000</v>
      </c>
      <c r="BQ28" t="s">
        <v>793</v>
      </c>
      <c r="BR28">
        <v>722.862845075</v>
      </c>
      <c r="BS28">
        <v>723.60043640300796</v>
      </c>
      <c r="BT28">
        <v>16000</v>
      </c>
      <c r="CA28" t="s">
        <v>793</v>
      </c>
      <c r="CB28">
        <v>720.87252992699996</v>
      </c>
      <c r="CC28">
        <v>721.51836258696801</v>
      </c>
      <c r="CD28">
        <v>16000</v>
      </c>
      <c r="CJ28" t="s">
        <v>793</v>
      </c>
      <c r="CK28">
        <v>700.17778307200001</v>
      </c>
      <c r="CL28">
        <v>700.67718199105002</v>
      </c>
      <c r="CM28">
        <v>16000</v>
      </c>
      <c r="CT28" t="s">
        <v>793</v>
      </c>
      <c r="CU28">
        <v>682.85219455100003</v>
      </c>
      <c r="CV28">
        <v>683.31466065905897</v>
      </c>
      <c r="CW28">
        <v>16000</v>
      </c>
    </row>
    <row r="29" spans="1:101" x14ac:dyDescent="0.2">
      <c r="A29" t="s">
        <v>813</v>
      </c>
      <c r="B29">
        <v>300</v>
      </c>
      <c r="C29">
        <v>5</v>
      </c>
      <c r="D29" t="str">
        <f t="shared" si="0"/>
        <v>ccf9-300-05</v>
      </c>
      <c r="F29" t="s">
        <v>793</v>
      </c>
      <c r="G29">
        <v>304.50088635200001</v>
      </c>
      <c r="H29">
        <v>304.740919650997</v>
      </c>
      <c r="I29">
        <v>16000</v>
      </c>
      <c r="N29" t="s">
        <v>793</v>
      </c>
      <c r="O29">
        <v>390.34030567299999</v>
      </c>
      <c r="P29">
        <v>390.70697429898399</v>
      </c>
      <c r="Q29">
        <v>16000</v>
      </c>
      <c r="V29" t="s">
        <v>793</v>
      </c>
      <c r="W29">
        <v>254.32769511500001</v>
      </c>
      <c r="X29">
        <v>254.542796741996</v>
      </c>
      <c r="Y29">
        <v>16000</v>
      </c>
      <c r="AC29" t="s">
        <v>1045</v>
      </c>
      <c r="AD29" t="s">
        <v>793</v>
      </c>
      <c r="AE29">
        <v>316.08627189200001</v>
      </c>
      <c r="AF29">
        <v>316.46380976901798</v>
      </c>
      <c r="AG29">
        <v>16000</v>
      </c>
      <c r="AN29" t="s">
        <v>1045</v>
      </c>
      <c r="AO29" t="s">
        <v>793</v>
      </c>
      <c r="AP29">
        <v>408.10758049600003</v>
      </c>
      <c r="AQ29">
        <v>408.46630562999002</v>
      </c>
      <c r="AR29">
        <v>16000</v>
      </c>
      <c r="AX29" t="s">
        <v>1045</v>
      </c>
      <c r="AY29" t="s">
        <v>793</v>
      </c>
      <c r="AZ29">
        <v>257.44440100399999</v>
      </c>
      <c r="BA29">
        <v>257.85114950200602</v>
      </c>
      <c r="BB29">
        <v>16000</v>
      </c>
      <c r="BQ29" t="s">
        <v>793</v>
      </c>
      <c r="BR29">
        <v>408.069302333</v>
      </c>
      <c r="BS29">
        <v>408.50038204801899</v>
      </c>
      <c r="BT29">
        <v>16000</v>
      </c>
      <c r="CA29" t="s">
        <v>793</v>
      </c>
      <c r="CB29">
        <v>407.19489117099999</v>
      </c>
      <c r="CC29">
        <v>407.50272477802298</v>
      </c>
      <c r="CD29">
        <v>16000</v>
      </c>
      <c r="CJ29" t="s">
        <v>793</v>
      </c>
      <c r="CK29">
        <v>422.169297228</v>
      </c>
      <c r="CL29">
        <v>422.53324046998699</v>
      </c>
      <c r="CM29">
        <v>16000.004096000001</v>
      </c>
      <c r="CT29" t="s">
        <v>793</v>
      </c>
      <c r="CU29">
        <v>424.61574972300002</v>
      </c>
      <c r="CV29">
        <v>425.027241477975</v>
      </c>
      <c r="CW29">
        <v>16000</v>
      </c>
    </row>
    <row r="30" spans="1:101" x14ac:dyDescent="0.2">
      <c r="A30" t="s">
        <v>805</v>
      </c>
      <c r="B30">
        <v>400</v>
      </c>
      <c r="C30">
        <v>5</v>
      </c>
      <c r="D30" t="str">
        <f t="shared" si="0"/>
        <v>ccf1-400-05</v>
      </c>
      <c r="F30" t="s">
        <v>792</v>
      </c>
      <c r="G30">
        <v>900.69104667399995</v>
      </c>
      <c r="H30">
        <v>901.01438583400102</v>
      </c>
      <c r="I30">
        <v>33.964032000000003</v>
      </c>
      <c r="N30" t="s">
        <v>792</v>
      </c>
      <c r="O30">
        <v>900.71002601600003</v>
      </c>
      <c r="P30">
        <v>901.02494005000301</v>
      </c>
      <c r="Q30">
        <v>23.904256</v>
      </c>
      <c r="V30" t="s">
        <v>792</v>
      </c>
      <c r="W30">
        <v>900.71564406300001</v>
      </c>
      <c r="X30">
        <v>901.01136256800896</v>
      </c>
      <c r="Y30">
        <v>60.186624000000002</v>
      </c>
      <c r="AC30" t="s">
        <v>1046</v>
      </c>
      <c r="AD30" t="s">
        <v>792</v>
      </c>
      <c r="AE30">
        <v>900.66514474200005</v>
      </c>
      <c r="AF30">
        <v>901.02865367502</v>
      </c>
      <c r="AG30">
        <v>33.943551999999997</v>
      </c>
      <c r="AN30" t="s">
        <v>1046</v>
      </c>
      <c r="AO30" t="s">
        <v>792</v>
      </c>
      <c r="AP30">
        <v>900.72005330000002</v>
      </c>
      <c r="AQ30">
        <v>901.034170997008</v>
      </c>
      <c r="AR30">
        <v>23.90016</v>
      </c>
      <c r="AX30" t="s">
        <v>1046</v>
      </c>
      <c r="AY30" t="s">
        <v>792</v>
      </c>
      <c r="AZ30">
        <v>900.71965971199995</v>
      </c>
      <c r="BA30">
        <v>901.03200366001602</v>
      </c>
      <c r="BB30">
        <v>60.211199999999998</v>
      </c>
      <c r="BQ30" t="s">
        <v>792</v>
      </c>
      <c r="BR30">
        <v>900.67667403999997</v>
      </c>
      <c r="BS30">
        <v>901.00830651802198</v>
      </c>
      <c r="BT30">
        <v>23.863295999999998</v>
      </c>
      <c r="CA30" t="s">
        <v>792</v>
      </c>
      <c r="CB30">
        <v>900.23549651300004</v>
      </c>
      <c r="CC30">
        <v>901.10045155102796</v>
      </c>
      <c r="CD30">
        <v>25.219072000000001</v>
      </c>
      <c r="CJ30" t="s">
        <v>792</v>
      </c>
      <c r="CK30">
        <v>900.61922908999998</v>
      </c>
      <c r="CL30">
        <v>901.00846565700999</v>
      </c>
      <c r="CM30">
        <v>24.023040000000002</v>
      </c>
      <c r="CT30" t="s">
        <v>792</v>
      </c>
      <c r="CU30">
        <v>900.70739877699998</v>
      </c>
      <c r="CV30">
        <v>901.00641487294297</v>
      </c>
      <c r="CW30">
        <v>24.018944000000001</v>
      </c>
    </row>
    <row r="31" spans="1:101" x14ac:dyDescent="0.2">
      <c r="A31" t="s">
        <v>806</v>
      </c>
      <c r="B31">
        <v>400</v>
      </c>
      <c r="C31">
        <v>5</v>
      </c>
      <c r="D31" t="str">
        <f t="shared" si="0"/>
        <v>ccf2-400-05</v>
      </c>
      <c r="F31" t="s">
        <v>792</v>
      </c>
      <c r="G31">
        <v>900.51418278999995</v>
      </c>
      <c r="H31">
        <v>901.06271650899703</v>
      </c>
      <c r="I31">
        <v>561.29945599999996</v>
      </c>
      <c r="N31" t="s">
        <v>792</v>
      </c>
      <c r="O31">
        <v>900.73807932800003</v>
      </c>
      <c r="P31">
        <v>901.05419185399603</v>
      </c>
      <c r="Q31">
        <v>281.45663999999999</v>
      </c>
      <c r="V31" t="s">
        <v>792</v>
      </c>
      <c r="W31">
        <v>900.64367291600001</v>
      </c>
      <c r="X31">
        <v>901.06500987498998</v>
      </c>
      <c r="Y31">
        <v>768.12697600000001</v>
      </c>
      <c r="AC31" t="s">
        <v>1047</v>
      </c>
      <c r="AD31" t="s">
        <v>792</v>
      </c>
      <c r="AE31">
        <v>900.76302212999997</v>
      </c>
      <c r="AF31">
        <v>901.08153340700596</v>
      </c>
      <c r="AG31">
        <v>561.29535999999996</v>
      </c>
      <c r="AN31" t="s">
        <v>1047</v>
      </c>
      <c r="AO31" t="s">
        <v>792</v>
      </c>
      <c r="AP31">
        <v>900.74158389399997</v>
      </c>
      <c r="AQ31">
        <v>901.06550714399702</v>
      </c>
      <c r="AR31">
        <v>281.45663999999999</v>
      </c>
      <c r="AX31" t="s">
        <v>1047</v>
      </c>
      <c r="AY31" t="s">
        <v>792</v>
      </c>
      <c r="AZ31">
        <v>900.41648357500003</v>
      </c>
      <c r="BA31">
        <v>901.09822485299003</v>
      </c>
      <c r="BB31">
        <v>768.10239999999999</v>
      </c>
      <c r="BQ31" t="s">
        <v>792</v>
      </c>
      <c r="BR31">
        <v>901.028954011</v>
      </c>
      <c r="BS31">
        <v>902.13626022200299</v>
      </c>
      <c r="BT31">
        <v>281.58771200000001</v>
      </c>
      <c r="CA31" t="s">
        <v>792</v>
      </c>
      <c r="CB31">
        <v>900.55609606799999</v>
      </c>
      <c r="CC31">
        <v>901.03027775499504</v>
      </c>
      <c r="CD31">
        <v>281.49350399999997</v>
      </c>
      <c r="CJ31" t="s">
        <v>792</v>
      </c>
      <c r="CK31">
        <v>900.75260601599996</v>
      </c>
      <c r="CL31">
        <v>901.03363852400798</v>
      </c>
      <c r="CM31">
        <v>281.575424</v>
      </c>
      <c r="CT31" t="s">
        <v>792</v>
      </c>
      <c r="CU31">
        <v>900.74368435099996</v>
      </c>
      <c r="CV31">
        <v>901.03028210997502</v>
      </c>
      <c r="CW31">
        <v>281.460736</v>
      </c>
    </row>
    <row r="32" spans="1:101" x14ac:dyDescent="0.2">
      <c r="A32" t="s">
        <v>807</v>
      </c>
      <c r="B32">
        <v>400</v>
      </c>
      <c r="C32">
        <v>5</v>
      </c>
      <c r="D32" t="str">
        <f t="shared" si="0"/>
        <v>ccf3-400-05</v>
      </c>
      <c r="F32" t="s">
        <v>792</v>
      </c>
      <c r="G32">
        <v>900.51469507700006</v>
      </c>
      <c r="H32">
        <v>901.15583208500095</v>
      </c>
      <c r="I32">
        <v>2480.6727679999999</v>
      </c>
      <c r="N32" t="s">
        <v>792</v>
      </c>
      <c r="O32">
        <v>900.673218894</v>
      </c>
      <c r="P32">
        <v>901.17340719498998</v>
      </c>
      <c r="Q32">
        <v>2054.7502079999999</v>
      </c>
      <c r="V32" t="s">
        <v>792</v>
      </c>
      <c r="W32">
        <v>901.01381433400002</v>
      </c>
      <c r="X32">
        <v>901.49413080500301</v>
      </c>
      <c r="Y32">
        <v>9165.9100159999998</v>
      </c>
      <c r="AC32" t="s">
        <v>1048</v>
      </c>
      <c r="AD32" t="s">
        <v>792</v>
      </c>
      <c r="AE32">
        <v>900.67187615700004</v>
      </c>
      <c r="AF32">
        <v>901.18030416901399</v>
      </c>
      <c r="AG32">
        <v>2480.3246079999999</v>
      </c>
      <c r="AN32" t="s">
        <v>1048</v>
      </c>
      <c r="AO32" t="s">
        <v>792</v>
      </c>
      <c r="AP32">
        <v>900.62656542299999</v>
      </c>
      <c r="AQ32">
        <v>901.20618290701498</v>
      </c>
      <c r="AR32">
        <v>2054.5986560000001</v>
      </c>
      <c r="AX32" t="s">
        <v>1048</v>
      </c>
      <c r="AY32" t="s">
        <v>792</v>
      </c>
      <c r="AZ32">
        <v>901.083921369</v>
      </c>
      <c r="BA32">
        <v>901.55281650400104</v>
      </c>
      <c r="BB32">
        <v>9165.8526720000009</v>
      </c>
      <c r="BQ32" t="s">
        <v>792</v>
      </c>
      <c r="BR32">
        <v>900.74730991199999</v>
      </c>
      <c r="BS32">
        <v>901.13806939602296</v>
      </c>
      <c r="BT32">
        <v>2054.672384</v>
      </c>
      <c r="CA32" t="s">
        <v>792</v>
      </c>
      <c r="CB32">
        <v>900.745715109</v>
      </c>
      <c r="CC32">
        <v>901.13707646995294</v>
      </c>
      <c r="CD32">
        <v>2054.6682879999998</v>
      </c>
      <c r="CJ32" t="s">
        <v>792</v>
      </c>
      <c r="CK32">
        <v>900.81350943799998</v>
      </c>
      <c r="CL32">
        <v>901.15498272900004</v>
      </c>
      <c r="CM32">
        <v>2054.7338239999999</v>
      </c>
      <c r="CT32" t="s">
        <v>792</v>
      </c>
      <c r="CU32">
        <v>900.81038629</v>
      </c>
      <c r="CV32">
        <v>901.16376950801305</v>
      </c>
      <c r="CW32">
        <v>2054.7297279999998</v>
      </c>
    </row>
    <row r="33" spans="1:101" x14ac:dyDescent="0.2">
      <c r="A33" t="s">
        <v>808</v>
      </c>
      <c r="B33">
        <v>400</v>
      </c>
      <c r="C33">
        <v>5</v>
      </c>
      <c r="D33" t="str">
        <f t="shared" si="0"/>
        <v>ccf4-400-05</v>
      </c>
      <c r="F33" t="s">
        <v>792</v>
      </c>
      <c r="G33">
        <v>900.75500747399997</v>
      </c>
      <c r="H33">
        <v>901.45251953300601</v>
      </c>
      <c r="I33">
        <v>8407.7977599999995</v>
      </c>
      <c r="N33" t="s">
        <v>792</v>
      </c>
      <c r="O33">
        <v>900.38360759399995</v>
      </c>
      <c r="P33">
        <v>901.20313444398903</v>
      </c>
      <c r="Q33">
        <v>2128.146432</v>
      </c>
      <c r="V33" t="s">
        <v>792</v>
      </c>
      <c r="W33">
        <v>901.228565269</v>
      </c>
      <c r="X33">
        <v>901.62529970401295</v>
      </c>
      <c r="Y33">
        <v>10449.510399999999</v>
      </c>
      <c r="AC33" t="s">
        <v>1049</v>
      </c>
      <c r="AD33" t="s">
        <v>792</v>
      </c>
      <c r="AE33">
        <v>901.01818298000001</v>
      </c>
      <c r="AF33">
        <v>902.10517244000198</v>
      </c>
      <c r="AG33">
        <v>8407.7936640000007</v>
      </c>
      <c r="AN33" t="s">
        <v>1049</v>
      </c>
      <c r="AO33" t="s">
        <v>792</v>
      </c>
      <c r="AP33">
        <v>900.67174980100003</v>
      </c>
      <c r="AQ33">
        <v>901.19313009001701</v>
      </c>
      <c r="AR33">
        <v>2128.1341440000001</v>
      </c>
      <c r="AX33" t="s">
        <v>1049</v>
      </c>
      <c r="AY33" t="s">
        <v>792</v>
      </c>
      <c r="AZ33">
        <v>901.27995832700003</v>
      </c>
      <c r="BA33">
        <v>901.67754057401896</v>
      </c>
      <c r="BB33">
        <v>10449.317888</v>
      </c>
      <c r="BQ33" t="s">
        <v>792</v>
      </c>
      <c r="BR33">
        <v>901.14316957599999</v>
      </c>
      <c r="BS33">
        <v>903.25951970403503</v>
      </c>
      <c r="BT33">
        <v>2129.3670400000001</v>
      </c>
      <c r="CA33" t="s">
        <v>792</v>
      </c>
      <c r="CB33">
        <v>900.33367635299999</v>
      </c>
      <c r="CC33">
        <v>901.24221633397894</v>
      </c>
      <c r="CD33">
        <v>2128.6174719999999</v>
      </c>
      <c r="CJ33" t="s">
        <v>792</v>
      </c>
      <c r="CK33">
        <v>900.63243694000005</v>
      </c>
      <c r="CL33">
        <v>901.15654275892302</v>
      </c>
      <c r="CM33">
        <v>2128.1341440000001</v>
      </c>
      <c r="CT33" t="s">
        <v>792</v>
      </c>
      <c r="CU33">
        <v>900.64692008199995</v>
      </c>
      <c r="CV33">
        <v>901.16185543604604</v>
      </c>
      <c r="CW33">
        <v>2128.113664</v>
      </c>
    </row>
    <row r="34" spans="1:101" x14ac:dyDescent="0.2">
      <c r="A34" t="s">
        <v>809</v>
      </c>
      <c r="B34">
        <v>400</v>
      </c>
      <c r="C34">
        <v>5</v>
      </c>
      <c r="D34" t="str">
        <f t="shared" si="0"/>
        <v>ccf5-400-05</v>
      </c>
      <c r="F34" t="s">
        <v>792</v>
      </c>
      <c r="G34">
        <v>901.055586146</v>
      </c>
      <c r="H34">
        <v>901.52413042999899</v>
      </c>
      <c r="I34">
        <v>8426.8032000000003</v>
      </c>
      <c r="N34" t="s">
        <v>792</v>
      </c>
      <c r="O34">
        <v>900.66792027899999</v>
      </c>
      <c r="P34">
        <v>901.25852519800503</v>
      </c>
      <c r="Q34">
        <v>2066.9276159999999</v>
      </c>
      <c r="V34" t="s">
        <v>792</v>
      </c>
      <c r="W34">
        <v>901.05806913799995</v>
      </c>
      <c r="X34">
        <v>901.69924916500099</v>
      </c>
      <c r="Y34">
        <v>10101.506047999999</v>
      </c>
      <c r="AC34" t="s">
        <v>1050</v>
      </c>
      <c r="AD34" t="s">
        <v>792</v>
      </c>
      <c r="AE34">
        <v>900.95290756700001</v>
      </c>
      <c r="AF34">
        <v>901.53508115801299</v>
      </c>
      <c r="AG34">
        <v>8426.7950079999991</v>
      </c>
      <c r="AN34" t="s">
        <v>1050</v>
      </c>
      <c r="AO34" t="s">
        <v>792</v>
      </c>
      <c r="AP34">
        <v>900.692187343</v>
      </c>
      <c r="AQ34">
        <v>901.23885506598106</v>
      </c>
      <c r="AR34">
        <v>2066.9235199999998</v>
      </c>
      <c r="AX34" t="s">
        <v>1050</v>
      </c>
      <c r="AY34" t="s">
        <v>792</v>
      </c>
      <c r="AZ34">
        <v>901.082885584</v>
      </c>
      <c r="BA34">
        <v>901.67509118601401</v>
      </c>
      <c r="BB34">
        <v>10101.583871999999</v>
      </c>
      <c r="BQ34" t="s">
        <v>792</v>
      </c>
      <c r="BR34">
        <v>900.63120150500004</v>
      </c>
      <c r="BS34">
        <v>901.16408893704602</v>
      </c>
      <c r="BT34">
        <v>2066.944</v>
      </c>
      <c r="CA34" t="s">
        <v>792</v>
      </c>
      <c r="CB34">
        <v>900.69787371500001</v>
      </c>
      <c r="CC34">
        <v>901.16069612395904</v>
      </c>
      <c r="CD34">
        <v>2066.9235199999998</v>
      </c>
      <c r="CJ34" t="s">
        <v>792</v>
      </c>
      <c r="CK34">
        <v>900.77023163700005</v>
      </c>
      <c r="CL34">
        <v>901.13680927408802</v>
      </c>
      <c r="CM34">
        <v>2067.705856</v>
      </c>
      <c r="CT34" t="s">
        <v>792</v>
      </c>
      <c r="CU34">
        <v>900.79600604400002</v>
      </c>
      <c r="CV34">
        <v>901.13834601501003</v>
      </c>
      <c r="CW34">
        <v>2066.9235199999998</v>
      </c>
    </row>
    <row r="35" spans="1:101" x14ac:dyDescent="0.2">
      <c r="A35" t="s">
        <v>810</v>
      </c>
      <c r="B35">
        <v>400</v>
      </c>
      <c r="C35">
        <v>5</v>
      </c>
      <c r="D35" t="str">
        <f t="shared" ref="D35:D66" si="1">A35&amp;"-"&amp;B35&amp;"-0"&amp;C35</f>
        <v>ccf6-400-05</v>
      </c>
      <c r="F35" t="s">
        <v>793</v>
      </c>
      <c r="G35">
        <v>264.886432474</v>
      </c>
      <c r="H35">
        <v>265.13109453700599</v>
      </c>
      <c r="I35">
        <v>16000</v>
      </c>
      <c r="N35" t="s">
        <v>793</v>
      </c>
      <c r="O35">
        <v>649.87745037599996</v>
      </c>
      <c r="P35">
        <v>650.41608963900899</v>
      </c>
      <c r="Q35">
        <v>16000</v>
      </c>
      <c r="V35" t="s">
        <v>793</v>
      </c>
      <c r="W35">
        <v>255.77955550999999</v>
      </c>
      <c r="X35">
        <v>256.06793985199999</v>
      </c>
      <c r="Y35">
        <v>16000</v>
      </c>
      <c r="AC35" t="s">
        <v>1051</v>
      </c>
      <c r="AD35" t="s">
        <v>793</v>
      </c>
      <c r="AE35">
        <v>266.272871834</v>
      </c>
      <c r="AF35">
        <v>266.569385636015</v>
      </c>
      <c r="AG35">
        <v>16000</v>
      </c>
      <c r="AN35" t="s">
        <v>1051</v>
      </c>
      <c r="AO35" t="s">
        <v>793</v>
      </c>
      <c r="AP35">
        <v>668.34748224400005</v>
      </c>
      <c r="AQ35">
        <v>668.97195468700295</v>
      </c>
      <c r="AR35">
        <v>16000</v>
      </c>
      <c r="AX35" t="s">
        <v>1051</v>
      </c>
      <c r="AY35" t="s">
        <v>793</v>
      </c>
      <c r="AZ35">
        <v>256.78763682300001</v>
      </c>
      <c r="BA35">
        <v>257.033883005002</v>
      </c>
      <c r="BB35">
        <v>16000</v>
      </c>
      <c r="BQ35" t="s">
        <v>793</v>
      </c>
      <c r="BR35">
        <v>640.47752356700005</v>
      </c>
      <c r="BS35">
        <v>640.90292550896902</v>
      </c>
      <c r="BT35">
        <v>16000</v>
      </c>
      <c r="CA35" t="s">
        <v>793</v>
      </c>
      <c r="CB35">
        <v>635.41120190799995</v>
      </c>
      <c r="CC35">
        <v>636.01481112197496</v>
      </c>
      <c r="CD35">
        <v>16000</v>
      </c>
      <c r="CJ35" t="s">
        <v>793</v>
      </c>
      <c r="CK35">
        <v>673.90641043300002</v>
      </c>
      <c r="CL35">
        <v>674.49530846206403</v>
      </c>
      <c r="CM35">
        <v>16000</v>
      </c>
      <c r="CT35" t="s">
        <v>793</v>
      </c>
      <c r="CU35">
        <v>673.66060253600006</v>
      </c>
      <c r="CV35">
        <v>674.29395723598998</v>
      </c>
      <c r="CW35">
        <v>16000</v>
      </c>
    </row>
    <row r="36" spans="1:101" x14ac:dyDescent="0.2">
      <c r="A36" t="s">
        <v>811</v>
      </c>
      <c r="B36">
        <v>400</v>
      </c>
      <c r="C36">
        <v>5</v>
      </c>
      <c r="D36" t="str">
        <f t="shared" si="1"/>
        <v>ccf7-400-05</v>
      </c>
      <c r="F36" t="s">
        <v>793</v>
      </c>
      <c r="G36">
        <v>340.04719607599998</v>
      </c>
      <c r="H36">
        <v>340.35518973300299</v>
      </c>
      <c r="I36">
        <v>16000</v>
      </c>
      <c r="N36" t="s">
        <v>793</v>
      </c>
      <c r="O36">
        <v>650.04698582900005</v>
      </c>
      <c r="P36">
        <v>650.63633274900997</v>
      </c>
      <c r="Q36">
        <v>16000</v>
      </c>
      <c r="V36" t="s">
        <v>793</v>
      </c>
      <c r="W36">
        <v>281.85132261400003</v>
      </c>
      <c r="X36">
        <v>282.13746895399498</v>
      </c>
      <c r="Y36">
        <v>16000</v>
      </c>
      <c r="AC36" t="s">
        <v>1052</v>
      </c>
      <c r="AD36" t="s">
        <v>793</v>
      </c>
      <c r="AE36">
        <v>307.44254313200003</v>
      </c>
      <c r="AF36">
        <v>307.67265390401002</v>
      </c>
      <c r="AG36">
        <v>16000</v>
      </c>
      <c r="AN36" t="s">
        <v>1052</v>
      </c>
      <c r="AO36" t="s">
        <v>793</v>
      </c>
      <c r="AP36">
        <v>654.71062634099997</v>
      </c>
      <c r="AQ36">
        <v>655.45598835300098</v>
      </c>
      <c r="AR36">
        <v>16000</v>
      </c>
      <c r="AX36" t="s">
        <v>1052</v>
      </c>
      <c r="AY36" t="s">
        <v>793</v>
      </c>
      <c r="AZ36">
        <v>285.33420842300001</v>
      </c>
      <c r="BA36">
        <v>285.57994982399299</v>
      </c>
      <c r="BB36">
        <v>16000</v>
      </c>
      <c r="BQ36" t="s">
        <v>793</v>
      </c>
      <c r="BR36">
        <v>635.84486234099995</v>
      </c>
      <c r="BS36">
        <v>636.35415872000101</v>
      </c>
      <c r="BT36">
        <v>16000</v>
      </c>
      <c r="CA36" t="s">
        <v>793</v>
      </c>
      <c r="CB36">
        <v>634.19356720899998</v>
      </c>
      <c r="CC36">
        <v>634.68735271005403</v>
      </c>
      <c r="CD36">
        <v>16000</v>
      </c>
      <c r="CJ36" t="s">
        <v>793</v>
      </c>
      <c r="CK36">
        <v>636.19012824799995</v>
      </c>
      <c r="CL36">
        <v>636.65515499096296</v>
      </c>
      <c r="CM36">
        <v>16000</v>
      </c>
      <c r="CT36" t="s">
        <v>793</v>
      </c>
      <c r="CU36">
        <v>631.56656045700004</v>
      </c>
      <c r="CV36">
        <v>632.036224471987</v>
      </c>
      <c r="CW36">
        <v>16000</v>
      </c>
    </row>
    <row r="37" spans="1:101" x14ac:dyDescent="0.2">
      <c r="A37" t="s">
        <v>812</v>
      </c>
      <c r="B37">
        <v>400</v>
      </c>
      <c r="C37">
        <v>5</v>
      </c>
      <c r="D37" t="str">
        <f t="shared" si="1"/>
        <v>ccf8-400-05</v>
      </c>
      <c r="F37" t="s">
        <v>793</v>
      </c>
      <c r="G37">
        <v>332.35304301899998</v>
      </c>
      <c r="H37">
        <v>332.74585229200602</v>
      </c>
      <c r="I37">
        <v>16000</v>
      </c>
      <c r="N37" t="s">
        <v>793</v>
      </c>
      <c r="O37">
        <v>554.81335095999998</v>
      </c>
      <c r="P37">
        <v>555.36061506401097</v>
      </c>
      <c r="Q37">
        <v>16000</v>
      </c>
      <c r="V37" t="s">
        <v>793</v>
      </c>
      <c r="W37">
        <v>268.461904769</v>
      </c>
      <c r="X37">
        <v>268.79392932700199</v>
      </c>
      <c r="Y37">
        <v>16000</v>
      </c>
      <c r="AC37" t="s">
        <v>1053</v>
      </c>
      <c r="AD37" t="s">
        <v>793</v>
      </c>
      <c r="AE37">
        <v>334.28958532199999</v>
      </c>
      <c r="AF37">
        <v>334.60905481100701</v>
      </c>
      <c r="AG37">
        <v>16000</v>
      </c>
      <c r="AN37" t="s">
        <v>1053</v>
      </c>
      <c r="AO37" t="s">
        <v>793</v>
      </c>
      <c r="AP37">
        <v>592.18702674500003</v>
      </c>
      <c r="AQ37">
        <v>592.72279748099299</v>
      </c>
      <c r="AR37">
        <v>16000</v>
      </c>
      <c r="AX37" t="s">
        <v>1053</v>
      </c>
      <c r="AY37" t="s">
        <v>793</v>
      </c>
      <c r="AZ37">
        <v>267.27299018899998</v>
      </c>
      <c r="BA37">
        <v>267.50174022300001</v>
      </c>
      <c r="BB37">
        <v>16000</v>
      </c>
      <c r="BQ37" t="s">
        <v>793</v>
      </c>
      <c r="BR37">
        <v>552.63097647799998</v>
      </c>
      <c r="BS37">
        <v>553.03215233195795</v>
      </c>
      <c r="BT37">
        <v>16000</v>
      </c>
      <c r="CA37" t="s">
        <v>793</v>
      </c>
      <c r="CB37">
        <v>554.55360580000001</v>
      </c>
      <c r="CC37">
        <v>554.90326047898202</v>
      </c>
      <c r="CD37">
        <v>16000</v>
      </c>
      <c r="CJ37" t="s">
        <v>793</v>
      </c>
      <c r="CK37">
        <v>580.97768683499999</v>
      </c>
      <c r="CL37">
        <v>581.402539488044</v>
      </c>
      <c r="CM37">
        <v>16000</v>
      </c>
      <c r="CT37" t="s">
        <v>793</v>
      </c>
      <c r="CU37">
        <v>594.92465644200001</v>
      </c>
      <c r="CV37">
        <v>595.50012444204106</v>
      </c>
      <c r="CW37">
        <v>16000</v>
      </c>
    </row>
    <row r="38" spans="1:101" x14ac:dyDescent="0.2">
      <c r="A38" t="s">
        <v>813</v>
      </c>
      <c r="B38">
        <v>400</v>
      </c>
      <c r="C38">
        <v>5</v>
      </c>
      <c r="D38" t="str">
        <f t="shared" si="1"/>
        <v>ccf9-400-05</v>
      </c>
      <c r="F38" t="s">
        <v>793</v>
      </c>
      <c r="G38">
        <v>453.76260967799999</v>
      </c>
      <c r="H38">
        <v>454.25185122000403</v>
      </c>
      <c r="I38">
        <v>16000</v>
      </c>
      <c r="N38" t="s">
        <v>793</v>
      </c>
      <c r="O38">
        <v>818.98404155699995</v>
      </c>
      <c r="P38">
        <v>819.66721746500104</v>
      </c>
      <c r="Q38">
        <v>16000</v>
      </c>
      <c r="V38" t="s">
        <v>793</v>
      </c>
      <c r="W38">
        <v>219.33265351399999</v>
      </c>
      <c r="X38">
        <v>219.46494877999001</v>
      </c>
      <c r="Y38">
        <v>16000</v>
      </c>
      <c r="AC38" t="s">
        <v>1054</v>
      </c>
      <c r="AD38" t="s">
        <v>793</v>
      </c>
      <c r="AE38">
        <v>466.617252501</v>
      </c>
      <c r="AF38">
        <v>466.99158158301702</v>
      </c>
      <c r="AG38">
        <v>16000</v>
      </c>
      <c r="AN38" t="s">
        <v>1054</v>
      </c>
      <c r="AO38" t="s">
        <v>793</v>
      </c>
      <c r="AP38">
        <v>803.98657676799996</v>
      </c>
      <c r="AQ38">
        <v>804.68358301799105</v>
      </c>
      <c r="AR38">
        <v>16000</v>
      </c>
      <c r="AX38" t="s">
        <v>1054</v>
      </c>
      <c r="AY38" t="s">
        <v>793</v>
      </c>
      <c r="AZ38">
        <v>247.22610993000001</v>
      </c>
      <c r="BA38">
        <v>247.50951433600801</v>
      </c>
      <c r="BB38">
        <v>16000</v>
      </c>
      <c r="BQ38" t="s">
        <v>793</v>
      </c>
      <c r="BR38">
        <v>806.71701559500002</v>
      </c>
      <c r="BS38">
        <v>807.42572707304498</v>
      </c>
      <c r="BT38">
        <v>16000</v>
      </c>
      <c r="CA38" t="s">
        <v>793</v>
      </c>
      <c r="CB38">
        <v>806.47558838700002</v>
      </c>
      <c r="CC38">
        <v>807.13094523700397</v>
      </c>
      <c r="CD38">
        <v>16000</v>
      </c>
      <c r="CJ38" t="s">
        <v>793</v>
      </c>
      <c r="CK38">
        <v>784.20476797699996</v>
      </c>
      <c r="CL38">
        <v>784.77182332693997</v>
      </c>
      <c r="CM38">
        <v>16000</v>
      </c>
      <c r="CT38" t="s">
        <v>793</v>
      </c>
      <c r="CU38">
        <v>778.58351813199999</v>
      </c>
      <c r="CV38">
        <v>779.10992078401603</v>
      </c>
      <c r="CW38">
        <v>16000</v>
      </c>
    </row>
    <row r="39" spans="1:101" x14ac:dyDescent="0.2">
      <c r="A39" t="s">
        <v>805</v>
      </c>
      <c r="B39">
        <v>500</v>
      </c>
      <c r="C39">
        <v>5</v>
      </c>
      <c r="D39" t="str">
        <f t="shared" si="1"/>
        <v>ccf1-500-05</v>
      </c>
      <c r="F39" t="s">
        <v>793</v>
      </c>
      <c r="G39">
        <v>491.42376710799999</v>
      </c>
      <c r="H39">
        <v>491.80594434800099</v>
      </c>
      <c r="I39">
        <v>16000</v>
      </c>
      <c r="N39" t="s">
        <v>792</v>
      </c>
      <c r="O39">
        <v>900.63013445900003</v>
      </c>
      <c r="P39">
        <v>901.10687061800797</v>
      </c>
      <c r="Q39">
        <v>1022.107648</v>
      </c>
      <c r="V39" t="s">
        <v>792</v>
      </c>
      <c r="W39">
        <v>900.67298054399998</v>
      </c>
      <c r="X39">
        <v>901.08162680099394</v>
      </c>
      <c r="Y39">
        <v>1198.3175679999999</v>
      </c>
      <c r="AC39" t="s">
        <v>1055</v>
      </c>
      <c r="AD39" t="s">
        <v>793</v>
      </c>
      <c r="AE39">
        <v>490.56377439800002</v>
      </c>
      <c r="AF39">
        <v>491.10357495900797</v>
      </c>
      <c r="AG39">
        <v>16000</v>
      </c>
      <c r="AN39" t="s">
        <v>1055</v>
      </c>
      <c r="AO39" t="s">
        <v>792</v>
      </c>
      <c r="AP39">
        <v>900.64535636000005</v>
      </c>
      <c r="AQ39">
        <v>901.12531060900005</v>
      </c>
      <c r="AR39">
        <v>1022.09536</v>
      </c>
      <c r="AX39" t="s">
        <v>1055</v>
      </c>
      <c r="AY39" t="s">
        <v>792</v>
      </c>
      <c r="AZ39">
        <v>900.72024278100002</v>
      </c>
      <c r="BA39">
        <v>901.128075316984</v>
      </c>
      <c r="BB39">
        <v>1198.280704</v>
      </c>
      <c r="BQ39" t="s">
        <v>792</v>
      </c>
      <c r="BR39">
        <v>900.62231301300005</v>
      </c>
      <c r="BS39">
        <v>901.04915222700197</v>
      </c>
      <c r="BT39">
        <v>1022.066688</v>
      </c>
      <c r="CA39" t="s">
        <v>792</v>
      </c>
      <c r="CB39">
        <v>900.19712372900005</v>
      </c>
      <c r="CC39">
        <v>901.17484079499195</v>
      </c>
      <c r="CD39">
        <v>1022.590976</v>
      </c>
      <c r="CJ39" t="s">
        <v>792</v>
      </c>
      <c r="CK39">
        <v>900.52928867399999</v>
      </c>
      <c r="CL39">
        <v>901.08656274794998</v>
      </c>
      <c r="CM39">
        <v>1022.087168</v>
      </c>
      <c r="CT39" t="s">
        <v>792</v>
      </c>
      <c r="CU39">
        <v>900.62583239699995</v>
      </c>
      <c r="CV39">
        <v>901.08985153096705</v>
      </c>
      <c r="CW39">
        <v>1022.160896</v>
      </c>
    </row>
    <row r="40" spans="1:101" x14ac:dyDescent="0.2">
      <c r="A40" t="s">
        <v>806</v>
      </c>
      <c r="B40">
        <v>500</v>
      </c>
      <c r="C40">
        <v>5</v>
      </c>
      <c r="D40" t="str">
        <f t="shared" si="1"/>
        <v>ccf2-500-05</v>
      </c>
      <c r="F40" t="s">
        <v>792</v>
      </c>
      <c r="G40">
        <v>900.76264418300002</v>
      </c>
      <c r="H40">
        <v>901.05884297</v>
      </c>
      <c r="I40">
        <v>621.98988799999995</v>
      </c>
      <c r="N40" t="s">
        <v>792</v>
      </c>
      <c r="O40">
        <v>900.70901916100001</v>
      </c>
      <c r="P40">
        <v>901.03310610001699</v>
      </c>
      <c r="Q40">
        <v>76.333055999999999</v>
      </c>
      <c r="V40" t="s">
        <v>792</v>
      </c>
      <c r="W40">
        <v>900.70017172799999</v>
      </c>
      <c r="X40">
        <v>901.02053302900401</v>
      </c>
      <c r="Y40">
        <v>144.965632</v>
      </c>
      <c r="AC40" t="s">
        <v>1056</v>
      </c>
      <c r="AD40" t="s">
        <v>792</v>
      </c>
      <c r="AE40">
        <v>900.51390483900002</v>
      </c>
      <c r="AF40">
        <v>901.08129353501101</v>
      </c>
      <c r="AG40">
        <v>621.98169600000006</v>
      </c>
      <c r="AN40" t="s">
        <v>1056</v>
      </c>
      <c r="AO40" t="s">
        <v>792</v>
      </c>
      <c r="AP40">
        <v>900.71610469699999</v>
      </c>
      <c r="AQ40">
        <v>901.03855055398799</v>
      </c>
      <c r="AR40">
        <v>76.353536000000005</v>
      </c>
      <c r="AX40" t="s">
        <v>1056</v>
      </c>
      <c r="AY40" t="s">
        <v>792</v>
      </c>
      <c r="AZ40">
        <v>900.69569900900001</v>
      </c>
      <c r="BA40">
        <v>901.04992966199598</v>
      </c>
      <c r="BB40">
        <v>145.01888</v>
      </c>
      <c r="BQ40" t="s">
        <v>792</v>
      </c>
      <c r="BR40">
        <v>900.14600946899998</v>
      </c>
      <c r="BS40">
        <v>901.01539488200797</v>
      </c>
      <c r="BT40">
        <v>76.496896000000007</v>
      </c>
      <c r="CA40" t="s">
        <v>792</v>
      </c>
      <c r="CB40">
        <v>900.60231599600002</v>
      </c>
      <c r="CC40">
        <v>901.01421685004595</v>
      </c>
      <c r="CD40">
        <v>75.677695999999997</v>
      </c>
      <c r="CJ40" t="s">
        <v>792</v>
      </c>
      <c r="CK40">
        <v>900.72441298499996</v>
      </c>
      <c r="CL40">
        <v>901.01193075790002</v>
      </c>
      <c r="CM40">
        <v>76.328959999999995</v>
      </c>
      <c r="CT40" t="s">
        <v>792</v>
      </c>
      <c r="CU40">
        <v>900.71989706299996</v>
      </c>
      <c r="CV40">
        <v>901.01561064994803</v>
      </c>
      <c r="CW40">
        <v>76.296192000000005</v>
      </c>
    </row>
    <row r="41" spans="1:101" x14ac:dyDescent="0.2">
      <c r="A41" t="s">
        <v>807</v>
      </c>
      <c r="B41">
        <v>500</v>
      </c>
      <c r="C41">
        <v>5</v>
      </c>
      <c r="D41" t="str">
        <f t="shared" si="1"/>
        <v>ccf3-500-05</v>
      </c>
      <c r="F41" t="s">
        <v>793</v>
      </c>
      <c r="G41">
        <v>708.70638499799998</v>
      </c>
      <c r="H41">
        <v>709.21178243300506</v>
      </c>
      <c r="I41">
        <v>16000</v>
      </c>
      <c r="N41" t="s">
        <v>792</v>
      </c>
      <c r="O41">
        <v>900.62737282900002</v>
      </c>
      <c r="P41">
        <v>901.25678852899</v>
      </c>
      <c r="Q41">
        <v>3702.3088640000001</v>
      </c>
      <c r="V41" t="s">
        <v>792</v>
      </c>
      <c r="W41">
        <v>900.84415585700003</v>
      </c>
      <c r="X41">
        <v>901.26708230399504</v>
      </c>
      <c r="Y41">
        <v>3783.1761919999999</v>
      </c>
      <c r="AC41" t="s">
        <v>1057</v>
      </c>
      <c r="AD41" t="s">
        <v>793</v>
      </c>
      <c r="AE41">
        <v>712.81715030099997</v>
      </c>
      <c r="AF41">
        <v>713.41085720198998</v>
      </c>
      <c r="AG41">
        <v>16000</v>
      </c>
      <c r="AN41" t="s">
        <v>1057</v>
      </c>
      <c r="AO41" t="s">
        <v>792</v>
      </c>
      <c r="AP41">
        <v>900.72809303400004</v>
      </c>
      <c r="AQ41">
        <v>901.29238777299099</v>
      </c>
      <c r="AR41">
        <v>3702.4358400000001</v>
      </c>
      <c r="AX41" t="s">
        <v>1057</v>
      </c>
      <c r="AY41" t="s">
        <v>792</v>
      </c>
      <c r="AZ41">
        <v>900.64698202299996</v>
      </c>
      <c r="BA41">
        <v>901.32367388400598</v>
      </c>
      <c r="BB41">
        <v>3783.180288</v>
      </c>
      <c r="BQ41" t="s">
        <v>792</v>
      </c>
      <c r="BR41">
        <v>900.81151662499997</v>
      </c>
      <c r="BS41">
        <v>901.234870544052</v>
      </c>
      <c r="BT41">
        <v>3702.3948799999998</v>
      </c>
      <c r="CA41" t="s">
        <v>792</v>
      </c>
      <c r="CB41">
        <v>900.78186276300005</v>
      </c>
      <c r="CC41">
        <v>901.22448576404702</v>
      </c>
      <c r="CD41">
        <v>3702.4235520000002</v>
      </c>
      <c r="CJ41" t="s">
        <v>792</v>
      </c>
      <c r="CK41">
        <v>900.71238667900002</v>
      </c>
      <c r="CL41">
        <v>901.22614623606205</v>
      </c>
      <c r="CM41">
        <v>3702.3129600000002</v>
      </c>
      <c r="CT41" t="s">
        <v>792</v>
      </c>
      <c r="CU41">
        <v>900.76903702200002</v>
      </c>
      <c r="CV41">
        <v>901.23022667202099</v>
      </c>
      <c r="CW41">
        <v>3702.304768</v>
      </c>
    </row>
    <row r="42" spans="1:101" x14ac:dyDescent="0.2">
      <c r="A42" t="s">
        <v>808</v>
      </c>
      <c r="B42">
        <v>500</v>
      </c>
      <c r="C42">
        <v>5</v>
      </c>
      <c r="D42" t="str">
        <f t="shared" si="1"/>
        <v>ccf4-500-05</v>
      </c>
      <c r="F42" t="s">
        <v>793</v>
      </c>
      <c r="G42">
        <v>297.51519010099997</v>
      </c>
      <c r="H42">
        <v>297.75184033599999</v>
      </c>
      <c r="I42">
        <v>16000</v>
      </c>
      <c r="N42" t="s">
        <v>793</v>
      </c>
      <c r="O42">
        <v>480.53695090399998</v>
      </c>
      <c r="P42">
        <v>480.99160477702299</v>
      </c>
      <c r="Q42">
        <v>16000</v>
      </c>
      <c r="V42" t="s">
        <v>793</v>
      </c>
      <c r="W42">
        <v>336.755233487</v>
      </c>
      <c r="X42">
        <v>337.11610649499897</v>
      </c>
      <c r="Y42">
        <v>16000</v>
      </c>
      <c r="AC42" t="s">
        <v>1058</v>
      </c>
      <c r="AD42" t="s">
        <v>793</v>
      </c>
      <c r="AE42">
        <v>296.79090823400003</v>
      </c>
      <c r="AF42">
        <v>297.04132865500202</v>
      </c>
      <c r="AG42">
        <v>16000</v>
      </c>
      <c r="AN42" t="s">
        <v>1058</v>
      </c>
      <c r="AO42" t="s">
        <v>793</v>
      </c>
      <c r="AP42">
        <v>479.18724326699999</v>
      </c>
      <c r="AQ42">
        <v>479.52064348701902</v>
      </c>
      <c r="AR42">
        <v>16000</v>
      </c>
      <c r="AX42" t="s">
        <v>1058</v>
      </c>
      <c r="AY42" t="s">
        <v>793</v>
      </c>
      <c r="AZ42">
        <v>337.84640346399999</v>
      </c>
      <c r="BA42">
        <v>338.18258501400101</v>
      </c>
      <c r="BB42">
        <v>16000</v>
      </c>
      <c r="BQ42" t="s">
        <v>793</v>
      </c>
      <c r="BR42">
        <v>497.48852705000002</v>
      </c>
      <c r="BS42">
        <v>498.33635743602599</v>
      </c>
      <c r="BT42">
        <v>16000</v>
      </c>
      <c r="CA42" t="s">
        <v>793</v>
      </c>
      <c r="CB42">
        <v>500.54880782599997</v>
      </c>
      <c r="CC42">
        <v>500.91158979502501</v>
      </c>
      <c r="CD42">
        <v>16000</v>
      </c>
      <c r="CJ42" t="s">
        <v>793</v>
      </c>
      <c r="CK42">
        <v>483.52912912099998</v>
      </c>
      <c r="CL42">
        <v>483.83911675796799</v>
      </c>
      <c r="CM42">
        <v>16000</v>
      </c>
      <c r="CT42" t="s">
        <v>793</v>
      </c>
      <c r="CU42">
        <v>483.49784032399998</v>
      </c>
      <c r="CV42">
        <v>483.98346708097898</v>
      </c>
      <c r="CW42">
        <v>16000</v>
      </c>
    </row>
    <row r="43" spans="1:101" x14ac:dyDescent="0.2">
      <c r="A43" t="s">
        <v>809</v>
      </c>
      <c r="B43">
        <v>500</v>
      </c>
      <c r="C43">
        <v>5</v>
      </c>
      <c r="D43" t="str">
        <f t="shared" si="1"/>
        <v>ccf5-500-05</v>
      </c>
      <c r="F43" t="s">
        <v>793</v>
      </c>
      <c r="G43">
        <v>316.82036693499998</v>
      </c>
      <c r="H43">
        <v>317.05376865199599</v>
      </c>
      <c r="I43">
        <v>16000</v>
      </c>
      <c r="N43" t="s">
        <v>792</v>
      </c>
      <c r="O43">
        <v>900.849483792</v>
      </c>
      <c r="P43">
        <v>901.57814588001895</v>
      </c>
      <c r="Q43">
        <v>9062.4</v>
      </c>
      <c r="V43" t="s">
        <v>792</v>
      </c>
      <c r="W43">
        <v>901.18795062699996</v>
      </c>
      <c r="X43">
        <v>901.89480408200995</v>
      </c>
      <c r="Y43">
        <v>15237.394431999999</v>
      </c>
      <c r="AC43" t="s">
        <v>1059</v>
      </c>
      <c r="AD43" t="s">
        <v>793</v>
      </c>
      <c r="AE43">
        <v>328.85356646499997</v>
      </c>
      <c r="AF43">
        <v>329.16894170999802</v>
      </c>
      <c r="AG43">
        <v>16000</v>
      </c>
      <c r="AN43" t="s">
        <v>1059</v>
      </c>
      <c r="AO43" t="s">
        <v>792</v>
      </c>
      <c r="AP43">
        <v>900.88055774400004</v>
      </c>
      <c r="AQ43">
        <v>901.57737725699496</v>
      </c>
      <c r="AR43">
        <v>9062.5597440000001</v>
      </c>
      <c r="AX43" t="s">
        <v>1059</v>
      </c>
      <c r="AY43" t="s">
        <v>792</v>
      </c>
      <c r="AZ43">
        <v>901.32596099600005</v>
      </c>
      <c r="BA43">
        <v>902.07648495800095</v>
      </c>
      <c r="BB43">
        <v>15237.4272</v>
      </c>
      <c r="BQ43" t="s">
        <v>792</v>
      </c>
      <c r="BR43">
        <v>900.73899899000003</v>
      </c>
      <c r="BS43">
        <v>901.53362079599106</v>
      </c>
      <c r="BT43">
        <v>9062.4040960000002</v>
      </c>
      <c r="CA43" t="s">
        <v>792</v>
      </c>
      <c r="CB43">
        <v>900.95615305599995</v>
      </c>
      <c r="CC43">
        <v>901.48446921107802</v>
      </c>
      <c r="CD43">
        <v>9062.4204800000007</v>
      </c>
      <c r="CJ43" t="s">
        <v>792</v>
      </c>
      <c r="CK43">
        <v>900.81038922699997</v>
      </c>
      <c r="CL43">
        <v>901.54767172504205</v>
      </c>
      <c r="CM43">
        <v>9062.4204800000007</v>
      </c>
      <c r="CT43" t="s">
        <v>792</v>
      </c>
      <c r="CU43">
        <v>900.81751317199996</v>
      </c>
      <c r="CV43">
        <v>901.52158340904805</v>
      </c>
      <c r="CW43">
        <v>9062.4</v>
      </c>
    </row>
    <row r="44" spans="1:101" x14ac:dyDescent="0.2">
      <c r="A44" t="s">
        <v>810</v>
      </c>
      <c r="B44">
        <v>500</v>
      </c>
      <c r="C44">
        <v>5</v>
      </c>
      <c r="D44" t="str">
        <f t="shared" si="1"/>
        <v>ccf6-500-05</v>
      </c>
      <c r="F44" t="s">
        <v>793</v>
      </c>
      <c r="G44">
        <v>257.75561600700001</v>
      </c>
      <c r="H44">
        <v>258.08871467701101</v>
      </c>
      <c r="I44">
        <v>16000</v>
      </c>
      <c r="N44" t="s">
        <v>792</v>
      </c>
      <c r="O44">
        <v>901.13017993999995</v>
      </c>
      <c r="P44">
        <v>901.76113717298699</v>
      </c>
      <c r="Q44">
        <v>14989.307903999999</v>
      </c>
      <c r="V44" t="s">
        <v>793</v>
      </c>
      <c r="W44">
        <v>314.37931211300003</v>
      </c>
      <c r="X44">
        <v>314.66299476000103</v>
      </c>
      <c r="Y44">
        <v>16000</v>
      </c>
      <c r="AC44" t="s">
        <v>1060</v>
      </c>
      <c r="AD44" t="s">
        <v>793</v>
      </c>
      <c r="AE44">
        <v>257.00031512300001</v>
      </c>
      <c r="AF44">
        <v>257.33708798000498</v>
      </c>
      <c r="AG44">
        <v>16000</v>
      </c>
      <c r="AN44" t="s">
        <v>1060</v>
      </c>
      <c r="AO44" t="s">
        <v>792</v>
      </c>
      <c r="AP44">
        <v>901.256588964</v>
      </c>
      <c r="AQ44">
        <v>901.80869468100695</v>
      </c>
      <c r="AR44">
        <v>14989.443072</v>
      </c>
      <c r="AX44" t="s">
        <v>1060</v>
      </c>
      <c r="AY44" t="s">
        <v>793</v>
      </c>
      <c r="AZ44">
        <v>314.08582267100002</v>
      </c>
      <c r="BA44">
        <v>314.37616109097098</v>
      </c>
      <c r="BB44">
        <v>16000</v>
      </c>
      <c r="BQ44" t="s">
        <v>792</v>
      </c>
      <c r="BR44">
        <v>900.98300010699995</v>
      </c>
      <c r="BS44">
        <v>901.72405133099505</v>
      </c>
      <c r="BT44">
        <v>9424.2529279999999</v>
      </c>
      <c r="CA44" t="s">
        <v>792</v>
      </c>
      <c r="CB44">
        <v>900.87885212200001</v>
      </c>
      <c r="CC44">
        <v>901.60366030002399</v>
      </c>
      <c r="CD44">
        <v>9805.1727360000004</v>
      </c>
      <c r="CJ44" t="s">
        <v>792</v>
      </c>
      <c r="CK44">
        <v>900.91046565299996</v>
      </c>
      <c r="CL44">
        <v>901.61307925602796</v>
      </c>
      <c r="CM44">
        <v>9911.4680320000007</v>
      </c>
      <c r="CT44" t="s">
        <v>792</v>
      </c>
      <c r="CU44">
        <v>900.86922311299998</v>
      </c>
      <c r="CV44">
        <v>901.58337335195301</v>
      </c>
      <c r="CW44">
        <v>9947.5578879999994</v>
      </c>
    </row>
    <row r="45" spans="1:101" x14ac:dyDescent="0.2">
      <c r="A45" t="s">
        <v>811</v>
      </c>
      <c r="B45">
        <v>500</v>
      </c>
      <c r="C45">
        <v>5</v>
      </c>
      <c r="D45" t="str">
        <f t="shared" si="1"/>
        <v>ccf7-500-05</v>
      </c>
      <c r="F45" t="s">
        <v>793</v>
      </c>
      <c r="G45">
        <v>287.036539468</v>
      </c>
      <c r="H45">
        <v>287.26659883999599</v>
      </c>
      <c r="I45">
        <v>16000</v>
      </c>
      <c r="N45" t="s">
        <v>792</v>
      </c>
      <c r="O45">
        <v>901.15647558199998</v>
      </c>
      <c r="P45">
        <v>901.84574091198704</v>
      </c>
      <c r="Q45">
        <v>15315.537920000001</v>
      </c>
      <c r="V45" t="s">
        <v>793</v>
      </c>
      <c r="W45">
        <v>317.27261286999999</v>
      </c>
      <c r="X45">
        <v>317.61783742598999</v>
      </c>
      <c r="Y45">
        <v>16000</v>
      </c>
      <c r="AC45" t="s">
        <v>1061</v>
      </c>
      <c r="AD45" t="s">
        <v>793</v>
      </c>
      <c r="AE45">
        <v>294.535845241</v>
      </c>
      <c r="AF45">
        <v>294.863347459002</v>
      </c>
      <c r="AG45">
        <v>16000</v>
      </c>
      <c r="AN45" t="s">
        <v>1061</v>
      </c>
      <c r="AO45" t="s">
        <v>792</v>
      </c>
      <c r="AP45">
        <v>900.97958470900005</v>
      </c>
      <c r="AQ45">
        <v>901.84022750198994</v>
      </c>
      <c r="AR45">
        <v>15025.561600000001</v>
      </c>
      <c r="AX45" t="s">
        <v>1061</v>
      </c>
      <c r="AY45" t="s">
        <v>793</v>
      </c>
      <c r="AZ45">
        <v>319.30130795000002</v>
      </c>
      <c r="BA45">
        <v>319.60212654500998</v>
      </c>
      <c r="BB45">
        <v>16000</v>
      </c>
      <c r="BQ45" t="s">
        <v>792</v>
      </c>
      <c r="BR45">
        <v>901.03382344900001</v>
      </c>
      <c r="BS45">
        <v>901.81954885501102</v>
      </c>
      <c r="BT45">
        <v>15315.525632000001</v>
      </c>
      <c r="CA45" t="s">
        <v>792</v>
      </c>
      <c r="CB45">
        <v>901.01969243999997</v>
      </c>
      <c r="CC45">
        <v>901.75746679690201</v>
      </c>
      <c r="CD45">
        <v>15315.505152</v>
      </c>
      <c r="CJ45" t="s">
        <v>792</v>
      </c>
      <c r="CK45">
        <v>901.12732113000004</v>
      </c>
      <c r="CL45">
        <v>901.76680712203904</v>
      </c>
      <c r="CM45">
        <v>15315.550208000001</v>
      </c>
      <c r="CT45" t="s">
        <v>792</v>
      </c>
      <c r="CU45">
        <v>901.21133639300001</v>
      </c>
      <c r="CV45">
        <v>901.83423130994197</v>
      </c>
      <c r="CW45">
        <v>15315.546112</v>
      </c>
    </row>
    <row r="46" spans="1:101" x14ac:dyDescent="0.2">
      <c r="A46" t="s">
        <v>812</v>
      </c>
      <c r="B46">
        <v>500</v>
      </c>
      <c r="C46">
        <v>5</v>
      </c>
      <c r="D46" t="str">
        <f t="shared" si="1"/>
        <v>ccf8-500-05</v>
      </c>
      <c r="F46" t="s">
        <v>793</v>
      </c>
      <c r="G46">
        <v>330.52883242199999</v>
      </c>
      <c r="H46">
        <v>330.81731057299402</v>
      </c>
      <c r="I46">
        <v>16000</v>
      </c>
      <c r="N46" t="s">
        <v>792</v>
      </c>
      <c r="O46">
        <v>901.08269107399997</v>
      </c>
      <c r="P46">
        <v>901.649263166997</v>
      </c>
      <c r="Q46">
        <v>10883.739648000001</v>
      </c>
      <c r="V46" t="s">
        <v>793</v>
      </c>
      <c r="W46">
        <v>312.82312998899999</v>
      </c>
      <c r="X46">
        <v>313.20860666398897</v>
      </c>
      <c r="Y46">
        <v>16000</v>
      </c>
      <c r="AC46" t="s">
        <v>1062</v>
      </c>
      <c r="AD46" t="s">
        <v>793</v>
      </c>
      <c r="AE46">
        <v>331.31139919200001</v>
      </c>
      <c r="AF46">
        <v>331.60791359900003</v>
      </c>
      <c r="AG46">
        <v>16000</v>
      </c>
      <c r="AN46" t="s">
        <v>1062</v>
      </c>
      <c r="AO46" t="s">
        <v>792</v>
      </c>
      <c r="AP46">
        <v>900.96560698799999</v>
      </c>
      <c r="AQ46">
        <v>901.66348486798199</v>
      </c>
      <c r="AR46">
        <v>9435.7913599999993</v>
      </c>
      <c r="AX46" t="s">
        <v>1062</v>
      </c>
      <c r="AY46" t="s">
        <v>793</v>
      </c>
      <c r="AZ46">
        <v>312.20783092400001</v>
      </c>
      <c r="BA46">
        <v>312.45972168599798</v>
      </c>
      <c r="BB46">
        <v>16000</v>
      </c>
      <c r="BQ46" t="s">
        <v>792</v>
      </c>
      <c r="BR46">
        <v>900.85206314100003</v>
      </c>
      <c r="BS46">
        <v>901.63210977101699</v>
      </c>
      <c r="BT46">
        <v>8952.64768</v>
      </c>
      <c r="CA46" t="s">
        <v>792</v>
      </c>
      <c r="CB46">
        <v>900.78193519199999</v>
      </c>
      <c r="CC46">
        <v>901.49969395494497</v>
      </c>
      <c r="CD46">
        <v>8953.2620800000004</v>
      </c>
      <c r="CJ46" t="s">
        <v>792</v>
      </c>
      <c r="CK46">
        <v>900.76794558100005</v>
      </c>
      <c r="CL46">
        <v>901.48750812804701</v>
      </c>
      <c r="CM46">
        <v>8952.7910400000001</v>
      </c>
      <c r="CT46" t="s">
        <v>792</v>
      </c>
      <c r="CU46">
        <v>900.79747223100003</v>
      </c>
      <c r="CV46">
        <v>901.51741246297001</v>
      </c>
      <c r="CW46">
        <v>8952.6640640000005</v>
      </c>
    </row>
    <row r="47" spans="1:101" x14ac:dyDescent="0.2">
      <c r="A47" t="s">
        <v>813</v>
      </c>
      <c r="B47">
        <v>500</v>
      </c>
      <c r="C47">
        <v>5</v>
      </c>
      <c r="D47" t="str">
        <f t="shared" si="1"/>
        <v>ccf9-500-05</v>
      </c>
      <c r="F47" t="s">
        <v>793</v>
      </c>
      <c r="G47">
        <v>254.53156711599999</v>
      </c>
      <c r="H47">
        <v>254.74758506199501</v>
      </c>
      <c r="I47">
        <v>16000</v>
      </c>
      <c r="N47" t="s">
        <v>793</v>
      </c>
      <c r="O47">
        <v>633.56589409000003</v>
      </c>
      <c r="P47">
        <v>634.24700120999398</v>
      </c>
      <c r="Q47">
        <v>16000</v>
      </c>
      <c r="V47" t="s">
        <v>793</v>
      </c>
      <c r="W47">
        <v>327.99487177100002</v>
      </c>
      <c r="X47">
        <v>328.26464497600602</v>
      </c>
      <c r="Y47">
        <v>16000</v>
      </c>
      <c r="AC47" t="s">
        <v>1063</v>
      </c>
      <c r="AD47" t="s">
        <v>793</v>
      </c>
      <c r="AE47">
        <v>250.72438263199999</v>
      </c>
      <c r="AF47">
        <v>250.95631717698399</v>
      </c>
      <c r="AG47">
        <v>16000</v>
      </c>
      <c r="AN47" t="s">
        <v>1063</v>
      </c>
      <c r="AO47" t="s">
        <v>793</v>
      </c>
      <c r="AP47">
        <v>617.85073844600004</v>
      </c>
      <c r="AQ47">
        <v>618.39727354099102</v>
      </c>
      <c r="AR47">
        <v>16000</v>
      </c>
      <c r="AX47" t="s">
        <v>1063</v>
      </c>
      <c r="AY47" t="s">
        <v>793</v>
      </c>
      <c r="AZ47">
        <v>310.91431795300002</v>
      </c>
      <c r="BA47">
        <v>311.16114434800602</v>
      </c>
      <c r="BB47">
        <v>16000</v>
      </c>
      <c r="BQ47" t="s">
        <v>793</v>
      </c>
      <c r="BR47">
        <v>620.47345579499995</v>
      </c>
      <c r="BS47">
        <v>621.29188577702701</v>
      </c>
      <c r="BT47">
        <v>16000</v>
      </c>
      <c r="CA47" t="s">
        <v>793</v>
      </c>
      <c r="CB47">
        <v>617.75401073399996</v>
      </c>
      <c r="CC47">
        <v>618.27781949099096</v>
      </c>
      <c r="CD47">
        <v>16000</v>
      </c>
      <c r="CJ47" t="s">
        <v>793</v>
      </c>
      <c r="CK47">
        <v>605.976809764</v>
      </c>
      <c r="CL47">
        <v>606.43172736000201</v>
      </c>
      <c r="CM47">
        <v>16000</v>
      </c>
      <c r="CT47" t="s">
        <v>793</v>
      </c>
      <c r="CU47">
        <v>626.52732830399998</v>
      </c>
      <c r="CV47">
        <v>627.174554281984</v>
      </c>
      <c r="CW47">
        <v>16000</v>
      </c>
    </row>
    <row r="48" spans="1:101" x14ac:dyDescent="0.2">
      <c r="A48" t="s">
        <v>805</v>
      </c>
      <c r="B48">
        <v>600</v>
      </c>
      <c r="C48">
        <v>5</v>
      </c>
      <c r="D48" t="str">
        <f t="shared" si="1"/>
        <v>ccf1-600-05</v>
      </c>
      <c r="F48" t="s">
        <v>793</v>
      </c>
      <c r="G48">
        <v>342.21485431999997</v>
      </c>
      <c r="H48">
        <v>342.57094301799901</v>
      </c>
      <c r="I48">
        <v>16000</v>
      </c>
      <c r="N48" t="s">
        <v>792</v>
      </c>
      <c r="O48">
        <v>900.72021753399997</v>
      </c>
      <c r="P48">
        <v>901.03186309</v>
      </c>
      <c r="Q48">
        <v>98.742272</v>
      </c>
      <c r="V48" t="s">
        <v>792</v>
      </c>
      <c r="W48">
        <v>900.70583346000001</v>
      </c>
      <c r="X48">
        <v>901.03124252200303</v>
      </c>
      <c r="Y48">
        <v>325.76307200000002</v>
      </c>
      <c r="AC48" t="s">
        <v>1064</v>
      </c>
      <c r="AD48" t="s">
        <v>793</v>
      </c>
      <c r="AE48">
        <v>342.52406618499998</v>
      </c>
      <c r="AF48">
        <v>342.77312136298798</v>
      </c>
      <c r="AG48">
        <v>16000</v>
      </c>
      <c r="AN48" t="s">
        <v>1064</v>
      </c>
      <c r="AO48" t="s">
        <v>792</v>
      </c>
      <c r="AP48">
        <v>900.71906323899998</v>
      </c>
      <c r="AQ48">
        <v>901.04418211098505</v>
      </c>
      <c r="AR48">
        <v>98.705408000000006</v>
      </c>
      <c r="AX48" t="s">
        <v>1064</v>
      </c>
      <c r="AY48" t="s">
        <v>792</v>
      </c>
      <c r="AZ48">
        <v>900.76394856399997</v>
      </c>
      <c r="BA48">
        <v>901.06517610201195</v>
      </c>
      <c r="BB48">
        <v>325.75897600000002</v>
      </c>
      <c r="BQ48" t="s">
        <v>792</v>
      </c>
      <c r="BR48">
        <v>900.57417893599995</v>
      </c>
      <c r="BS48">
        <v>901.01272398803803</v>
      </c>
      <c r="BT48">
        <v>98.508799999999994</v>
      </c>
      <c r="CA48" t="s">
        <v>792</v>
      </c>
      <c r="CB48">
        <v>900.25154576900002</v>
      </c>
      <c r="CC48">
        <v>901.09869858494403</v>
      </c>
      <c r="CD48">
        <v>100.52403200000001</v>
      </c>
      <c r="CJ48" t="s">
        <v>792</v>
      </c>
      <c r="CK48">
        <v>900.65027364000002</v>
      </c>
      <c r="CL48">
        <v>901.014281075913</v>
      </c>
      <c r="CM48">
        <v>98.578432000000006</v>
      </c>
      <c r="CT48" t="s">
        <v>792</v>
      </c>
      <c r="CU48">
        <v>900.63381321199995</v>
      </c>
      <c r="CV48">
        <v>901.01313377695601</v>
      </c>
      <c r="CW48">
        <v>98.480127999999993</v>
      </c>
    </row>
    <row r="49" spans="1:101" x14ac:dyDescent="0.2">
      <c r="A49" t="s">
        <v>806</v>
      </c>
      <c r="B49">
        <v>600</v>
      </c>
      <c r="C49">
        <v>5</v>
      </c>
      <c r="D49" t="str">
        <f t="shared" si="1"/>
        <v>ccf2-600-05</v>
      </c>
      <c r="F49" t="s">
        <v>793</v>
      </c>
      <c r="G49">
        <v>471.75290248900001</v>
      </c>
      <c r="H49">
        <v>472.134052968991</v>
      </c>
      <c r="I49">
        <v>16000</v>
      </c>
      <c r="N49" t="s">
        <v>792</v>
      </c>
      <c r="O49">
        <v>900.67406614799995</v>
      </c>
      <c r="P49">
        <v>901.265460677997</v>
      </c>
      <c r="Q49">
        <v>3908.4851199999998</v>
      </c>
      <c r="V49" t="s">
        <v>792</v>
      </c>
      <c r="W49">
        <v>901.26185642899998</v>
      </c>
      <c r="X49">
        <v>901.779375270998</v>
      </c>
      <c r="Y49">
        <v>14566.961152</v>
      </c>
      <c r="AC49" t="s">
        <v>1065</v>
      </c>
      <c r="AD49" t="s">
        <v>793</v>
      </c>
      <c r="AE49">
        <v>471.00320042599998</v>
      </c>
      <c r="AF49">
        <v>471.36964018299398</v>
      </c>
      <c r="AG49">
        <v>16000</v>
      </c>
      <c r="AN49" t="s">
        <v>1065</v>
      </c>
      <c r="AO49" t="s">
        <v>792</v>
      </c>
      <c r="AP49">
        <v>900.64149188199997</v>
      </c>
      <c r="AQ49">
        <v>901.29056054499199</v>
      </c>
      <c r="AR49">
        <v>3908.5137920000002</v>
      </c>
      <c r="AX49" t="s">
        <v>1065</v>
      </c>
      <c r="AY49" t="s">
        <v>792</v>
      </c>
      <c r="AZ49">
        <v>901.31878277099997</v>
      </c>
      <c r="BA49">
        <v>901.84935436700403</v>
      </c>
      <c r="BB49">
        <v>14566.998016</v>
      </c>
      <c r="BQ49" t="s">
        <v>792</v>
      </c>
      <c r="BR49">
        <v>900.62252966599999</v>
      </c>
      <c r="BS49">
        <v>901.19456766400197</v>
      </c>
      <c r="BT49">
        <v>3908.4810240000002</v>
      </c>
      <c r="CA49" t="s">
        <v>792</v>
      </c>
      <c r="CB49">
        <v>900.76586996200001</v>
      </c>
      <c r="CC49">
        <v>901.25359291303903</v>
      </c>
      <c r="CD49">
        <v>3908.4728319999999</v>
      </c>
      <c r="CJ49" t="s">
        <v>792</v>
      </c>
      <c r="CK49">
        <v>900.9031817</v>
      </c>
      <c r="CL49">
        <v>901.27371547894995</v>
      </c>
      <c r="CM49">
        <v>3909.185536</v>
      </c>
      <c r="CT49" t="s">
        <v>792</v>
      </c>
      <c r="CU49">
        <v>900.90953689800006</v>
      </c>
      <c r="CV49">
        <v>901.28260686004</v>
      </c>
      <c r="CW49">
        <v>3908.521984</v>
      </c>
    </row>
    <row r="50" spans="1:101" x14ac:dyDescent="0.2">
      <c r="A50" t="s">
        <v>807</v>
      </c>
      <c r="B50">
        <v>600</v>
      </c>
      <c r="C50">
        <v>5</v>
      </c>
      <c r="D50" t="str">
        <f t="shared" si="1"/>
        <v>ccf3-600-05</v>
      </c>
      <c r="F50" t="s">
        <v>793</v>
      </c>
      <c r="G50">
        <v>244.44102533500001</v>
      </c>
      <c r="H50">
        <v>244.68460216399399</v>
      </c>
      <c r="I50">
        <v>16000</v>
      </c>
      <c r="N50" t="s">
        <v>792</v>
      </c>
      <c r="O50">
        <v>900.86456307000003</v>
      </c>
      <c r="P50">
        <v>901.47112652298495</v>
      </c>
      <c r="Q50">
        <v>8457.7648640000007</v>
      </c>
      <c r="V50" t="s">
        <v>793</v>
      </c>
      <c r="W50">
        <v>246.23581410400001</v>
      </c>
      <c r="X50">
        <v>246.417758128998</v>
      </c>
      <c r="Y50">
        <v>16000</v>
      </c>
      <c r="AC50" t="s">
        <v>1066</v>
      </c>
      <c r="AD50" t="s">
        <v>793</v>
      </c>
      <c r="AE50">
        <v>243.255597913</v>
      </c>
      <c r="AF50">
        <v>243.46014463601699</v>
      </c>
      <c r="AG50">
        <v>16000</v>
      </c>
      <c r="AN50" t="s">
        <v>1066</v>
      </c>
      <c r="AO50" t="s">
        <v>792</v>
      </c>
      <c r="AP50">
        <v>900.88669275500001</v>
      </c>
      <c r="AQ50">
        <v>901.49191120098101</v>
      </c>
      <c r="AR50">
        <v>8457.6993280000006</v>
      </c>
      <c r="AX50" t="s">
        <v>1066</v>
      </c>
      <c r="AY50" t="s">
        <v>793</v>
      </c>
      <c r="AZ50">
        <v>254.812579943</v>
      </c>
      <c r="BA50">
        <v>255.022434985003</v>
      </c>
      <c r="BB50">
        <v>16000</v>
      </c>
      <c r="BQ50" t="s">
        <v>792</v>
      </c>
      <c r="BR50">
        <v>900.83016006000003</v>
      </c>
      <c r="BS50">
        <v>901.53767028398499</v>
      </c>
      <c r="BT50">
        <v>8457.8344959999995</v>
      </c>
      <c r="CA50" t="s">
        <v>792</v>
      </c>
      <c r="CB50">
        <v>901.01940048999995</v>
      </c>
      <c r="CC50">
        <v>901.53376750298696</v>
      </c>
      <c r="CD50">
        <v>8457.7812479999993</v>
      </c>
      <c r="CJ50" t="s">
        <v>792</v>
      </c>
      <c r="CK50">
        <v>900.85483891299998</v>
      </c>
      <c r="CL50">
        <v>901.48276699904795</v>
      </c>
      <c r="CM50">
        <v>8457.6419839999999</v>
      </c>
      <c r="CT50" t="s">
        <v>792</v>
      </c>
      <c r="CU50">
        <v>900.85586950200002</v>
      </c>
      <c r="CV50">
        <v>901.49057003599501</v>
      </c>
      <c r="CW50">
        <v>8457.6706560000002</v>
      </c>
    </row>
    <row r="51" spans="1:101" x14ac:dyDescent="0.2">
      <c r="A51" t="s">
        <v>808</v>
      </c>
      <c r="B51">
        <v>600</v>
      </c>
      <c r="C51">
        <v>5</v>
      </c>
      <c r="D51" t="str">
        <f t="shared" si="1"/>
        <v>ccf4-600-05</v>
      </c>
      <c r="F51" t="s">
        <v>793</v>
      </c>
      <c r="G51">
        <v>254.86735658000001</v>
      </c>
      <c r="H51">
        <v>255.085218548993</v>
      </c>
      <c r="I51">
        <v>16000</v>
      </c>
      <c r="N51" t="s">
        <v>792</v>
      </c>
      <c r="O51">
        <v>901.31955175600001</v>
      </c>
      <c r="P51">
        <v>901.90515595799604</v>
      </c>
      <c r="Q51">
        <v>15177.928704</v>
      </c>
      <c r="V51" t="s">
        <v>793</v>
      </c>
      <c r="W51">
        <v>261.27323513200002</v>
      </c>
      <c r="X51">
        <v>261.494620609999</v>
      </c>
      <c r="Y51">
        <v>16000</v>
      </c>
      <c r="AC51" t="s">
        <v>1067</v>
      </c>
      <c r="AD51" t="s">
        <v>793</v>
      </c>
      <c r="AE51">
        <v>251.46731956799999</v>
      </c>
      <c r="AF51">
        <v>251.68835651100301</v>
      </c>
      <c r="AG51">
        <v>16000</v>
      </c>
      <c r="AN51" t="s">
        <v>1067</v>
      </c>
      <c r="AO51" t="s">
        <v>792</v>
      </c>
      <c r="AP51">
        <v>901.34783365800001</v>
      </c>
      <c r="AQ51">
        <v>901.95675658999198</v>
      </c>
      <c r="AR51">
        <v>15177.928704</v>
      </c>
      <c r="AX51" t="s">
        <v>1067</v>
      </c>
      <c r="AY51" t="s">
        <v>793</v>
      </c>
      <c r="AZ51">
        <v>262.10746786800001</v>
      </c>
      <c r="BA51">
        <v>262.40385970598402</v>
      </c>
      <c r="BB51">
        <v>16000</v>
      </c>
      <c r="BQ51" t="s">
        <v>792</v>
      </c>
      <c r="BR51">
        <v>901.89637538800002</v>
      </c>
      <c r="BS51">
        <v>903.22816918900901</v>
      </c>
      <c r="BT51">
        <v>15177.822208</v>
      </c>
      <c r="CA51" t="s">
        <v>792</v>
      </c>
      <c r="CB51">
        <v>901.23673835499994</v>
      </c>
      <c r="CC51">
        <v>901.84028182795703</v>
      </c>
      <c r="CD51">
        <v>15177.936895999999</v>
      </c>
      <c r="CJ51" t="s">
        <v>792</v>
      </c>
      <c r="CK51">
        <v>901.28504771300004</v>
      </c>
      <c r="CL51">
        <v>901.82136607600796</v>
      </c>
      <c r="CM51">
        <v>15177.830400000001</v>
      </c>
      <c r="CT51" t="s">
        <v>792</v>
      </c>
      <c r="CU51">
        <v>901.24548823700002</v>
      </c>
      <c r="CV51">
        <v>901.83209393895197</v>
      </c>
      <c r="CW51">
        <v>15177.920512000001</v>
      </c>
    </row>
    <row r="52" spans="1:101" x14ac:dyDescent="0.2">
      <c r="A52" t="s">
        <v>809</v>
      </c>
      <c r="B52">
        <v>600</v>
      </c>
      <c r="C52">
        <v>5</v>
      </c>
      <c r="D52" t="str">
        <f t="shared" si="1"/>
        <v>ccf5-600-05</v>
      </c>
      <c r="F52" t="s">
        <v>793</v>
      </c>
      <c r="G52">
        <v>269.98196323899998</v>
      </c>
      <c r="H52">
        <v>270.335356798997</v>
      </c>
      <c r="I52">
        <v>16000</v>
      </c>
      <c r="N52" t="s">
        <v>792</v>
      </c>
      <c r="O52">
        <v>901.05211365499997</v>
      </c>
      <c r="P52">
        <v>901.66284345902295</v>
      </c>
      <c r="Q52">
        <v>10643.5584</v>
      </c>
      <c r="V52" t="s">
        <v>793</v>
      </c>
      <c r="W52">
        <v>290.86738505900001</v>
      </c>
      <c r="X52">
        <v>291.216059253987</v>
      </c>
      <c r="Y52">
        <v>16000</v>
      </c>
      <c r="AC52" t="s">
        <v>1068</v>
      </c>
      <c r="AD52" t="s">
        <v>793</v>
      </c>
      <c r="AE52">
        <v>266.97374978699997</v>
      </c>
      <c r="AF52">
        <v>267.19124452001398</v>
      </c>
      <c r="AG52">
        <v>16000</v>
      </c>
      <c r="AN52" t="s">
        <v>1068</v>
      </c>
      <c r="AO52" t="s">
        <v>792</v>
      </c>
      <c r="AP52">
        <v>900.90840958800004</v>
      </c>
      <c r="AQ52">
        <v>901.70660049799994</v>
      </c>
      <c r="AR52">
        <v>10642.460671999999</v>
      </c>
      <c r="AX52" t="s">
        <v>1068</v>
      </c>
      <c r="AY52" t="s">
        <v>793</v>
      </c>
      <c r="AZ52">
        <v>283.349060114</v>
      </c>
      <c r="BA52">
        <v>283.696719044004</v>
      </c>
      <c r="BB52">
        <v>16000</v>
      </c>
      <c r="BQ52" t="s">
        <v>792</v>
      </c>
      <c r="BR52">
        <v>901.09176643399996</v>
      </c>
      <c r="BS52">
        <v>901.65521671599697</v>
      </c>
      <c r="BT52">
        <v>10642.407424000001</v>
      </c>
      <c r="CA52" t="s">
        <v>792</v>
      </c>
      <c r="CB52">
        <v>901.21423724399995</v>
      </c>
      <c r="CC52">
        <v>901.78630858892495</v>
      </c>
      <c r="CD52">
        <v>15441.268736</v>
      </c>
      <c r="CJ52" t="s">
        <v>792</v>
      </c>
      <c r="CK52">
        <v>901.11420491299998</v>
      </c>
      <c r="CL52">
        <v>901.858005149988</v>
      </c>
      <c r="CM52">
        <v>15441.260544000001</v>
      </c>
      <c r="CT52" t="s">
        <v>792</v>
      </c>
      <c r="CU52">
        <v>900.92385090000005</v>
      </c>
      <c r="CV52">
        <v>901.63986944302405</v>
      </c>
      <c r="CW52">
        <v>10642.448383999999</v>
      </c>
    </row>
    <row r="53" spans="1:101" x14ac:dyDescent="0.2">
      <c r="A53" t="s">
        <v>810</v>
      </c>
      <c r="B53">
        <v>600</v>
      </c>
      <c r="C53">
        <v>5</v>
      </c>
      <c r="D53" t="str">
        <f t="shared" si="1"/>
        <v>ccf6-600-05</v>
      </c>
      <c r="F53" t="s">
        <v>793</v>
      </c>
      <c r="G53">
        <v>264.87790166500002</v>
      </c>
      <c r="H53">
        <v>265.155534673001</v>
      </c>
      <c r="I53">
        <v>16000</v>
      </c>
      <c r="N53" t="s">
        <v>792</v>
      </c>
      <c r="O53">
        <v>901.07736841999997</v>
      </c>
      <c r="P53">
        <v>901.82455181199396</v>
      </c>
      <c r="Q53">
        <v>15242.727424000001</v>
      </c>
      <c r="V53" t="s">
        <v>793</v>
      </c>
      <c r="W53">
        <v>359.249365834</v>
      </c>
      <c r="X53">
        <v>359.54510928399299</v>
      </c>
      <c r="Y53">
        <v>16000</v>
      </c>
      <c r="AC53" t="s">
        <v>1069</v>
      </c>
      <c r="AD53" t="s">
        <v>793</v>
      </c>
      <c r="AE53">
        <v>266.99391716299999</v>
      </c>
      <c r="AF53">
        <v>267.278784765978</v>
      </c>
      <c r="AG53">
        <v>16000</v>
      </c>
      <c r="AN53" t="s">
        <v>1069</v>
      </c>
      <c r="AO53" t="s">
        <v>792</v>
      </c>
      <c r="AP53">
        <v>901.01250177099996</v>
      </c>
      <c r="AQ53">
        <v>901.84932236099803</v>
      </c>
      <c r="AR53">
        <v>15242.67008</v>
      </c>
      <c r="AX53" t="s">
        <v>1069</v>
      </c>
      <c r="AY53" t="s">
        <v>793</v>
      </c>
      <c r="AZ53">
        <v>363.61319399600001</v>
      </c>
      <c r="BA53">
        <v>363.93148240799201</v>
      </c>
      <c r="BB53">
        <v>16000</v>
      </c>
      <c r="BQ53" t="s">
        <v>792</v>
      </c>
      <c r="BR53">
        <v>901.21359783699995</v>
      </c>
      <c r="BS53">
        <v>901.94615954899905</v>
      </c>
      <c r="BT53">
        <v>15242.665983999999</v>
      </c>
      <c r="CA53" t="s">
        <v>792</v>
      </c>
      <c r="CB53">
        <v>901.12246866600003</v>
      </c>
      <c r="CC53">
        <v>901.82599841302704</v>
      </c>
      <c r="CD53">
        <v>15242.625024000001</v>
      </c>
      <c r="CJ53" t="s">
        <v>792</v>
      </c>
      <c r="CK53">
        <v>901.17152699099995</v>
      </c>
      <c r="CL53">
        <v>901.78289828507695</v>
      </c>
      <c r="CM53">
        <v>15251.08736</v>
      </c>
      <c r="CT53" t="s">
        <v>793</v>
      </c>
      <c r="CU53">
        <v>784.96588812000005</v>
      </c>
      <c r="CV53">
        <v>785.588279493968</v>
      </c>
      <c r="CW53">
        <v>16000</v>
      </c>
    </row>
    <row r="54" spans="1:101" x14ac:dyDescent="0.2">
      <c r="A54" t="s">
        <v>811</v>
      </c>
      <c r="B54">
        <v>600</v>
      </c>
      <c r="C54">
        <v>5</v>
      </c>
      <c r="D54" t="str">
        <f t="shared" si="1"/>
        <v>ccf7-600-05</v>
      </c>
      <c r="F54" t="s">
        <v>793</v>
      </c>
      <c r="G54">
        <v>341.041134559</v>
      </c>
      <c r="H54">
        <v>341.31440123599799</v>
      </c>
      <c r="I54">
        <v>16000</v>
      </c>
      <c r="N54" t="s">
        <v>792</v>
      </c>
      <c r="O54">
        <v>901.12751687499997</v>
      </c>
      <c r="P54">
        <v>901.81965184199998</v>
      </c>
      <c r="Q54">
        <v>15245.971455999999</v>
      </c>
      <c r="V54" t="s">
        <v>793</v>
      </c>
      <c r="W54">
        <v>461.74898856999999</v>
      </c>
      <c r="X54">
        <v>462.08867462100102</v>
      </c>
      <c r="Y54">
        <v>16000</v>
      </c>
      <c r="AC54" t="s">
        <v>1070</v>
      </c>
      <c r="AD54" t="s">
        <v>793</v>
      </c>
      <c r="AE54">
        <v>356.90721315899998</v>
      </c>
      <c r="AF54">
        <v>357.26115751897999</v>
      </c>
      <c r="AG54">
        <v>16000</v>
      </c>
      <c r="AN54" t="s">
        <v>1070</v>
      </c>
      <c r="AO54" t="s">
        <v>793</v>
      </c>
      <c r="AP54">
        <v>862.44701335599996</v>
      </c>
      <c r="AQ54">
        <v>863.03494273399701</v>
      </c>
      <c r="AR54">
        <v>16000</v>
      </c>
      <c r="AX54" t="s">
        <v>1070</v>
      </c>
      <c r="AY54" t="s">
        <v>793</v>
      </c>
      <c r="AZ54">
        <v>472.68406186700003</v>
      </c>
      <c r="BA54">
        <v>473.19433368797701</v>
      </c>
      <c r="BB54">
        <v>16000</v>
      </c>
      <c r="BQ54" t="s">
        <v>793</v>
      </c>
      <c r="BR54">
        <v>854.54017700600002</v>
      </c>
      <c r="BS54">
        <v>855.09753834403796</v>
      </c>
      <c r="BT54">
        <v>16000</v>
      </c>
      <c r="CA54" t="s">
        <v>793</v>
      </c>
      <c r="CB54">
        <v>852.47620079399996</v>
      </c>
      <c r="CC54">
        <v>852.98920596099902</v>
      </c>
      <c r="CD54">
        <v>16000</v>
      </c>
      <c r="CJ54" t="s">
        <v>792</v>
      </c>
      <c r="CK54">
        <v>901.12583909399996</v>
      </c>
      <c r="CL54">
        <v>901.73078724299501</v>
      </c>
      <c r="CM54">
        <v>15249.895424</v>
      </c>
      <c r="CT54" t="s">
        <v>792</v>
      </c>
      <c r="CU54">
        <v>900.99202036600002</v>
      </c>
      <c r="CV54">
        <v>901.76088019495296</v>
      </c>
      <c r="CW54">
        <v>15245.955072000001</v>
      </c>
    </row>
    <row r="55" spans="1:101" x14ac:dyDescent="0.2">
      <c r="A55" t="s">
        <v>812</v>
      </c>
      <c r="B55">
        <v>600</v>
      </c>
      <c r="C55">
        <v>5</v>
      </c>
      <c r="D55" t="str">
        <f t="shared" si="1"/>
        <v>ccf8-600-05</v>
      </c>
      <c r="F55" t="s">
        <v>793</v>
      </c>
      <c r="G55">
        <v>272.37523937100002</v>
      </c>
      <c r="H55">
        <v>272.59723917100899</v>
      </c>
      <c r="I55">
        <v>16000</v>
      </c>
      <c r="N55" t="s">
        <v>792</v>
      </c>
      <c r="O55">
        <v>901.07395987999996</v>
      </c>
      <c r="P55">
        <v>901.84002518700402</v>
      </c>
      <c r="Q55">
        <v>15205.318655999999</v>
      </c>
      <c r="V55" t="s">
        <v>793</v>
      </c>
      <c r="W55">
        <v>341.87325800500003</v>
      </c>
      <c r="X55">
        <v>342.13928727500002</v>
      </c>
      <c r="Y55">
        <v>16000</v>
      </c>
      <c r="AC55" t="s">
        <v>1071</v>
      </c>
      <c r="AD55" t="s">
        <v>793</v>
      </c>
      <c r="AE55">
        <v>261.43500637699998</v>
      </c>
      <c r="AF55">
        <v>261.67087983700901</v>
      </c>
      <c r="AG55">
        <v>16000</v>
      </c>
      <c r="AN55" t="s">
        <v>1071</v>
      </c>
      <c r="AO55" t="s">
        <v>792</v>
      </c>
      <c r="AP55">
        <v>901.217523594</v>
      </c>
      <c r="AQ55">
        <v>901.994254129007</v>
      </c>
      <c r="AR55">
        <v>15205.388288</v>
      </c>
      <c r="AX55" t="s">
        <v>1071</v>
      </c>
      <c r="AY55" t="s">
        <v>793</v>
      </c>
      <c r="AZ55">
        <v>338.11076025300002</v>
      </c>
      <c r="BA55">
        <v>338.40821349600401</v>
      </c>
      <c r="BB55">
        <v>16000</v>
      </c>
      <c r="BQ55" t="s">
        <v>792</v>
      </c>
      <c r="BR55">
        <v>901.02290516999994</v>
      </c>
      <c r="BS55">
        <v>901.87992969201798</v>
      </c>
      <c r="BT55">
        <v>15205.793792</v>
      </c>
      <c r="CA55" t="s">
        <v>792</v>
      </c>
      <c r="CB55">
        <v>901.15341289000003</v>
      </c>
      <c r="CC55">
        <v>901.80188751406899</v>
      </c>
      <c r="CD55">
        <v>15207.010303999999</v>
      </c>
      <c r="CJ55" t="s">
        <v>792</v>
      </c>
      <c r="CK55">
        <v>901.25338776700005</v>
      </c>
      <c r="CL55">
        <v>901.85092323296703</v>
      </c>
      <c r="CM55">
        <v>15208.194047999999</v>
      </c>
      <c r="CT55" t="s">
        <v>792</v>
      </c>
      <c r="CU55">
        <v>901.41134280699998</v>
      </c>
      <c r="CV55">
        <v>901.949869918986</v>
      </c>
      <c r="CW55">
        <v>15208.751104000001</v>
      </c>
    </row>
    <row r="56" spans="1:101" x14ac:dyDescent="0.2">
      <c r="A56" t="s">
        <v>813</v>
      </c>
      <c r="B56">
        <v>600</v>
      </c>
      <c r="C56">
        <v>5</v>
      </c>
      <c r="D56" t="str">
        <f t="shared" si="1"/>
        <v>ccf9-600-05</v>
      </c>
      <c r="F56" t="s">
        <v>793</v>
      </c>
      <c r="G56">
        <v>279.38717031099998</v>
      </c>
      <c r="H56">
        <v>279.62299512299001</v>
      </c>
      <c r="I56">
        <v>16000</v>
      </c>
      <c r="N56" t="s">
        <v>793</v>
      </c>
      <c r="O56">
        <v>713.79347071699999</v>
      </c>
      <c r="P56">
        <v>714.35039810498699</v>
      </c>
      <c r="Q56">
        <v>16000</v>
      </c>
      <c r="V56" t="s">
        <v>793</v>
      </c>
      <c r="W56">
        <v>258.733714335</v>
      </c>
      <c r="X56">
        <v>258.91664565600502</v>
      </c>
      <c r="Y56">
        <v>16000</v>
      </c>
      <c r="AC56" t="s">
        <v>1072</v>
      </c>
      <c r="AD56" t="s">
        <v>793</v>
      </c>
      <c r="AE56">
        <v>287.66383600900002</v>
      </c>
      <c r="AF56">
        <v>287.93602379498702</v>
      </c>
      <c r="AG56">
        <v>16000</v>
      </c>
      <c r="AN56" t="s">
        <v>1072</v>
      </c>
      <c r="AO56" t="s">
        <v>793</v>
      </c>
      <c r="AP56">
        <v>725.231264528</v>
      </c>
      <c r="AQ56">
        <v>725.915961626014</v>
      </c>
      <c r="AR56">
        <v>16000</v>
      </c>
      <c r="AX56" t="s">
        <v>1072</v>
      </c>
      <c r="AY56" t="s">
        <v>793</v>
      </c>
      <c r="AZ56">
        <v>258.91102145600001</v>
      </c>
      <c r="BA56">
        <v>259.13310333300598</v>
      </c>
      <c r="BB56">
        <v>16000</v>
      </c>
      <c r="BQ56" t="s">
        <v>793</v>
      </c>
      <c r="BR56">
        <v>723.28532811800005</v>
      </c>
      <c r="BS56">
        <v>723.87264507997304</v>
      </c>
      <c r="BT56">
        <v>16000</v>
      </c>
      <c r="CA56" t="s">
        <v>793</v>
      </c>
      <c r="CB56">
        <v>720.95672753700001</v>
      </c>
      <c r="CC56">
        <v>721.53898187202799</v>
      </c>
      <c r="CD56">
        <v>16000</v>
      </c>
      <c r="CJ56" t="s">
        <v>793</v>
      </c>
      <c r="CK56">
        <v>741.55690213399998</v>
      </c>
      <c r="CL56">
        <v>742.34069810097503</v>
      </c>
      <c r="CM56">
        <v>16000</v>
      </c>
      <c r="CT56" t="s">
        <v>793</v>
      </c>
      <c r="CU56">
        <v>711.13042877600003</v>
      </c>
      <c r="CV56">
        <v>711.70364217692895</v>
      </c>
      <c r="CW56">
        <v>16000</v>
      </c>
    </row>
    <row r="57" spans="1:101" x14ac:dyDescent="0.2">
      <c r="A57" t="s">
        <v>805</v>
      </c>
      <c r="B57">
        <v>700</v>
      </c>
      <c r="C57">
        <v>5</v>
      </c>
      <c r="D57" t="str">
        <f t="shared" si="1"/>
        <v>ccf1-700-05</v>
      </c>
      <c r="F57" t="s">
        <v>793</v>
      </c>
      <c r="G57">
        <v>280.68379194300002</v>
      </c>
      <c r="H57">
        <v>280.93979958198901</v>
      </c>
      <c r="I57">
        <v>16000</v>
      </c>
      <c r="N57" t="s">
        <v>792</v>
      </c>
      <c r="O57">
        <v>901.02364785500004</v>
      </c>
      <c r="P57">
        <v>901.577753588993</v>
      </c>
      <c r="Q57">
        <v>10475.388928</v>
      </c>
      <c r="V57" t="s">
        <v>793</v>
      </c>
      <c r="W57">
        <v>518.66720872200005</v>
      </c>
      <c r="X57">
        <v>519.01295749600104</v>
      </c>
      <c r="Y57">
        <v>16000</v>
      </c>
      <c r="AC57" t="s">
        <v>1073</v>
      </c>
      <c r="AD57" t="s">
        <v>793</v>
      </c>
      <c r="AE57">
        <v>278.68518135599999</v>
      </c>
      <c r="AF57">
        <v>278.96287555101998</v>
      </c>
      <c r="AG57">
        <v>16000</v>
      </c>
      <c r="AN57" t="s">
        <v>1073</v>
      </c>
      <c r="AO57" t="s">
        <v>792</v>
      </c>
      <c r="AP57">
        <v>900.90000783999994</v>
      </c>
      <c r="AQ57">
        <v>901.60706147900703</v>
      </c>
      <c r="AR57">
        <v>10475.364352000001</v>
      </c>
      <c r="AX57" t="s">
        <v>1073</v>
      </c>
      <c r="AY57" t="s">
        <v>793</v>
      </c>
      <c r="AZ57">
        <v>519.07757447200004</v>
      </c>
      <c r="BA57">
        <v>519.46552017299098</v>
      </c>
      <c r="BB57">
        <v>16000</v>
      </c>
      <c r="BQ57" t="s">
        <v>792</v>
      </c>
      <c r="BR57">
        <v>900.95680424499994</v>
      </c>
      <c r="BS57">
        <v>901.56797111598996</v>
      </c>
      <c r="BT57">
        <v>10475.274240000001</v>
      </c>
      <c r="CA57" t="s">
        <v>792</v>
      </c>
      <c r="CB57">
        <v>900.57383063299994</v>
      </c>
      <c r="CC57">
        <v>901.63752942404199</v>
      </c>
      <c r="CD57">
        <v>10475.687936</v>
      </c>
      <c r="CJ57" t="s">
        <v>792</v>
      </c>
      <c r="CK57">
        <v>900.95003116800001</v>
      </c>
      <c r="CL57">
        <v>901.55081118294004</v>
      </c>
      <c r="CM57">
        <v>10475.442176</v>
      </c>
      <c r="CT57" t="s">
        <v>792</v>
      </c>
      <c r="CU57">
        <v>901.03256325899997</v>
      </c>
      <c r="CV57">
        <v>901.55489130003798</v>
      </c>
      <c r="CW57">
        <v>10475.298816</v>
      </c>
    </row>
    <row r="58" spans="1:101" x14ac:dyDescent="0.2">
      <c r="A58" t="s">
        <v>806</v>
      </c>
      <c r="B58">
        <v>700</v>
      </c>
      <c r="C58">
        <v>5</v>
      </c>
      <c r="D58" t="str">
        <f t="shared" si="1"/>
        <v>ccf2-700-05</v>
      </c>
      <c r="F58" t="s">
        <v>793</v>
      </c>
      <c r="G58">
        <v>272.01816524499998</v>
      </c>
      <c r="H58">
        <v>272.21512058499502</v>
      </c>
      <c r="I58">
        <v>16000</v>
      </c>
      <c r="N58" t="s">
        <v>792</v>
      </c>
      <c r="O58">
        <v>900.93365040900005</v>
      </c>
      <c r="P58">
        <v>901.56141158900505</v>
      </c>
      <c r="Q58">
        <v>8886.1655040000005</v>
      </c>
      <c r="V58" t="s">
        <v>793</v>
      </c>
      <c r="W58">
        <v>462.76878960699997</v>
      </c>
      <c r="X58">
        <v>463.10757977500901</v>
      </c>
      <c r="Y58">
        <v>16000</v>
      </c>
      <c r="AC58" t="s">
        <v>1074</v>
      </c>
      <c r="AD58" t="s">
        <v>793</v>
      </c>
      <c r="AE58">
        <v>270.873135838</v>
      </c>
      <c r="AF58">
        <v>271.09631861199102</v>
      </c>
      <c r="AG58">
        <v>16000</v>
      </c>
      <c r="AN58" t="s">
        <v>1074</v>
      </c>
      <c r="AO58" t="s">
        <v>792</v>
      </c>
      <c r="AP58">
        <v>900.94933401499998</v>
      </c>
      <c r="AQ58">
        <v>901.58150161799801</v>
      </c>
      <c r="AR58">
        <v>8886.2023680000002</v>
      </c>
      <c r="AX58" t="s">
        <v>1074</v>
      </c>
      <c r="AY58" t="s">
        <v>793</v>
      </c>
      <c r="AZ58">
        <v>464.69782447699998</v>
      </c>
      <c r="BA58">
        <v>465.05055358598401</v>
      </c>
      <c r="BB58">
        <v>16000</v>
      </c>
      <c r="BQ58" t="s">
        <v>792</v>
      </c>
      <c r="BR58">
        <v>901.13871569100002</v>
      </c>
      <c r="BS58">
        <v>901.58288535801603</v>
      </c>
      <c r="BT58">
        <v>8886.2597119999991</v>
      </c>
      <c r="CA58" t="s">
        <v>792</v>
      </c>
      <c r="CB58">
        <v>901.13902236199999</v>
      </c>
      <c r="CC58">
        <v>901.56187526998099</v>
      </c>
      <c r="CD58">
        <v>8886.2228479999994</v>
      </c>
      <c r="CJ58" t="s">
        <v>792</v>
      </c>
      <c r="CK58">
        <v>900.75169607700002</v>
      </c>
      <c r="CL58">
        <v>901.51424065302103</v>
      </c>
      <c r="CM58">
        <v>8886.2105599999995</v>
      </c>
      <c r="CT58" t="s">
        <v>792</v>
      </c>
      <c r="CU58">
        <v>901.04978012699996</v>
      </c>
      <c r="CV58">
        <v>901.525866030016</v>
      </c>
      <c r="CW58">
        <v>8886.2556160000004</v>
      </c>
    </row>
    <row r="59" spans="1:101" x14ac:dyDescent="0.2">
      <c r="A59" t="s">
        <v>807</v>
      </c>
      <c r="B59">
        <v>700</v>
      </c>
      <c r="C59">
        <v>5</v>
      </c>
      <c r="D59" t="str">
        <f t="shared" si="1"/>
        <v>ccf3-700-05</v>
      </c>
      <c r="F59" t="s">
        <v>793</v>
      </c>
      <c r="G59">
        <v>287.37666115899998</v>
      </c>
      <c r="H59">
        <v>287.72624875900499</v>
      </c>
      <c r="I59">
        <v>16000</v>
      </c>
      <c r="N59" t="s">
        <v>792</v>
      </c>
      <c r="O59">
        <v>901.23208903600005</v>
      </c>
      <c r="P59">
        <v>901.86617938298104</v>
      </c>
      <c r="Q59">
        <v>15393.222656</v>
      </c>
      <c r="V59" t="s">
        <v>793</v>
      </c>
      <c r="W59">
        <v>219.94366433600001</v>
      </c>
      <c r="X59">
        <v>220.10696326899</v>
      </c>
      <c r="Y59">
        <v>16000</v>
      </c>
      <c r="AC59" t="s">
        <v>1075</v>
      </c>
      <c r="AD59" t="s">
        <v>793</v>
      </c>
      <c r="AE59">
        <v>287.843376154</v>
      </c>
      <c r="AF59">
        <v>288.087498275999</v>
      </c>
      <c r="AG59">
        <v>16000</v>
      </c>
      <c r="AN59" t="s">
        <v>1075</v>
      </c>
      <c r="AO59" t="s">
        <v>792</v>
      </c>
      <c r="AP59">
        <v>901.29002294099996</v>
      </c>
      <c r="AQ59">
        <v>901.92184547500801</v>
      </c>
      <c r="AR59">
        <v>15393.263616</v>
      </c>
      <c r="AX59" t="s">
        <v>1075</v>
      </c>
      <c r="AY59" t="s">
        <v>793</v>
      </c>
      <c r="AZ59">
        <v>212.691106636</v>
      </c>
      <c r="BA59">
        <v>212.88343041500701</v>
      </c>
      <c r="BB59">
        <v>16000</v>
      </c>
      <c r="BQ59" t="s">
        <v>792</v>
      </c>
      <c r="BR59">
        <v>901.80194135199997</v>
      </c>
      <c r="BS59">
        <v>902.93060708302005</v>
      </c>
      <c r="BT59">
        <v>15393.431552</v>
      </c>
      <c r="CA59" t="s">
        <v>792</v>
      </c>
      <c r="CB59">
        <v>901.18611522699996</v>
      </c>
      <c r="CC59">
        <v>901.76775802997804</v>
      </c>
      <c r="CD59">
        <v>15393.284095999999</v>
      </c>
      <c r="CJ59" t="s">
        <v>792</v>
      </c>
      <c r="CK59">
        <v>901.19670527300002</v>
      </c>
      <c r="CL59">
        <v>901.78482053300797</v>
      </c>
      <c r="CM59">
        <v>15393.148928000001</v>
      </c>
      <c r="CT59" t="s">
        <v>792</v>
      </c>
      <c r="CU59">
        <v>900.90396818199997</v>
      </c>
      <c r="CV59">
        <v>901.79555378504995</v>
      </c>
      <c r="CW59">
        <v>15393.28</v>
      </c>
    </row>
    <row r="60" spans="1:101" x14ac:dyDescent="0.2">
      <c r="A60" t="s">
        <v>808</v>
      </c>
      <c r="B60">
        <v>700</v>
      </c>
      <c r="C60">
        <v>5</v>
      </c>
      <c r="D60" t="str">
        <f t="shared" si="1"/>
        <v>ccf4-700-05</v>
      </c>
      <c r="F60" t="s">
        <v>793</v>
      </c>
      <c r="G60">
        <v>335.787744471</v>
      </c>
      <c r="H60">
        <v>336.09237618899999</v>
      </c>
      <c r="I60">
        <v>16000</v>
      </c>
      <c r="N60" t="s">
        <v>792</v>
      </c>
      <c r="O60">
        <v>901.16762869399997</v>
      </c>
      <c r="P60">
        <v>901.88365803702595</v>
      </c>
      <c r="Q60">
        <v>14962.630655999999</v>
      </c>
      <c r="V60" t="s">
        <v>793</v>
      </c>
      <c r="W60">
        <v>215.74019720199999</v>
      </c>
      <c r="X60">
        <v>215.876565925005</v>
      </c>
      <c r="Y60">
        <v>16000</v>
      </c>
      <c r="AC60" t="s">
        <v>1076</v>
      </c>
      <c r="AD60" t="s">
        <v>793</v>
      </c>
      <c r="AE60">
        <v>333.97865297499999</v>
      </c>
      <c r="AF60">
        <v>334.39048506299099</v>
      </c>
      <c r="AG60">
        <v>16000</v>
      </c>
      <c r="AN60" t="s">
        <v>1076</v>
      </c>
      <c r="AO60" t="s">
        <v>792</v>
      </c>
      <c r="AP60">
        <v>901.23950296199996</v>
      </c>
      <c r="AQ60">
        <v>901.89631155799702</v>
      </c>
      <c r="AR60">
        <v>14962.64704</v>
      </c>
      <c r="AX60" t="s">
        <v>1076</v>
      </c>
      <c r="AY60" t="s">
        <v>793</v>
      </c>
      <c r="AZ60">
        <v>214.80258224900001</v>
      </c>
      <c r="BA60">
        <v>214.954226072994</v>
      </c>
      <c r="BB60">
        <v>16000</v>
      </c>
      <c r="BQ60" t="s">
        <v>792</v>
      </c>
      <c r="BR60">
        <v>901.52665470199997</v>
      </c>
      <c r="BS60">
        <v>902.62009510997405</v>
      </c>
      <c r="BT60">
        <v>9762.4637440000006</v>
      </c>
      <c r="CA60" t="s">
        <v>792</v>
      </c>
      <c r="CB60">
        <v>900.83149075300003</v>
      </c>
      <c r="CC60">
        <v>901.54625936294894</v>
      </c>
      <c r="CD60">
        <v>9921.7367040000008</v>
      </c>
      <c r="CJ60" t="s">
        <v>792</v>
      </c>
      <c r="CK60">
        <v>900.99691373400003</v>
      </c>
      <c r="CL60">
        <v>901.63954009197096</v>
      </c>
      <c r="CM60">
        <v>10554.359807999999</v>
      </c>
      <c r="CT60" t="s">
        <v>792</v>
      </c>
      <c r="CU60">
        <v>901.089568805</v>
      </c>
      <c r="CV60">
        <v>901.64669683098305</v>
      </c>
      <c r="CW60">
        <v>10673.655808</v>
      </c>
    </row>
    <row r="61" spans="1:101" x14ac:dyDescent="0.2">
      <c r="A61" t="s">
        <v>809</v>
      </c>
      <c r="B61">
        <v>700</v>
      </c>
      <c r="C61">
        <v>5</v>
      </c>
      <c r="D61" t="str">
        <f t="shared" si="1"/>
        <v>ccf5-700-05</v>
      </c>
      <c r="F61" t="s">
        <v>793</v>
      </c>
      <c r="G61">
        <v>409.90517744700003</v>
      </c>
      <c r="H61">
        <v>410.37017453000499</v>
      </c>
      <c r="I61">
        <v>16000</v>
      </c>
      <c r="N61" t="s">
        <v>792</v>
      </c>
      <c r="O61">
        <v>901.22572478500001</v>
      </c>
      <c r="P61">
        <v>901.85355763899804</v>
      </c>
      <c r="Q61">
        <v>15203.647488000001</v>
      </c>
      <c r="V61" t="s">
        <v>793</v>
      </c>
      <c r="W61">
        <v>220.42422218900001</v>
      </c>
      <c r="X61">
        <v>220.77572687999</v>
      </c>
      <c r="Y61">
        <v>16000</v>
      </c>
      <c r="AC61" t="s">
        <v>1077</v>
      </c>
      <c r="AD61" t="s">
        <v>793</v>
      </c>
      <c r="AE61">
        <v>410.31732945599998</v>
      </c>
      <c r="AF61">
        <v>410.73634005800699</v>
      </c>
      <c r="AG61">
        <v>16000</v>
      </c>
      <c r="AN61" t="s">
        <v>1077</v>
      </c>
      <c r="AO61" t="s">
        <v>792</v>
      </c>
      <c r="AP61">
        <v>901.31750307300001</v>
      </c>
      <c r="AQ61">
        <v>901.86989284597803</v>
      </c>
      <c r="AR61">
        <v>15203.602432</v>
      </c>
      <c r="AX61" t="s">
        <v>1077</v>
      </c>
      <c r="AY61" t="s">
        <v>793</v>
      </c>
      <c r="AZ61">
        <v>219.961516725</v>
      </c>
      <c r="BA61">
        <v>220.15876043299701</v>
      </c>
      <c r="BB61">
        <v>16000</v>
      </c>
      <c r="BQ61" t="s">
        <v>792</v>
      </c>
      <c r="BR61">
        <v>901.23929518099999</v>
      </c>
      <c r="BS61">
        <v>901.91415798698995</v>
      </c>
      <c r="BT61">
        <v>14977.441792</v>
      </c>
      <c r="CA61" t="s">
        <v>792</v>
      </c>
      <c r="CB61">
        <v>901.14403751199995</v>
      </c>
      <c r="CC61">
        <v>901.82656755589403</v>
      </c>
      <c r="CD61">
        <v>15020.707839999999</v>
      </c>
      <c r="CJ61" t="s">
        <v>792</v>
      </c>
      <c r="CK61">
        <v>901.11718214300004</v>
      </c>
      <c r="CL61">
        <v>901.84749630000397</v>
      </c>
      <c r="CM61">
        <v>14973.390847999999</v>
      </c>
      <c r="CT61" t="s">
        <v>792</v>
      </c>
      <c r="CU61">
        <v>901.10618560900002</v>
      </c>
      <c r="CV61">
        <v>901.85174578696001</v>
      </c>
      <c r="CW61">
        <v>14973.120512</v>
      </c>
    </row>
    <row r="62" spans="1:101" x14ac:dyDescent="0.2">
      <c r="A62" t="s">
        <v>810</v>
      </c>
      <c r="B62">
        <v>700</v>
      </c>
      <c r="C62">
        <v>5</v>
      </c>
      <c r="D62" t="str">
        <f t="shared" si="1"/>
        <v>ccf6-700-05</v>
      </c>
      <c r="F62" t="s">
        <v>793</v>
      </c>
      <c r="G62">
        <v>336.102927835</v>
      </c>
      <c r="H62">
        <v>336.42248201199902</v>
      </c>
      <c r="I62">
        <v>16000</v>
      </c>
      <c r="N62" t="s">
        <v>792</v>
      </c>
      <c r="O62">
        <v>901.08466151799996</v>
      </c>
      <c r="P62">
        <v>901.86009732799698</v>
      </c>
      <c r="Q62">
        <v>15032.041472000001</v>
      </c>
      <c r="V62" t="s">
        <v>793</v>
      </c>
      <c r="W62">
        <v>230.18061874399999</v>
      </c>
      <c r="X62">
        <v>230.373862902008</v>
      </c>
      <c r="Y62">
        <v>16000</v>
      </c>
      <c r="AC62" t="s">
        <v>1078</v>
      </c>
      <c r="AD62" t="s">
        <v>793</v>
      </c>
      <c r="AE62">
        <v>336.01508636599999</v>
      </c>
      <c r="AF62">
        <v>336.28817915200398</v>
      </c>
      <c r="AG62">
        <v>16000</v>
      </c>
      <c r="AN62" t="s">
        <v>1078</v>
      </c>
      <c r="AO62" t="s">
        <v>792</v>
      </c>
      <c r="AP62">
        <v>901.05161878800004</v>
      </c>
      <c r="AQ62">
        <v>901.89028498201503</v>
      </c>
      <c r="AR62">
        <v>15032.041472000001</v>
      </c>
      <c r="AX62" t="s">
        <v>1078</v>
      </c>
      <c r="AY62" t="s">
        <v>793</v>
      </c>
      <c r="AZ62">
        <v>233.11989704000001</v>
      </c>
      <c r="BA62">
        <v>233.35775718698201</v>
      </c>
      <c r="BB62">
        <v>16000</v>
      </c>
      <c r="BQ62" t="s">
        <v>792</v>
      </c>
      <c r="BR62">
        <v>901.12621856800001</v>
      </c>
      <c r="BS62">
        <v>901.83858437399601</v>
      </c>
      <c r="BT62">
        <v>15031.476224</v>
      </c>
      <c r="CA62" t="s">
        <v>792</v>
      </c>
      <c r="CB62">
        <v>901.006782262</v>
      </c>
      <c r="CC62">
        <v>901.74548767297495</v>
      </c>
      <c r="CD62">
        <v>15032.057855999999</v>
      </c>
      <c r="CJ62" t="s">
        <v>792</v>
      </c>
      <c r="CK62">
        <v>901.04476307599998</v>
      </c>
      <c r="CL62">
        <v>901.74423205107405</v>
      </c>
      <c r="CM62">
        <v>15032.045568</v>
      </c>
      <c r="CT62" t="s">
        <v>792</v>
      </c>
      <c r="CU62">
        <v>901.02832780999995</v>
      </c>
      <c r="CV62">
        <v>901.74757911497704</v>
      </c>
      <c r="CW62">
        <v>15031.984128</v>
      </c>
    </row>
    <row r="63" spans="1:101" x14ac:dyDescent="0.2">
      <c r="A63" t="s">
        <v>811</v>
      </c>
      <c r="B63">
        <v>700</v>
      </c>
      <c r="C63">
        <v>5</v>
      </c>
      <c r="D63" t="str">
        <f t="shared" si="1"/>
        <v>ccf7-700-05</v>
      </c>
      <c r="F63" t="s">
        <v>793</v>
      </c>
      <c r="G63">
        <v>243.554444375</v>
      </c>
      <c r="H63">
        <v>243.774413828999</v>
      </c>
      <c r="I63">
        <v>16000</v>
      </c>
      <c r="N63" t="s">
        <v>793</v>
      </c>
      <c r="O63">
        <v>695.97268711100003</v>
      </c>
      <c r="P63">
        <v>696.51845066598605</v>
      </c>
      <c r="Q63">
        <v>16000</v>
      </c>
      <c r="V63" t="s">
        <v>793</v>
      </c>
      <c r="W63">
        <v>253.86811613500001</v>
      </c>
      <c r="X63">
        <v>254.083883992003</v>
      </c>
      <c r="Y63">
        <v>16000</v>
      </c>
      <c r="AC63" t="s">
        <v>1079</v>
      </c>
      <c r="AD63" t="s">
        <v>793</v>
      </c>
      <c r="AE63">
        <v>250.43410346100001</v>
      </c>
      <c r="AF63">
        <v>250.702863593003</v>
      </c>
      <c r="AG63">
        <v>16000</v>
      </c>
      <c r="AN63" t="s">
        <v>1079</v>
      </c>
      <c r="AO63" t="s">
        <v>793</v>
      </c>
      <c r="AP63">
        <v>720.23445894099996</v>
      </c>
      <c r="AQ63">
        <v>720.90866094600597</v>
      </c>
      <c r="AR63">
        <v>16000</v>
      </c>
      <c r="AX63" t="s">
        <v>1079</v>
      </c>
      <c r="AY63" t="s">
        <v>793</v>
      </c>
      <c r="AZ63">
        <v>258.47990010400002</v>
      </c>
      <c r="BA63">
        <v>258.71851778199198</v>
      </c>
      <c r="BB63">
        <v>16000</v>
      </c>
      <c r="BQ63" t="s">
        <v>793</v>
      </c>
      <c r="BR63">
        <v>681.05979209600002</v>
      </c>
      <c r="BS63">
        <v>681.50737630896003</v>
      </c>
      <c r="BT63">
        <v>16000</v>
      </c>
      <c r="CA63" t="s">
        <v>793</v>
      </c>
      <c r="CB63">
        <v>678.97646766800005</v>
      </c>
      <c r="CC63">
        <v>679.44654339097895</v>
      </c>
      <c r="CD63">
        <v>16000</v>
      </c>
      <c r="CJ63" t="s">
        <v>793</v>
      </c>
      <c r="CK63">
        <v>697.40312596499996</v>
      </c>
      <c r="CL63">
        <v>697.95206367701701</v>
      </c>
      <c r="CM63">
        <v>16000</v>
      </c>
      <c r="CT63" t="s">
        <v>793</v>
      </c>
      <c r="CU63">
        <v>668.80354915500004</v>
      </c>
      <c r="CV63">
        <v>669.19474926998305</v>
      </c>
      <c r="CW63">
        <v>16000</v>
      </c>
    </row>
    <row r="64" spans="1:101" x14ac:dyDescent="0.2">
      <c r="A64" t="s">
        <v>812</v>
      </c>
      <c r="B64">
        <v>700</v>
      </c>
      <c r="C64">
        <v>5</v>
      </c>
      <c r="D64" t="str">
        <f t="shared" si="1"/>
        <v>ccf8-700-05</v>
      </c>
      <c r="F64" t="s">
        <v>793</v>
      </c>
      <c r="G64">
        <v>256.66628087800001</v>
      </c>
      <c r="H64">
        <v>256.87901874500602</v>
      </c>
      <c r="I64">
        <v>16000</v>
      </c>
      <c r="N64" t="s">
        <v>793</v>
      </c>
      <c r="O64">
        <v>807.81078171000001</v>
      </c>
      <c r="P64">
        <v>808.51947470198502</v>
      </c>
      <c r="Q64">
        <v>16000</v>
      </c>
      <c r="V64" t="s">
        <v>793</v>
      </c>
      <c r="W64">
        <v>263.445437793</v>
      </c>
      <c r="X64">
        <v>263.64428374600499</v>
      </c>
      <c r="Y64">
        <v>16000</v>
      </c>
      <c r="AC64" t="s">
        <v>1080</v>
      </c>
      <c r="AD64" t="s">
        <v>793</v>
      </c>
      <c r="AE64">
        <v>251.79880013499999</v>
      </c>
      <c r="AF64">
        <v>252.008913356985</v>
      </c>
      <c r="AG64">
        <v>16000</v>
      </c>
      <c r="AN64" t="s">
        <v>1080</v>
      </c>
      <c r="AO64" t="s">
        <v>793</v>
      </c>
      <c r="AP64">
        <v>785.90134233100002</v>
      </c>
      <c r="AQ64">
        <v>786.60802599799297</v>
      </c>
      <c r="AR64">
        <v>16000</v>
      </c>
      <c r="AX64" t="s">
        <v>1080</v>
      </c>
      <c r="AY64" t="s">
        <v>793</v>
      </c>
      <c r="AZ64">
        <v>266.15969293299997</v>
      </c>
      <c r="BA64">
        <v>266.48347283500999</v>
      </c>
      <c r="BB64">
        <v>16000</v>
      </c>
      <c r="BQ64" t="s">
        <v>793</v>
      </c>
      <c r="BR64">
        <v>789.60155157899999</v>
      </c>
      <c r="BS64">
        <v>790.566626888001</v>
      </c>
      <c r="BT64">
        <v>16000</v>
      </c>
      <c r="CA64" t="s">
        <v>793</v>
      </c>
      <c r="CB64">
        <v>783.878421172</v>
      </c>
      <c r="CC64">
        <v>784.49361378303695</v>
      </c>
      <c r="CD64">
        <v>16000</v>
      </c>
      <c r="CJ64" t="s">
        <v>793</v>
      </c>
      <c r="CK64">
        <v>754.40389481399995</v>
      </c>
      <c r="CL64">
        <v>754.86723399697803</v>
      </c>
      <c r="CM64">
        <v>16000</v>
      </c>
      <c r="CT64" t="s">
        <v>793</v>
      </c>
      <c r="CU64">
        <v>803.69719776900001</v>
      </c>
      <c r="CV64">
        <v>804.333424153039</v>
      </c>
      <c r="CW64">
        <v>16000</v>
      </c>
    </row>
    <row r="65" spans="1:101" x14ac:dyDescent="0.2">
      <c r="A65" t="s">
        <v>813</v>
      </c>
      <c r="B65">
        <v>700</v>
      </c>
      <c r="C65">
        <v>5</v>
      </c>
      <c r="D65" t="str">
        <f t="shared" si="1"/>
        <v>ccf9-700-05</v>
      </c>
      <c r="F65" t="s">
        <v>793</v>
      </c>
      <c r="G65">
        <v>263.840499416</v>
      </c>
      <c r="H65">
        <v>264.06842241399801</v>
      </c>
      <c r="I65">
        <v>16000</v>
      </c>
      <c r="N65" t="s">
        <v>792</v>
      </c>
      <c r="O65">
        <v>900.932320269</v>
      </c>
      <c r="P65">
        <v>901.67014847300004</v>
      </c>
      <c r="Q65">
        <v>10296.0128</v>
      </c>
      <c r="V65" t="s">
        <v>793</v>
      </c>
      <c r="W65">
        <v>306.124312863</v>
      </c>
      <c r="X65">
        <v>306.35722417800503</v>
      </c>
      <c r="Y65">
        <v>16000</v>
      </c>
      <c r="AC65" t="s">
        <v>1081</v>
      </c>
      <c r="AD65" t="s">
        <v>793</v>
      </c>
      <c r="AE65">
        <v>258.181924256</v>
      </c>
      <c r="AF65">
        <v>258.433173525001</v>
      </c>
      <c r="AG65">
        <v>16000</v>
      </c>
      <c r="AN65" t="s">
        <v>1081</v>
      </c>
      <c r="AO65" t="s">
        <v>792</v>
      </c>
      <c r="AP65">
        <v>900.62184962000003</v>
      </c>
      <c r="AQ65">
        <v>901.61107053598903</v>
      </c>
      <c r="AR65">
        <v>10296.008704</v>
      </c>
      <c r="AX65" t="s">
        <v>1081</v>
      </c>
      <c r="AY65" t="s">
        <v>793</v>
      </c>
      <c r="AZ65">
        <v>319.37863121599997</v>
      </c>
      <c r="BA65">
        <v>319.79051986799402</v>
      </c>
      <c r="BB65">
        <v>16000</v>
      </c>
      <c r="BQ65" t="s">
        <v>792</v>
      </c>
      <c r="BR65">
        <v>901.00225785199996</v>
      </c>
      <c r="BS65">
        <v>901.62658877199203</v>
      </c>
      <c r="BT65">
        <v>10296.041472000001</v>
      </c>
      <c r="CA65" t="s">
        <v>792</v>
      </c>
      <c r="CB65">
        <v>900.88626066100005</v>
      </c>
      <c r="CC65">
        <v>901.58473380701605</v>
      </c>
      <c r="CD65">
        <v>10296.008704</v>
      </c>
      <c r="CJ65" t="s">
        <v>792</v>
      </c>
      <c r="CK65">
        <v>900.91680055400002</v>
      </c>
      <c r="CL65">
        <v>901.64618568494905</v>
      </c>
      <c r="CM65">
        <v>10296.049664</v>
      </c>
      <c r="CT65" t="s">
        <v>792</v>
      </c>
      <c r="CU65">
        <v>900.92051118699999</v>
      </c>
      <c r="CV65">
        <v>901.62690034694901</v>
      </c>
      <c r="CW65">
        <v>10296.147967999999</v>
      </c>
    </row>
    <row r="66" spans="1:101" x14ac:dyDescent="0.2">
      <c r="A66" t="s">
        <v>805</v>
      </c>
      <c r="B66">
        <v>800</v>
      </c>
      <c r="C66">
        <v>5</v>
      </c>
      <c r="D66" t="str">
        <f t="shared" si="1"/>
        <v>ccf1-800-05</v>
      </c>
      <c r="F66" t="s">
        <v>792</v>
      </c>
      <c r="G66">
        <v>900.61696724299998</v>
      </c>
      <c r="H66">
        <v>901.064789387004</v>
      </c>
      <c r="I66">
        <v>731.82822399999998</v>
      </c>
      <c r="N66" t="s">
        <v>792</v>
      </c>
      <c r="O66">
        <v>900.53104453200001</v>
      </c>
      <c r="P66">
        <v>901.05452252898203</v>
      </c>
      <c r="Q66">
        <v>48.050176</v>
      </c>
      <c r="V66" t="s">
        <v>792</v>
      </c>
      <c r="W66">
        <v>900.63666468700001</v>
      </c>
      <c r="X66">
        <v>901.01765359500098</v>
      </c>
      <c r="Y66">
        <v>154.24307200000001</v>
      </c>
      <c r="AC66" t="s">
        <v>1082</v>
      </c>
      <c r="AD66" t="s">
        <v>792</v>
      </c>
      <c r="AE66">
        <v>900.62072193500001</v>
      </c>
      <c r="AF66">
        <v>901.10292018300902</v>
      </c>
      <c r="AG66">
        <v>731.87737600000003</v>
      </c>
      <c r="AN66" t="s">
        <v>1082</v>
      </c>
      <c r="AO66" t="s">
        <v>792</v>
      </c>
      <c r="AP66">
        <v>900.63051771599999</v>
      </c>
      <c r="AQ66">
        <v>901.07354451599497</v>
      </c>
      <c r="AR66">
        <v>48.021504</v>
      </c>
      <c r="AX66" t="s">
        <v>1082</v>
      </c>
      <c r="AY66" t="s">
        <v>792</v>
      </c>
      <c r="AZ66">
        <v>900.64234058600005</v>
      </c>
      <c r="BA66">
        <v>901.07430453700294</v>
      </c>
      <c r="BB66">
        <v>154.33318399999999</v>
      </c>
      <c r="BQ66" t="s">
        <v>792</v>
      </c>
      <c r="BR66">
        <v>900.501670289</v>
      </c>
      <c r="BS66">
        <v>901.01059893995898</v>
      </c>
      <c r="BT66">
        <v>48.062463999999999</v>
      </c>
      <c r="CA66" t="s">
        <v>792</v>
      </c>
      <c r="CB66">
        <v>900.660252711</v>
      </c>
      <c r="CC66">
        <v>901.01277300005302</v>
      </c>
      <c r="CD66">
        <v>47.972352000000001</v>
      </c>
      <c r="CJ66" t="s">
        <v>792</v>
      </c>
      <c r="CK66">
        <v>900.65084442600005</v>
      </c>
      <c r="CL66">
        <v>901.01236438297201</v>
      </c>
      <c r="CM66">
        <v>47.988736000000003</v>
      </c>
      <c r="CT66" t="s">
        <v>792</v>
      </c>
      <c r="CU66">
        <v>900.64643265999996</v>
      </c>
      <c r="CV66">
        <v>901.015574879013</v>
      </c>
      <c r="CW66">
        <v>48.017408000000003</v>
      </c>
    </row>
    <row r="67" spans="1:101" x14ac:dyDescent="0.2">
      <c r="A67" t="s">
        <v>806</v>
      </c>
      <c r="B67">
        <v>800</v>
      </c>
      <c r="C67">
        <v>5</v>
      </c>
      <c r="D67" t="str">
        <f t="shared" ref="D67:D92" si="2">A67&amp;"-"&amp;B67&amp;"-0"&amp;C67</f>
        <v>ccf2-800-05</v>
      </c>
      <c r="F67" t="s">
        <v>792</v>
      </c>
      <c r="G67">
        <v>901.07487814399997</v>
      </c>
      <c r="H67">
        <v>901.48726199899102</v>
      </c>
      <c r="I67">
        <v>8639.5330560000002</v>
      </c>
      <c r="N67" t="s">
        <v>792</v>
      </c>
      <c r="O67">
        <v>900.71496468400005</v>
      </c>
      <c r="P67">
        <v>901.09496528399097</v>
      </c>
      <c r="Q67">
        <v>478.41689600000001</v>
      </c>
      <c r="V67" t="s">
        <v>792</v>
      </c>
      <c r="W67">
        <v>900.77319473700004</v>
      </c>
      <c r="X67">
        <v>901.11190664301103</v>
      </c>
      <c r="Y67">
        <v>1472.2498559999999</v>
      </c>
      <c r="AC67" t="s">
        <v>1083</v>
      </c>
      <c r="AD67" t="s">
        <v>792</v>
      </c>
      <c r="AE67">
        <v>901.09629545799999</v>
      </c>
      <c r="AF67">
        <v>901.52195754399804</v>
      </c>
      <c r="AG67">
        <v>8639.5453440000001</v>
      </c>
      <c r="AN67" t="s">
        <v>1083</v>
      </c>
      <c r="AO67" t="s">
        <v>792</v>
      </c>
      <c r="AP67">
        <v>900.737510563</v>
      </c>
      <c r="AQ67">
        <v>901.10691634501495</v>
      </c>
      <c r="AR67">
        <v>478.30630400000001</v>
      </c>
      <c r="AX67" t="s">
        <v>1083</v>
      </c>
      <c r="AY67" t="s">
        <v>792</v>
      </c>
      <c r="AZ67">
        <v>900.78778300299996</v>
      </c>
      <c r="BA67">
        <v>901.16205922898303</v>
      </c>
      <c r="BB67">
        <v>1472.2498559999999</v>
      </c>
      <c r="BQ67" t="s">
        <v>792</v>
      </c>
      <c r="BR67">
        <v>900.69691872800001</v>
      </c>
      <c r="BS67">
        <v>901.03563690301905</v>
      </c>
      <c r="BT67">
        <v>478.36774400000002</v>
      </c>
      <c r="CA67" t="s">
        <v>792</v>
      </c>
      <c r="CB67">
        <v>900.76633032999996</v>
      </c>
      <c r="CC67">
        <v>901.03351896093204</v>
      </c>
      <c r="CD67">
        <v>478.32678399999998</v>
      </c>
      <c r="CJ67" t="s">
        <v>792</v>
      </c>
      <c r="CK67">
        <v>900.71246347600004</v>
      </c>
      <c r="CL67">
        <v>901.05109867197405</v>
      </c>
      <c r="CM67">
        <v>478.28992</v>
      </c>
      <c r="CT67" t="s">
        <v>792</v>
      </c>
      <c r="CU67">
        <v>900.43819579900003</v>
      </c>
      <c r="CV67">
        <v>901.05304719298101</v>
      </c>
      <c r="CW67">
        <v>478.355456</v>
      </c>
    </row>
    <row r="68" spans="1:101" x14ac:dyDescent="0.2">
      <c r="A68" t="s">
        <v>807</v>
      </c>
      <c r="B68">
        <v>800</v>
      </c>
      <c r="C68">
        <v>5</v>
      </c>
      <c r="D68" t="str">
        <f t="shared" si="2"/>
        <v>ccf3-800-05</v>
      </c>
      <c r="F68" t="s">
        <v>793</v>
      </c>
      <c r="G68">
        <v>430.21100994</v>
      </c>
      <c r="H68">
        <v>430.53841024800198</v>
      </c>
      <c r="I68">
        <v>16000</v>
      </c>
      <c r="N68" t="s">
        <v>792</v>
      </c>
      <c r="O68">
        <v>900.95554952299995</v>
      </c>
      <c r="P68">
        <v>901.58862980597701</v>
      </c>
      <c r="Q68">
        <v>9994.0884480000004</v>
      </c>
      <c r="V68" t="s">
        <v>793</v>
      </c>
      <c r="W68">
        <v>228.17437552800001</v>
      </c>
      <c r="X68">
        <v>228.33374944400501</v>
      </c>
      <c r="Y68">
        <v>16000</v>
      </c>
      <c r="AC68" t="s">
        <v>1084</v>
      </c>
      <c r="AD68" t="s">
        <v>793</v>
      </c>
      <c r="AE68">
        <v>431.28230180700001</v>
      </c>
      <c r="AF68">
        <v>431.85115433199098</v>
      </c>
      <c r="AG68">
        <v>16000</v>
      </c>
      <c r="AN68" t="s">
        <v>1084</v>
      </c>
      <c r="AO68" t="s">
        <v>792</v>
      </c>
      <c r="AP68">
        <v>901.017874474</v>
      </c>
      <c r="AQ68">
        <v>901.62414840402198</v>
      </c>
      <c r="AR68">
        <v>9994.0884480000004</v>
      </c>
      <c r="AX68" t="s">
        <v>1084</v>
      </c>
      <c r="AY68" t="s">
        <v>793</v>
      </c>
      <c r="AZ68">
        <v>226.50635929200001</v>
      </c>
      <c r="BA68">
        <v>226.72359075400101</v>
      </c>
      <c r="BB68">
        <v>16000</v>
      </c>
      <c r="BQ68" t="s">
        <v>792</v>
      </c>
      <c r="BR68">
        <v>901.59451164899997</v>
      </c>
      <c r="BS68">
        <v>902.68172383599403</v>
      </c>
      <c r="BT68">
        <v>9994.0515840000007</v>
      </c>
      <c r="CA68" t="s">
        <v>792</v>
      </c>
      <c r="CB68">
        <v>900.78855385300005</v>
      </c>
      <c r="CC68">
        <v>901.53035578306299</v>
      </c>
      <c r="CD68">
        <v>9993.99424</v>
      </c>
      <c r="CJ68" t="s">
        <v>792</v>
      </c>
      <c r="CK68">
        <v>901.05463207599996</v>
      </c>
      <c r="CL68">
        <v>901.57975343905798</v>
      </c>
      <c r="CM68">
        <v>9994.0966399999998</v>
      </c>
      <c r="CT68" t="s">
        <v>792</v>
      </c>
      <c r="CU68">
        <v>901.12955162499998</v>
      </c>
      <c r="CV68">
        <v>901.59756282600495</v>
      </c>
      <c r="CW68">
        <v>9994.1949440000008</v>
      </c>
    </row>
    <row r="69" spans="1:101" x14ac:dyDescent="0.2">
      <c r="A69" t="s">
        <v>808</v>
      </c>
      <c r="B69">
        <v>800</v>
      </c>
      <c r="C69">
        <v>5</v>
      </c>
      <c r="D69" t="str">
        <f t="shared" si="2"/>
        <v>ccf4-800-05</v>
      </c>
      <c r="F69" t="s">
        <v>793</v>
      </c>
      <c r="G69">
        <v>250.42844012200001</v>
      </c>
      <c r="H69">
        <v>250.70236410599301</v>
      </c>
      <c r="I69">
        <v>16000</v>
      </c>
      <c r="N69" t="s">
        <v>792</v>
      </c>
      <c r="O69">
        <v>901.30085167499999</v>
      </c>
      <c r="P69">
        <v>901.89778744400201</v>
      </c>
      <c r="Q69">
        <v>15149.355008</v>
      </c>
      <c r="V69" t="s">
        <v>793</v>
      </c>
      <c r="W69">
        <v>318.88523803499999</v>
      </c>
      <c r="X69">
        <v>319.18034246700699</v>
      </c>
      <c r="Y69">
        <v>16000</v>
      </c>
      <c r="AC69" t="s">
        <v>1085</v>
      </c>
      <c r="AD69" t="s">
        <v>793</v>
      </c>
      <c r="AE69">
        <v>251.522484069</v>
      </c>
      <c r="AF69">
        <v>251.772529843001</v>
      </c>
      <c r="AG69">
        <v>16000</v>
      </c>
      <c r="AN69" t="s">
        <v>1085</v>
      </c>
      <c r="AO69" t="s">
        <v>792</v>
      </c>
      <c r="AP69">
        <v>901.249074845</v>
      </c>
      <c r="AQ69">
        <v>901.86648482299597</v>
      </c>
      <c r="AR69">
        <v>15149.326336</v>
      </c>
      <c r="AX69" t="s">
        <v>1085</v>
      </c>
      <c r="AY69" t="s">
        <v>793</v>
      </c>
      <c r="AZ69">
        <v>317.28058319399997</v>
      </c>
      <c r="BA69">
        <v>317.65857509299502</v>
      </c>
      <c r="BB69">
        <v>16000</v>
      </c>
      <c r="BQ69" t="s">
        <v>792</v>
      </c>
      <c r="BR69">
        <v>900.93243772400001</v>
      </c>
      <c r="BS69">
        <v>901.62087383901201</v>
      </c>
      <c r="BT69">
        <v>10142.535680000001</v>
      </c>
      <c r="CA69" t="s">
        <v>792</v>
      </c>
      <c r="CB69">
        <v>901.01969584899996</v>
      </c>
      <c r="CC69">
        <v>901.61649257608201</v>
      </c>
      <c r="CD69">
        <v>10358.751232000001</v>
      </c>
      <c r="CJ69" t="s">
        <v>792</v>
      </c>
      <c r="CK69">
        <v>901.14623737399995</v>
      </c>
      <c r="CL69">
        <v>901.78036932495797</v>
      </c>
      <c r="CM69">
        <v>15149.359103999999</v>
      </c>
      <c r="CT69" t="s">
        <v>792</v>
      </c>
      <c r="CU69">
        <v>901.11985988200001</v>
      </c>
      <c r="CV69">
        <v>901.79007162305004</v>
      </c>
      <c r="CW69">
        <v>15149.346815999999</v>
      </c>
    </row>
    <row r="70" spans="1:101" x14ac:dyDescent="0.2">
      <c r="A70" t="s">
        <v>809</v>
      </c>
      <c r="B70">
        <v>800</v>
      </c>
      <c r="C70">
        <v>5</v>
      </c>
      <c r="D70" t="str">
        <f t="shared" si="2"/>
        <v>ccf5-800-05</v>
      </c>
      <c r="F70" t="s">
        <v>793</v>
      </c>
      <c r="G70">
        <v>256.45554776699998</v>
      </c>
      <c r="H70">
        <v>256.70137950300699</v>
      </c>
      <c r="I70">
        <v>16000</v>
      </c>
      <c r="N70" t="s">
        <v>792</v>
      </c>
      <c r="O70">
        <v>901.03243977800003</v>
      </c>
      <c r="P70">
        <v>901.72017652599595</v>
      </c>
      <c r="Q70">
        <v>10576.379903999999</v>
      </c>
      <c r="V70" t="s">
        <v>793</v>
      </c>
      <c r="W70">
        <v>428.96311101800001</v>
      </c>
      <c r="X70">
        <v>429.24242898599101</v>
      </c>
      <c r="Y70">
        <v>16000</v>
      </c>
      <c r="AC70" t="s">
        <v>1086</v>
      </c>
      <c r="AD70" t="s">
        <v>793</v>
      </c>
      <c r="AE70">
        <v>256.71965747299998</v>
      </c>
      <c r="AF70">
        <v>257.020978907006</v>
      </c>
      <c r="AG70">
        <v>16000</v>
      </c>
      <c r="AN70" t="s">
        <v>1086</v>
      </c>
      <c r="AO70" t="s">
        <v>792</v>
      </c>
      <c r="AP70">
        <v>900.89604331700002</v>
      </c>
      <c r="AQ70">
        <v>901.74237006600003</v>
      </c>
      <c r="AR70">
        <v>10576.355328</v>
      </c>
      <c r="AX70" t="s">
        <v>1086</v>
      </c>
      <c r="AY70" t="s">
        <v>793</v>
      </c>
      <c r="AZ70">
        <v>440.74281951799998</v>
      </c>
      <c r="BA70">
        <v>441.18824125902</v>
      </c>
      <c r="BB70">
        <v>16000</v>
      </c>
      <c r="BQ70" t="s">
        <v>792</v>
      </c>
      <c r="BR70">
        <v>900.97411935800005</v>
      </c>
      <c r="BS70">
        <v>901.65594134898799</v>
      </c>
      <c r="BT70">
        <v>10576.408576</v>
      </c>
      <c r="CA70" t="s">
        <v>792</v>
      </c>
      <c r="CB70">
        <v>900.88172984000005</v>
      </c>
      <c r="CC70">
        <v>901.56917123997096</v>
      </c>
      <c r="CD70">
        <v>10576.515072</v>
      </c>
      <c r="CJ70" t="s">
        <v>792</v>
      </c>
      <c r="CK70">
        <v>901.15020892200005</v>
      </c>
      <c r="CL70">
        <v>901.613960769958</v>
      </c>
      <c r="CM70">
        <v>10576.470015999999</v>
      </c>
      <c r="CT70" t="s">
        <v>792</v>
      </c>
      <c r="CU70">
        <v>901.04327033000004</v>
      </c>
      <c r="CV70">
        <v>901.61533001798603</v>
      </c>
      <c r="CW70">
        <v>10576.375808000001</v>
      </c>
    </row>
    <row r="71" spans="1:101" x14ac:dyDescent="0.2">
      <c r="A71" t="s">
        <v>810</v>
      </c>
      <c r="B71">
        <v>800</v>
      </c>
      <c r="C71">
        <v>5</v>
      </c>
      <c r="D71" t="str">
        <f t="shared" si="2"/>
        <v>ccf6-800-05</v>
      </c>
      <c r="F71" t="s">
        <v>793</v>
      </c>
      <c r="G71">
        <v>294.90320079000003</v>
      </c>
      <c r="H71">
        <v>295.13000031199698</v>
      </c>
      <c r="I71">
        <v>16000</v>
      </c>
      <c r="N71" t="s">
        <v>792</v>
      </c>
      <c r="O71">
        <v>901.32400793900001</v>
      </c>
      <c r="P71">
        <v>901.88896709500102</v>
      </c>
      <c r="Q71">
        <v>15416.733695999999</v>
      </c>
      <c r="V71" t="s">
        <v>793</v>
      </c>
      <c r="W71">
        <v>226.60262278799999</v>
      </c>
      <c r="X71">
        <v>226.86240806999501</v>
      </c>
      <c r="Y71">
        <v>16000</v>
      </c>
      <c r="AC71" t="s">
        <v>1087</v>
      </c>
      <c r="AD71" t="s">
        <v>793</v>
      </c>
      <c r="AE71">
        <v>299.471250269</v>
      </c>
      <c r="AF71">
        <v>299.80566430900899</v>
      </c>
      <c r="AG71">
        <v>16000</v>
      </c>
      <c r="AN71" t="s">
        <v>1087</v>
      </c>
      <c r="AO71" t="s">
        <v>792</v>
      </c>
      <c r="AP71">
        <v>901.33446591899997</v>
      </c>
      <c r="AQ71">
        <v>901.91586726100604</v>
      </c>
      <c r="AR71">
        <v>15416.770560000001</v>
      </c>
      <c r="AX71" t="s">
        <v>1087</v>
      </c>
      <c r="AY71" t="s">
        <v>793</v>
      </c>
      <c r="AZ71">
        <v>226.535614423</v>
      </c>
      <c r="BA71">
        <v>226.82791121301099</v>
      </c>
      <c r="BB71">
        <v>16000</v>
      </c>
      <c r="BQ71" t="s">
        <v>792</v>
      </c>
      <c r="BR71">
        <v>901.03405468000005</v>
      </c>
      <c r="BS71">
        <v>901.61483322299296</v>
      </c>
      <c r="BT71">
        <v>10973.679615999999</v>
      </c>
      <c r="CA71" t="s">
        <v>792</v>
      </c>
      <c r="CB71">
        <v>900.99339123599998</v>
      </c>
      <c r="CC71">
        <v>901.59309604601003</v>
      </c>
      <c r="CD71">
        <v>10973.618176</v>
      </c>
      <c r="CJ71" t="s">
        <v>792</v>
      </c>
      <c r="CK71">
        <v>900.96417193699995</v>
      </c>
      <c r="CL71">
        <v>901.59483677998605</v>
      </c>
      <c r="CM71">
        <v>10973.663232000001</v>
      </c>
      <c r="CT71" t="s">
        <v>792</v>
      </c>
      <c r="CU71">
        <v>901.02236838900001</v>
      </c>
      <c r="CV71">
        <v>901.64127420005298</v>
      </c>
      <c r="CW71">
        <v>10973.622272000001</v>
      </c>
    </row>
    <row r="72" spans="1:101" x14ac:dyDescent="0.2">
      <c r="A72" t="s">
        <v>811</v>
      </c>
      <c r="B72">
        <v>800</v>
      </c>
      <c r="C72">
        <v>5</v>
      </c>
      <c r="D72" t="str">
        <f t="shared" si="2"/>
        <v>ccf7-800-05</v>
      </c>
      <c r="F72" t="s">
        <v>793</v>
      </c>
      <c r="G72">
        <v>450.68115108699999</v>
      </c>
      <c r="H72">
        <v>451.16486978599198</v>
      </c>
      <c r="I72">
        <v>16000</v>
      </c>
      <c r="N72" t="s">
        <v>793</v>
      </c>
      <c r="O72">
        <v>537.11027356900001</v>
      </c>
      <c r="P72">
        <v>537.55230127301104</v>
      </c>
      <c r="Q72">
        <v>16000</v>
      </c>
      <c r="V72" t="s">
        <v>793</v>
      </c>
      <c r="W72">
        <v>308.63490081499998</v>
      </c>
      <c r="X72">
        <v>308.86480581900099</v>
      </c>
      <c r="Y72">
        <v>16000</v>
      </c>
      <c r="AC72" t="s">
        <v>1088</v>
      </c>
      <c r="AD72" t="s">
        <v>793</v>
      </c>
      <c r="AE72">
        <v>439.18918935099998</v>
      </c>
      <c r="AF72">
        <v>439.51291231298802</v>
      </c>
      <c r="AG72">
        <v>16000</v>
      </c>
      <c r="AN72" t="s">
        <v>1088</v>
      </c>
      <c r="AO72" t="s">
        <v>793</v>
      </c>
      <c r="AP72">
        <v>536.74346351600002</v>
      </c>
      <c r="AQ72">
        <v>537.22168182602002</v>
      </c>
      <c r="AR72">
        <v>16000</v>
      </c>
      <c r="AX72" t="s">
        <v>1088</v>
      </c>
      <c r="AY72" t="s">
        <v>793</v>
      </c>
      <c r="AZ72">
        <v>303.21740038199999</v>
      </c>
      <c r="BA72">
        <v>303.54226867400502</v>
      </c>
      <c r="BB72">
        <v>16000</v>
      </c>
      <c r="BQ72" t="s">
        <v>793</v>
      </c>
      <c r="BR72">
        <v>553.10783690100004</v>
      </c>
      <c r="BS72">
        <v>553.62544418498805</v>
      </c>
      <c r="BT72">
        <v>16000</v>
      </c>
      <c r="CA72" t="s">
        <v>793</v>
      </c>
      <c r="CB72">
        <v>548.32622574599998</v>
      </c>
      <c r="CC72">
        <v>548.82740121299798</v>
      </c>
      <c r="CD72">
        <v>16000</v>
      </c>
      <c r="CJ72" t="s">
        <v>793</v>
      </c>
      <c r="CK72">
        <v>538.699785582</v>
      </c>
      <c r="CL72">
        <v>539.15228182496503</v>
      </c>
      <c r="CM72">
        <v>16000</v>
      </c>
      <c r="CT72" t="s">
        <v>793</v>
      </c>
      <c r="CU72">
        <v>556.330755243</v>
      </c>
      <c r="CV72">
        <v>556.806266780942</v>
      </c>
      <c r="CW72">
        <v>16000</v>
      </c>
    </row>
    <row r="73" spans="1:101" x14ac:dyDescent="0.2">
      <c r="A73" t="s">
        <v>812</v>
      </c>
      <c r="B73">
        <v>800</v>
      </c>
      <c r="C73">
        <v>5</v>
      </c>
      <c r="D73" t="str">
        <f t="shared" si="2"/>
        <v>ccf8-800-05</v>
      </c>
      <c r="F73" t="s">
        <v>793</v>
      </c>
      <c r="G73">
        <v>237.92331659199999</v>
      </c>
      <c r="H73">
        <v>238.123339995989</v>
      </c>
      <c r="I73">
        <v>16000</v>
      </c>
      <c r="N73" t="s">
        <v>792</v>
      </c>
      <c r="O73">
        <v>901.102668601</v>
      </c>
      <c r="P73">
        <v>901.65302037299205</v>
      </c>
      <c r="Q73">
        <v>9870.7496960000008</v>
      </c>
      <c r="V73" t="s">
        <v>793</v>
      </c>
      <c r="W73">
        <v>235.44076917500001</v>
      </c>
      <c r="X73">
        <v>235.62293482100301</v>
      </c>
      <c r="Y73">
        <v>16000</v>
      </c>
      <c r="AC73" t="s">
        <v>1089</v>
      </c>
      <c r="AD73" t="s">
        <v>793</v>
      </c>
      <c r="AE73">
        <v>246.57838572700001</v>
      </c>
      <c r="AF73">
        <v>246.885971773997</v>
      </c>
      <c r="AG73">
        <v>16000</v>
      </c>
      <c r="AN73" t="s">
        <v>1089</v>
      </c>
      <c r="AO73" t="s">
        <v>792</v>
      </c>
      <c r="AP73">
        <v>900.89739007100002</v>
      </c>
      <c r="AQ73">
        <v>901.54275003800205</v>
      </c>
      <c r="AR73">
        <v>9870.7456000000002</v>
      </c>
      <c r="AX73" t="s">
        <v>1089</v>
      </c>
      <c r="AY73" t="s">
        <v>793</v>
      </c>
      <c r="AZ73">
        <v>242.24597186</v>
      </c>
      <c r="BA73">
        <v>242.495642355992</v>
      </c>
      <c r="BB73">
        <v>16000</v>
      </c>
      <c r="BQ73" t="s">
        <v>792</v>
      </c>
      <c r="BR73">
        <v>900.85337240000001</v>
      </c>
      <c r="BS73">
        <v>901.50368061300799</v>
      </c>
      <c r="BT73">
        <v>9870.8398080000006</v>
      </c>
      <c r="CA73" t="s">
        <v>792</v>
      </c>
      <c r="CB73">
        <v>900.87321615999997</v>
      </c>
      <c r="CC73">
        <v>901.49936007696601</v>
      </c>
      <c r="CD73">
        <v>9870.8029439999991</v>
      </c>
      <c r="CJ73" t="s">
        <v>792</v>
      </c>
      <c r="CK73">
        <v>900.77287044800005</v>
      </c>
      <c r="CL73">
        <v>901.471296990057</v>
      </c>
      <c r="CM73">
        <v>8969.1709439999995</v>
      </c>
      <c r="CT73" t="s">
        <v>792</v>
      </c>
      <c r="CU73">
        <v>901.00379273299995</v>
      </c>
      <c r="CV73">
        <v>901.54259155900195</v>
      </c>
      <c r="CW73">
        <v>9870.7537919999995</v>
      </c>
    </row>
    <row r="74" spans="1:101" x14ac:dyDescent="0.2">
      <c r="A74" t="s">
        <v>813</v>
      </c>
      <c r="B74">
        <v>800</v>
      </c>
      <c r="C74">
        <v>5</v>
      </c>
      <c r="D74" t="str">
        <f t="shared" si="2"/>
        <v>ccf9-800-05</v>
      </c>
      <c r="F74" t="s">
        <v>793</v>
      </c>
      <c r="G74">
        <v>604.83716515499998</v>
      </c>
      <c r="H74">
        <v>605.38875451899298</v>
      </c>
      <c r="I74">
        <v>16000</v>
      </c>
      <c r="N74" t="s">
        <v>792</v>
      </c>
      <c r="O74">
        <v>901.02910043600002</v>
      </c>
      <c r="P74">
        <v>901.72342276398501</v>
      </c>
      <c r="Q74">
        <v>10815.721471999999</v>
      </c>
      <c r="V74" t="s">
        <v>793</v>
      </c>
      <c r="W74">
        <v>396.62366205500001</v>
      </c>
      <c r="X74">
        <v>396.98176030399901</v>
      </c>
      <c r="Y74">
        <v>16000</v>
      </c>
      <c r="AC74" t="s">
        <v>1090</v>
      </c>
      <c r="AD74" t="s">
        <v>793</v>
      </c>
      <c r="AE74">
        <v>602.20688997100001</v>
      </c>
      <c r="AF74">
        <v>602.900436928001</v>
      </c>
      <c r="AG74">
        <v>16000</v>
      </c>
      <c r="AN74" t="s">
        <v>1090</v>
      </c>
      <c r="AO74" t="s">
        <v>792</v>
      </c>
      <c r="AP74">
        <v>900.94862977900004</v>
      </c>
      <c r="AQ74">
        <v>901.73728744700202</v>
      </c>
      <c r="AR74">
        <v>10815.721471999999</v>
      </c>
      <c r="AX74" t="s">
        <v>1090</v>
      </c>
      <c r="AY74" t="s">
        <v>793</v>
      </c>
      <c r="AZ74">
        <v>400.85466909500002</v>
      </c>
      <c r="BA74">
        <v>401.21618756998203</v>
      </c>
      <c r="BB74">
        <v>16000</v>
      </c>
      <c r="BQ74" t="s">
        <v>792</v>
      </c>
      <c r="BR74">
        <v>901.07078890399998</v>
      </c>
      <c r="BS74">
        <v>901.74826055701101</v>
      </c>
      <c r="BT74">
        <v>10815.729664</v>
      </c>
      <c r="CA74" t="s">
        <v>792</v>
      </c>
      <c r="CB74">
        <v>901.04291296099996</v>
      </c>
      <c r="CC74">
        <v>901.66514112800303</v>
      </c>
      <c r="CD74">
        <v>10815.733759999999</v>
      </c>
      <c r="CJ74" t="s">
        <v>792</v>
      </c>
      <c r="CK74">
        <v>900.98830321000003</v>
      </c>
      <c r="CL74">
        <v>901.678802377078</v>
      </c>
      <c r="CM74">
        <v>10815.680512000001</v>
      </c>
      <c r="CT74" t="s">
        <v>792</v>
      </c>
      <c r="CU74">
        <v>900.89467041900002</v>
      </c>
      <c r="CV74">
        <v>901.70013932592701</v>
      </c>
      <c r="CW74">
        <v>10815.729664</v>
      </c>
    </row>
    <row r="75" spans="1:101" x14ac:dyDescent="0.2">
      <c r="A75" t="s">
        <v>805</v>
      </c>
      <c r="B75">
        <v>900</v>
      </c>
      <c r="C75">
        <v>5</v>
      </c>
      <c r="D75" t="str">
        <f t="shared" si="2"/>
        <v>ccf1-900-05</v>
      </c>
      <c r="F75" t="s">
        <v>793</v>
      </c>
      <c r="G75">
        <v>354.45839252100001</v>
      </c>
      <c r="H75">
        <v>354.71131438401</v>
      </c>
      <c r="I75">
        <v>16000</v>
      </c>
      <c r="N75" t="s">
        <v>792</v>
      </c>
      <c r="O75">
        <v>901.43544731999998</v>
      </c>
      <c r="P75">
        <v>901.90808014999402</v>
      </c>
      <c r="Q75">
        <v>15146.885120000001</v>
      </c>
      <c r="V75" t="s">
        <v>793</v>
      </c>
      <c r="W75">
        <v>500.84635099299999</v>
      </c>
      <c r="X75">
        <v>501.13486578599202</v>
      </c>
      <c r="Y75">
        <v>16000</v>
      </c>
      <c r="AC75" t="s">
        <v>1091</v>
      </c>
      <c r="AD75" t="s">
        <v>793</v>
      </c>
      <c r="AE75">
        <v>354.91195205899999</v>
      </c>
      <c r="AF75">
        <v>355.30614117099299</v>
      </c>
      <c r="AG75">
        <v>16000</v>
      </c>
      <c r="AN75" t="s">
        <v>1091</v>
      </c>
      <c r="AO75" t="s">
        <v>792</v>
      </c>
      <c r="AP75">
        <v>901.48188204799999</v>
      </c>
      <c r="AQ75">
        <v>901.99782770700403</v>
      </c>
      <c r="AR75">
        <v>15146.831872000001</v>
      </c>
      <c r="AX75" t="s">
        <v>1091</v>
      </c>
      <c r="AY75" t="s">
        <v>793</v>
      </c>
      <c r="AZ75">
        <v>500.56123138200002</v>
      </c>
      <c r="BA75">
        <v>501.01130163200997</v>
      </c>
      <c r="BB75">
        <v>16000</v>
      </c>
      <c r="BQ75" t="s">
        <v>792</v>
      </c>
      <c r="BR75">
        <v>900.78411086000006</v>
      </c>
      <c r="BS75">
        <v>901.77394623996202</v>
      </c>
      <c r="BT75">
        <v>15146.913791999999</v>
      </c>
      <c r="CA75" t="s">
        <v>792</v>
      </c>
      <c r="CB75">
        <v>901.36764693600003</v>
      </c>
      <c r="CC75">
        <v>901.92612760094903</v>
      </c>
      <c r="CD75">
        <v>15146.901503999999</v>
      </c>
      <c r="CJ75" t="s">
        <v>792</v>
      </c>
      <c r="CK75">
        <v>901.13318971399997</v>
      </c>
      <c r="CL75">
        <v>901.85982975806098</v>
      </c>
      <c r="CM75">
        <v>15146.872831999999</v>
      </c>
      <c r="CT75" t="s">
        <v>792</v>
      </c>
      <c r="CU75">
        <v>901.41209538999999</v>
      </c>
      <c r="CV75">
        <v>901.88654625601998</v>
      </c>
      <c r="CW75">
        <v>15146.872831999999</v>
      </c>
    </row>
    <row r="76" spans="1:101" x14ac:dyDescent="0.2">
      <c r="A76" t="s">
        <v>806</v>
      </c>
      <c r="B76">
        <v>900</v>
      </c>
      <c r="C76">
        <v>5</v>
      </c>
      <c r="D76" t="str">
        <f t="shared" si="2"/>
        <v>ccf2-900-05</v>
      </c>
      <c r="F76" t="s">
        <v>793</v>
      </c>
      <c r="G76">
        <v>309.39832918600001</v>
      </c>
      <c r="H76">
        <v>309.57949669500499</v>
      </c>
      <c r="I76">
        <v>16000</v>
      </c>
      <c r="N76" t="s">
        <v>793</v>
      </c>
      <c r="O76">
        <v>545.13600526100004</v>
      </c>
      <c r="P76">
        <v>545.44187683201699</v>
      </c>
      <c r="Q76">
        <v>16000</v>
      </c>
      <c r="V76" t="s">
        <v>793</v>
      </c>
      <c r="W76">
        <v>443.45973188300002</v>
      </c>
      <c r="X76">
        <v>443.79748752599698</v>
      </c>
      <c r="Y76">
        <v>16000</v>
      </c>
      <c r="AC76" t="s">
        <v>1092</v>
      </c>
      <c r="AD76" t="s">
        <v>793</v>
      </c>
      <c r="AE76">
        <v>303.53861825899997</v>
      </c>
      <c r="AF76">
        <v>304.22327514100402</v>
      </c>
      <c r="AG76">
        <v>16000</v>
      </c>
      <c r="AN76" t="s">
        <v>1092</v>
      </c>
      <c r="AO76" t="s">
        <v>793</v>
      </c>
      <c r="AP76">
        <v>545.40562250799996</v>
      </c>
      <c r="AQ76">
        <v>545.72566064901105</v>
      </c>
      <c r="AR76">
        <v>16000</v>
      </c>
      <c r="AX76" t="s">
        <v>1092</v>
      </c>
      <c r="AY76" t="s">
        <v>793</v>
      </c>
      <c r="AZ76">
        <v>446.094517526</v>
      </c>
      <c r="BA76">
        <v>446.474521570984</v>
      </c>
      <c r="BB76">
        <v>16000</v>
      </c>
      <c r="BQ76" t="s">
        <v>793</v>
      </c>
      <c r="BR76">
        <v>577.70496488100002</v>
      </c>
      <c r="BS76">
        <v>578.06086950999395</v>
      </c>
      <c r="BT76">
        <v>16000</v>
      </c>
      <c r="CA76" t="s">
        <v>793</v>
      </c>
      <c r="CB76">
        <v>576.60190867300003</v>
      </c>
      <c r="CC76">
        <v>576.94756132899704</v>
      </c>
      <c r="CD76">
        <v>16000</v>
      </c>
      <c r="CJ76" t="s">
        <v>793</v>
      </c>
      <c r="CK76">
        <v>576.64138828600005</v>
      </c>
      <c r="CL76">
        <v>577.07436614693097</v>
      </c>
      <c r="CM76">
        <v>16000</v>
      </c>
      <c r="CT76" t="s">
        <v>793</v>
      </c>
      <c r="CU76">
        <v>576.19322761700005</v>
      </c>
      <c r="CV76">
        <v>576.57051049196104</v>
      </c>
      <c r="CW76">
        <v>16000</v>
      </c>
    </row>
    <row r="77" spans="1:101" x14ac:dyDescent="0.2">
      <c r="A77" t="s">
        <v>807</v>
      </c>
      <c r="B77">
        <v>900</v>
      </c>
      <c r="C77">
        <v>5</v>
      </c>
      <c r="D77" t="str">
        <f t="shared" si="2"/>
        <v>ccf3-900-05</v>
      </c>
      <c r="F77" t="s">
        <v>793</v>
      </c>
      <c r="G77">
        <v>360.10578416300001</v>
      </c>
      <c r="H77">
        <v>360.30534807999999</v>
      </c>
      <c r="I77">
        <v>16000</v>
      </c>
      <c r="N77" t="s">
        <v>793</v>
      </c>
      <c r="O77">
        <v>596.92024736999997</v>
      </c>
      <c r="P77">
        <v>597.41701672499698</v>
      </c>
      <c r="Q77">
        <v>16000</v>
      </c>
      <c r="V77" t="s">
        <v>793</v>
      </c>
      <c r="W77">
        <v>514.90375027000005</v>
      </c>
      <c r="X77">
        <v>515.32210047999899</v>
      </c>
      <c r="Y77">
        <v>16000</v>
      </c>
      <c r="AC77" t="s">
        <v>1093</v>
      </c>
      <c r="AD77" t="s">
        <v>793</v>
      </c>
      <c r="AE77">
        <v>359.89189752999999</v>
      </c>
      <c r="AF77">
        <v>360.12028708300198</v>
      </c>
      <c r="AG77">
        <v>16000</v>
      </c>
      <c r="AN77" t="s">
        <v>1093</v>
      </c>
      <c r="AO77" t="s">
        <v>793</v>
      </c>
      <c r="AP77">
        <v>596.26917677899996</v>
      </c>
      <c r="AQ77">
        <v>596.69741162500497</v>
      </c>
      <c r="AR77">
        <v>16000</v>
      </c>
      <c r="AX77" t="s">
        <v>1093</v>
      </c>
      <c r="AY77" t="s">
        <v>793</v>
      </c>
      <c r="AZ77">
        <v>512.50895125299996</v>
      </c>
      <c r="BA77">
        <v>512.85580707099803</v>
      </c>
      <c r="BB77">
        <v>16000</v>
      </c>
      <c r="BQ77" t="s">
        <v>793</v>
      </c>
      <c r="BR77">
        <v>619.24554882799998</v>
      </c>
      <c r="BS77">
        <v>621.18560365796998</v>
      </c>
      <c r="BT77">
        <v>16000</v>
      </c>
      <c r="CA77" t="s">
        <v>793</v>
      </c>
      <c r="CB77">
        <v>616.59705699999995</v>
      </c>
      <c r="CC77">
        <v>617.06179501092902</v>
      </c>
      <c r="CD77">
        <v>16000</v>
      </c>
      <c r="CJ77" t="s">
        <v>793</v>
      </c>
      <c r="CK77">
        <v>611.21090470499996</v>
      </c>
      <c r="CL77">
        <v>611.65378171391706</v>
      </c>
      <c r="CM77">
        <v>16000</v>
      </c>
      <c r="CT77" t="s">
        <v>793</v>
      </c>
      <c r="CU77">
        <v>613.59659389199999</v>
      </c>
      <c r="CV77">
        <v>614.04838980396698</v>
      </c>
      <c r="CW77">
        <v>16000</v>
      </c>
    </row>
    <row r="78" spans="1:101" x14ac:dyDescent="0.2">
      <c r="A78" t="s">
        <v>808</v>
      </c>
      <c r="B78">
        <v>900</v>
      </c>
      <c r="C78">
        <v>5</v>
      </c>
      <c r="D78" t="str">
        <f t="shared" si="2"/>
        <v>ccf4-900-05</v>
      </c>
      <c r="F78" t="s">
        <v>793</v>
      </c>
      <c r="G78">
        <v>371.684592614</v>
      </c>
      <c r="H78">
        <v>372.04451217799198</v>
      </c>
      <c r="I78">
        <v>16000</v>
      </c>
      <c r="N78" t="s">
        <v>793</v>
      </c>
      <c r="O78">
        <v>652.21496379400003</v>
      </c>
      <c r="P78">
        <v>652.67105994198903</v>
      </c>
      <c r="Q78">
        <v>16000</v>
      </c>
      <c r="V78" t="s">
        <v>793</v>
      </c>
      <c r="W78">
        <v>696.11365775299998</v>
      </c>
      <c r="X78">
        <v>696.56987672299101</v>
      </c>
      <c r="Y78">
        <v>16000</v>
      </c>
      <c r="AC78" t="s">
        <v>1094</v>
      </c>
      <c r="AD78" t="s">
        <v>793</v>
      </c>
      <c r="AE78">
        <v>373.59435516799999</v>
      </c>
      <c r="AF78">
        <v>373.999571988009</v>
      </c>
      <c r="AG78">
        <v>16000</v>
      </c>
      <c r="AN78" t="s">
        <v>1094</v>
      </c>
      <c r="AO78" t="s">
        <v>793</v>
      </c>
      <c r="AP78">
        <v>654.16382123000005</v>
      </c>
      <c r="AQ78">
        <v>654.79083444600099</v>
      </c>
      <c r="AR78">
        <v>16000</v>
      </c>
      <c r="AX78" t="s">
        <v>1094</v>
      </c>
      <c r="AY78" t="s">
        <v>793</v>
      </c>
      <c r="AZ78">
        <v>706.23228752299997</v>
      </c>
      <c r="BA78">
        <v>706.72128846202395</v>
      </c>
      <c r="BB78">
        <v>16000</v>
      </c>
      <c r="BQ78" t="s">
        <v>793</v>
      </c>
      <c r="BR78">
        <v>675.02984481199996</v>
      </c>
      <c r="BS78">
        <v>676.12054204195704</v>
      </c>
      <c r="BT78">
        <v>16000</v>
      </c>
      <c r="CA78" t="s">
        <v>793</v>
      </c>
      <c r="CB78">
        <v>674.70602620299996</v>
      </c>
      <c r="CC78">
        <v>675.25374533201102</v>
      </c>
      <c r="CD78">
        <v>16000</v>
      </c>
      <c r="CJ78" t="s">
        <v>793</v>
      </c>
      <c r="CK78">
        <v>662.86090962699996</v>
      </c>
      <c r="CL78">
        <v>663.34862589603199</v>
      </c>
      <c r="CM78">
        <v>16000</v>
      </c>
      <c r="CT78" t="s">
        <v>793</v>
      </c>
      <c r="CU78">
        <v>663.36325187700004</v>
      </c>
      <c r="CV78">
        <v>663.85067901702098</v>
      </c>
      <c r="CW78">
        <v>16000</v>
      </c>
    </row>
    <row r="79" spans="1:101" x14ac:dyDescent="0.2">
      <c r="A79" t="s">
        <v>809</v>
      </c>
      <c r="B79">
        <v>900</v>
      </c>
      <c r="C79">
        <v>5</v>
      </c>
      <c r="D79" t="str">
        <f t="shared" si="2"/>
        <v>ccf5-900-05</v>
      </c>
      <c r="F79" t="s">
        <v>793</v>
      </c>
      <c r="G79">
        <v>325.36931035499998</v>
      </c>
      <c r="H79">
        <v>326.45077071100201</v>
      </c>
      <c r="I79">
        <v>16000</v>
      </c>
      <c r="N79" t="s">
        <v>792</v>
      </c>
      <c r="O79">
        <v>900.92732454600002</v>
      </c>
      <c r="P79">
        <v>901.596499486011</v>
      </c>
      <c r="Q79">
        <v>8891.5804160000007</v>
      </c>
      <c r="V79" t="s">
        <v>793</v>
      </c>
      <c r="W79">
        <v>381.762466066</v>
      </c>
      <c r="X79">
        <v>382.08518761300297</v>
      </c>
      <c r="Y79">
        <v>16000</v>
      </c>
      <c r="AC79" t="s">
        <v>1095</v>
      </c>
      <c r="AD79" t="s">
        <v>793</v>
      </c>
      <c r="AE79">
        <v>337.08358661900002</v>
      </c>
      <c r="AF79">
        <v>337.50415909397998</v>
      </c>
      <c r="AG79">
        <v>16000</v>
      </c>
      <c r="AN79" t="s">
        <v>1095</v>
      </c>
      <c r="AO79" t="s">
        <v>792</v>
      </c>
      <c r="AP79">
        <v>900.82187715400005</v>
      </c>
      <c r="AQ79">
        <v>901.59835539900803</v>
      </c>
      <c r="AR79">
        <v>8891.5517440000003</v>
      </c>
      <c r="AX79" t="s">
        <v>1095</v>
      </c>
      <c r="AY79" t="s">
        <v>793</v>
      </c>
      <c r="AZ79">
        <v>383.04146387499998</v>
      </c>
      <c r="BA79">
        <v>383.35623530001601</v>
      </c>
      <c r="BB79">
        <v>16000</v>
      </c>
      <c r="BQ79" t="s">
        <v>792</v>
      </c>
      <c r="BR79">
        <v>900.83563609400005</v>
      </c>
      <c r="BS79">
        <v>901.55642803397495</v>
      </c>
      <c r="BT79">
        <v>8890.6874879999996</v>
      </c>
      <c r="CA79" t="s">
        <v>792</v>
      </c>
      <c r="CB79">
        <v>900.488247785</v>
      </c>
      <c r="CC79">
        <v>901.44904422701802</v>
      </c>
      <c r="CD79">
        <v>8891.6500479999995</v>
      </c>
      <c r="CJ79" t="s">
        <v>792</v>
      </c>
      <c r="CK79">
        <v>900.69372935499996</v>
      </c>
      <c r="CL79">
        <v>901.44368143298198</v>
      </c>
      <c r="CM79">
        <v>8891.6418560000002</v>
      </c>
      <c r="CT79" t="s">
        <v>792</v>
      </c>
      <c r="CU79">
        <v>900.66078257200002</v>
      </c>
      <c r="CV79">
        <v>901.44361372396804</v>
      </c>
      <c r="CW79">
        <v>8891.5107840000001</v>
      </c>
    </row>
    <row r="80" spans="1:101" x14ac:dyDescent="0.2">
      <c r="A80" t="s">
        <v>810</v>
      </c>
      <c r="B80">
        <v>900</v>
      </c>
      <c r="C80">
        <v>5</v>
      </c>
      <c r="D80" t="str">
        <f t="shared" si="2"/>
        <v>ccf6-900-05</v>
      </c>
      <c r="F80" t="s">
        <v>793</v>
      </c>
      <c r="G80">
        <v>329.53390827499999</v>
      </c>
      <c r="H80">
        <v>329.93723718899099</v>
      </c>
      <c r="I80">
        <v>16000</v>
      </c>
      <c r="N80" t="s">
        <v>792</v>
      </c>
      <c r="O80">
        <v>900.90850599400005</v>
      </c>
      <c r="P80">
        <v>901.65665140398698</v>
      </c>
      <c r="Q80">
        <v>10250.678271999999</v>
      </c>
      <c r="V80" t="s">
        <v>793</v>
      </c>
      <c r="W80">
        <v>655.31853111600003</v>
      </c>
      <c r="X80">
        <v>655.83390514999303</v>
      </c>
      <c r="Y80">
        <v>16000</v>
      </c>
      <c r="AC80" t="s">
        <v>1096</v>
      </c>
      <c r="AD80" t="s">
        <v>793</v>
      </c>
      <c r="AE80">
        <v>337.74787810100003</v>
      </c>
      <c r="AF80">
        <v>338.141032393003</v>
      </c>
      <c r="AG80">
        <v>16000</v>
      </c>
      <c r="AN80" t="s">
        <v>1096</v>
      </c>
      <c r="AO80" t="s">
        <v>792</v>
      </c>
      <c r="AP80">
        <v>900.81505128399999</v>
      </c>
      <c r="AQ80">
        <v>901.61133669799801</v>
      </c>
      <c r="AR80">
        <v>10250.682368</v>
      </c>
      <c r="AX80" t="s">
        <v>1096</v>
      </c>
      <c r="AY80" t="s">
        <v>793</v>
      </c>
      <c r="AZ80">
        <v>629.90372326099998</v>
      </c>
      <c r="BA80">
        <v>630.42181354999695</v>
      </c>
      <c r="BB80">
        <v>16000</v>
      </c>
      <c r="BQ80" t="s">
        <v>792</v>
      </c>
      <c r="BR80">
        <v>900.92265188500005</v>
      </c>
      <c r="BS80">
        <v>901.63557375298103</v>
      </c>
      <c r="BT80">
        <v>10535.456768</v>
      </c>
      <c r="CA80" t="s">
        <v>792</v>
      </c>
      <c r="CB80">
        <v>900.64678333300003</v>
      </c>
      <c r="CC80">
        <v>901.58364251593503</v>
      </c>
      <c r="CD80">
        <v>10654.5152</v>
      </c>
      <c r="CJ80" t="s">
        <v>792</v>
      </c>
      <c r="CK80">
        <v>900.96705680299999</v>
      </c>
      <c r="CL80">
        <v>901.61812767793799</v>
      </c>
      <c r="CM80">
        <v>10509.578240000001</v>
      </c>
      <c r="CT80" t="s">
        <v>792</v>
      </c>
      <c r="CU80">
        <v>901.01904561499998</v>
      </c>
      <c r="CV80">
        <v>901.65811027400196</v>
      </c>
      <c r="CW80">
        <v>10540.232704</v>
      </c>
    </row>
    <row r="81" spans="1:101" x14ac:dyDescent="0.2">
      <c r="A81" t="s">
        <v>811</v>
      </c>
      <c r="B81">
        <v>900</v>
      </c>
      <c r="C81">
        <v>5</v>
      </c>
      <c r="D81" t="str">
        <f t="shared" si="2"/>
        <v>ccf7-900-05</v>
      </c>
      <c r="F81" t="s">
        <v>793</v>
      </c>
      <c r="G81">
        <v>325.69434359799999</v>
      </c>
      <c r="H81">
        <v>325.93309619701103</v>
      </c>
      <c r="I81">
        <v>16000</v>
      </c>
      <c r="N81" t="s">
        <v>792</v>
      </c>
      <c r="O81">
        <v>900.78460132999999</v>
      </c>
      <c r="P81">
        <v>901.55499853801996</v>
      </c>
      <c r="Q81">
        <v>9273.2948479999995</v>
      </c>
      <c r="V81" t="s">
        <v>793</v>
      </c>
      <c r="W81">
        <v>638.97584069699997</v>
      </c>
      <c r="X81">
        <v>639.43944979899902</v>
      </c>
      <c r="Y81">
        <v>16000</v>
      </c>
      <c r="AC81" t="s">
        <v>1097</v>
      </c>
      <c r="AD81" t="s">
        <v>793</v>
      </c>
      <c r="AE81">
        <v>330.61288792699997</v>
      </c>
      <c r="AF81">
        <v>330.912318451999</v>
      </c>
      <c r="AG81">
        <v>16000</v>
      </c>
      <c r="AN81" t="s">
        <v>1097</v>
      </c>
      <c r="AO81" t="s">
        <v>792</v>
      </c>
      <c r="AP81">
        <v>900.76317246099995</v>
      </c>
      <c r="AQ81">
        <v>901.54975994300901</v>
      </c>
      <c r="AR81">
        <v>9273.3071359999994</v>
      </c>
      <c r="AX81" t="s">
        <v>1097</v>
      </c>
      <c r="AY81" t="s">
        <v>793</v>
      </c>
      <c r="AZ81">
        <v>632.80806954599996</v>
      </c>
      <c r="BA81">
        <v>633.35812803701197</v>
      </c>
      <c r="BB81">
        <v>16000</v>
      </c>
      <c r="BQ81" t="s">
        <v>792</v>
      </c>
      <c r="BR81">
        <v>900.88634900399995</v>
      </c>
      <c r="BS81">
        <v>901.69871932099295</v>
      </c>
      <c r="BT81">
        <v>9273.1596800000007</v>
      </c>
      <c r="CA81" t="s">
        <v>792</v>
      </c>
      <c r="CB81">
        <v>900.74309695399995</v>
      </c>
      <c r="CC81">
        <v>901.58518232998904</v>
      </c>
      <c r="CD81">
        <v>9273.1596800000007</v>
      </c>
      <c r="CJ81" t="s">
        <v>792</v>
      </c>
      <c r="CK81">
        <v>900.95796342999995</v>
      </c>
      <c r="CL81">
        <v>901.59968374599703</v>
      </c>
      <c r="CM81">
        <v>9273.2743680000003</v>
      </c>
      <c r="CT81" t="s">
        <v>792</v>
      </c>
      <c r="CU81">
        <v>900.84905214399998</v>
      </c>
      <c r="CV81">
        <v>901.54291633504897</v>
      </c>
      <c r="CW81">
        <v>9273.1596800000007</v>
      </c>
    </row>
    <row r="82" spans="1:101" x14ac:dyDescent="0.2">
      <c r="A82" t="s">
        <v>812</v>
      </c>
      <c r="B82">
        <v>900</v>
      </c>
      <c r="C82">
        <v>5</v>
      </c>
      <c r="D82" t="str">
        <f t="shared" si="2"/>
        <v>ccf8-900-05</v>
      </c>
      <c r="F82" t="s">
        <v>793</v>
      </c>
      <c r="G82">
        <v>330.62804014900001</v>
      </c>
      <c r="H82">
        <v>330.88172528400901</v>
      </c>
      <c r="I82">
        <v>16000</v>
      </c>
      <c r="N82" t="s">
        <v>792</v>
      </c>
      <c r="O82">
        <v>901.09282607399996</v>
      </c>
      <c r="P82">
        <v>901.84319077999601</v>
      </c>
      <c r="Q82">
        <v>15334.289408000001</v>
      </c>
      <c r="V82" t="s">
        <v>793</v>
      </c>
      <c r="W82">
        <v>691.97686771099995</v>
      </c>
      <c r="X82">
        <v>692.54460590599001</v>
      </c>
      <c r="Y82">
        <v>16000</v>
      </c>
      <c r="AC82" t="s">
        <v>1098</v>
      </c>
      <c r="AD82" t="s">
        <v>793</v>
      </c>
      <c r="AE82">
        <v>343.75693908099998</v>
      </c>
      <c r="AF82">
        <v>344.05517374700798</v>
      </c>
      <c r="AG82">
        <v>16000</v>
      </c>
      <c r="AN82" t="s">
        <v>1098</v>
      </c>
      <c r="AO82" t="s">
        <v>793</v>
      </c>
      <c r="AP82">
        <v>894.88880705099996</v>
      </c>
      <c r="AQ82">
        <v>895.85926571200196</v>
      </c>
      <c r="AR82">
        <v>16000</v>
      </c>
      <c r="AX82" t="s">
        <v>1098</v>
      </c>
      <c r="AY82" t="s">
        <v>793</v>
      </c>
      <c r="AZ82">
        <v>694.86688281199997</v>
      </c>
      <c r="BA82">
        <v>695.54433249999397</v>
      </c>
      <c r="BB82">
        <v>16000</v>
      </c>
      <c r="BQ82" t="s">
        <v>793</v>
      </c>
      <c r="BR82">
        <v>896.39838948399995</v>
      </c>
      <c r="BS82">
        <v>897.09541277401104</v>
      </c>
      <c r="BT82">
        <v>16000</v>
      </c>
      <c r="CA82" t="s">
        <v>793</v>
      </c>
      <c r="CB82">
        <v>893.96693688200003</v>
      </c>
      <c r="CC82">
        <v>894.639062469941</v>
      </c>
      <c r="CD82">
        <v>16000</v>
      </c>
      <c r="CJ82" t="s">
        <v>792</v>
      </c>
      <c r="CK82">
        <v>901.21600209099995</v>
      </c>
      <c r="CL82">
        <v>901.90638282697103</v>
      </c>
      <c r="CM82">
        <v>15333.253119999999</v>
      </c>
      <c r="CT82" t="s">
        <v>792</v>
      </c>
      <c r="CU82">
        <v>901.19602035399998</v>
      </c>
      <c r="CV82">
        <v>901.88996215502198</v>
      </c>
      <c r="CW82">
        <v>15333.216256</v>
      </c>
    </row>
    <row r="83" spans="1:101" x14ac:dyDescent="0.2">
      <c r="A83" t="s">
        <v>813</v>
      </c>
      <c r="B83">
        <v>900</v>
      </c>
      <c r="C83">
        <v>5</v>
      </c>
      <c r="D83" t="str">
        <f t="shared" si="2"/>
        <v>ccf9-900-05</v>
      </c>
      <c r="F83" t="s">
        <v>793</v>
      </c>
      <c r="G83">
        <v>259.76121802</v>
      </c>
      <c r="H83">
        <v>259.99930282600599</v>
      </c>
      <c r="I83">
        <v>16000</v>
      </c>
      <c r="N83" t="s">
        <v>792</v>
      </c>
      <c r="O83">
        <v>900.83510638400003</v>
      </c>
      <c r="P83">
        <v>901.52318913998897</v>
      </c>
      <c r="Q83">
        <v>8864.9727999999996</v>
      </c>
      <c r="V83" t="s">
        <v>793</v>
      </c>
      <c r="W83">
        <v>379.29216365500002</v>
      </c>
      <c r="X83">
        <v>379.640383578007</v>
      </c>
      <c r="Y83">
        <v>16000</v>
      </c>
      <c r="AC83" t="s">
        <v>1099</v>
      </c>
      <c r="AD83" t="s">
        <v>793</v>
      </c>
      <c r="AE83">
        <v>259.85812765999998</v>
      </c>
      <c r="AF83">
        <v>260.12582605201101</v>
      </c>
      <c r="AG83">
        <v>16000</v>
      </c>
      <c r="AN83" t="s">
        <v>1099</v>
      </c>
      <c r="AO83" t="s">
        <v>792</v>
      </c>
      <c r="AP83">
        <v>900.75985780099995</v>
      </c>
      <c r="AQ83">
        <v>901.57099065201999</v>
      </c>
      <c r="AR83">
        <v>8864.9113600000001</v>
      </c>
      <c r="AX83" t="s">
        <v>1099</v>
      </c>
      <c r="AY83" t="s">
        <v>793</v>
      </c>
      <c r="AZ83">
        <v>385.05678503399997</v>
      </c>
      <c r="BA83">
        <v>385.58652275899601</v>
      </c>
      <c r="BB83">
        <v>16000</v>
      </c>
      <c r="BQ83" t="s">
        <v>792</v>
      </c>
      <c r="BR83">
        <v>900.46880010999996</v>
      </c>
      <c r="BS83">
        <v>901.46618220501102</v>
      </c>
      <c r="BT83">
        <v>8864.9687040000008</v>
      </c>
      <c r="CA83" t="s">
        <v>792</v>
      </c>
      <c r="CB83">
        <v>900.77368748200001</v>
      </c>
      <c r="CC83">
        <v>901.45152293099</v>
      </c>
      <c r="CD83">
        <v>8864.9482239999998</v>
      </c>
      <c r="CJ83" t="s">
        <v>792</v>
      </c>
      <c r="CK83">
        <v>900.775195532</v>
      </c>
      <c r="CL83">
        <v>901.44653620698898</v>
      </c>
      <c r="CM83">
        <v>8864.9031680000007</v>
      </c>
      <c r="CT83" t="s">
        <v>792</v>
      </c>
      <c r="CU83">
        <v>900.81715793199999</v>
      </c>
      <c r="CV83">
        <v>901.47351841104603</v>
      </c>
      <c r="CW83">
        <v>8865.0137599999998</v>
      </c>
    </row>
    <row r="84" spans="1:101" x14ac:dyDescent="0.2">
      <c r="A84" t="s">
        <v>805</v>
      </c>
      <c r="B84">
        <v>1000</v>
      </c>
      <c r="C84">
        <v>5</v>
      </c>
      <c r="D84" t="str">
        <f t="shared" si="2"/>
        <v>ccf1-1000-05</v>
      </c>
      <c r="F84" t="s">
        <v>793</v>
      </c>
      <c r="G84">
        <v>308.02401645700002</v>
      </c>
      <c r="H84">
        <v>308.32772048699502</v>
      </c>
      <c r="I84">
        <v>16000</v>
      </c>
      <c r="N84" t="s">
        <v>792</v>
      </c>
      <c r="O84">
        <v>901.13402456200004</v>
      </c>
      <c r="P84">
        <v>901.858429815009</v>
      </c>
      <c r="Q84">
        <v>15148.68736</v>
      </c>
      <c r="V84" t="s">
        <v>793</v>
      </c>
      <c r="W84">
        <v>439.60793077400001</v>
      </c>
      <c r="X84">
        <v>439.96414996699599</v>
      </c>
      <c r="Y84">
        <v>16000</v>
      </c>
      <c r="AC84" t="s">
        <v>1100</v>
      </c>
      <c r="AD84" t="s">
        <v>793</v>
      </c>
      <c r="AE84">
        <v>306.28426618100002</v>
      </c>
      <c r="AF84">
        <v>306.61285422800501</v>
      </c>
      <c r="AG84">
        <v>16000</v>
      </c>
      <c r="AN84" t="s">
        <v>1100</v>
      </c>
      <c r="AO84" t="s">
        <v>792</v>
      </c>
      <c r="AP84">
        <v>901.26325517400005</v>
      </c>
      <c r="AQ84">
        <v>901.90015550598002</v>
      </c>
      <c r="AR84">
        <v>15148.630015999999</v>
      </c>
      <c r="AX84" t="s">
        <v>1100</v>
      </c>
      <c r="AY84" t="s">
        <v>793</v>
      </c>
      <c r="AZ84">
        <v>441.763427611</v>
      </c>
      <c r="BA84">
        <v>442.120694974</v>
      </c>
      <c r="BB84">
        <v>16000</v>
      </c>
      <c r="BQ84" t="s">
        <v>792</v>
      </c>
      <c r="BR84">
        <v>901.07411181700002</v>
      </c>
      <c r="BS84">
        <v>901.85787374398205</v>
      </c>
      <c r="BT84">
        <v>15148.597248</v>
      </c>
      <c r="CA84" t="s">
        <v>792</v>
      </c>
      <c r="CB84">
        <v>900.84851188799996</v>
      </c>
      <c r="CC84">
        <v>901.97195812908399</v>
      </c>
      <c r="CD84">
        <v>15149.203455999999</v>
      </c>
      <c r="CJ84" t="s">
        <v>792</v>
      </c>
      <c r="CK84">
        <v>901.13111312199999</v>
      </c>
      <c r="CL84">
        <v>901.827655173023</v>
      </c>
      <c r="CM84">
        <v>15148.580864</v>
      </c>
      <c r="CT84" t="s">
        <v>792</v>
      </c>
      <c r="CU84">
        <v>901.25119069100003</v>
      </c>
      <c r="CV84">
        <v>901.82860528794095</v>
      </c>
      <c r="CW84">
        <v>15148.597248</v>
      </c>
    </row>
    <row r="85" spans="1:101" x14ac:dyDescent="0.2">
      <c r="A85" t="s">
        <v>806</v>
      </c>
      <c r="B85">
        <v>1000</v>
      </c>
      <c r="C85">
        <v>5</v>
      </c>
      <c r="D85" t="str">
        <f t="shared" si="2"/>
        <v>ccf2-1000-05</v>
      </c>
      <c r="F85" t="s">
        <v>793</v>
      </c>
      <c r="G85">
        <v>319.53061461599998</v>
      </c>
      <c r="H85">
        <v>319.77860361699999</v>
      </c>
      <c r="I85">
        <v>16000</v>
      </c>
      <c r="N85" t="s">
        <v>793</v>
      </c>
      <c r="O85">
        <v>628.07786600099996</v>
      </c>
      <c r="P85">
        <v>628.53098843002203</v>
      </c>
      <c r="Q85">
        <v>16000</v>
      </c>
      <c r="V85" t="s">
        <v>793</v>
      </c>
      <c r="W85">
        <v>310.46957903399999</v>
      </c>
      <c r="X85">
        <v>310.68024189201202</v>
      </c>
      <c r="Y85">
        <v>16000</v>
      </c>
      <c r="AC85" t="s">
        <v>1101</v>
      </c>
      <c r="AD85" t="s">
        <v>793</v>
      </c>
      <c r="AE85">
        <v>321.82699595700001</v>
      </c>
      <c r="AF85">
        <v>322.13336304100801</v>
      </c>
      <c r="AG85">
        <v>16000</v>
      </c>
      <c r="AN85" t="s">
        <v>1101</v>
      </c>
      <c r="AO85" t="s">
        <v>793</v>
      </c>
      <c r="AP85">
        <v>632.77765777299999</v>
      </c>
      <c r="AQ85">
        <v>633.257207052985</v>
      </c>
      <c r="AR85">
        <v>16000</v>
      </c>
      <c r="AX85" t="s">
        <v>1101</v>
      </c>
      <c r="AY85" t="s">
        <v>793</v>
      </c>
      <c r="AZ85">
        <v>311.88032048899998</v>
      </c>
      <c r="BA85">
        <v>312.10665038801301</v>
      </c>
      <c r="BB85">
        <v>16000</v>
      </c>
      <c r="BQ85" t="s">
        <v>793</v>
      </c>
      <c r="BR85">
        <v>599.95931244099995</v>
      </c>
      <c r="BS85">
        <v>601.32552322599804</v>
      </c>
      <c r="BT85">
        <v>16000</v>
      </c>
      <c r="CA85" t="s">
        <v>793</v>
      </c>
      <c r="CB85">
        <v>604.42045320600005</v>
      </c>
      <c r="CC85">
        <v>604.78148109104905</v>
      </c>
      <c r="CD85">
        <v>16000</v>
      </c>
      <c r="CJ85" t="s">
        <v>793</v>
      </c>
      <c r="CK85">
        <v>601.03235295900004</v>
      </c>
      <c r="CL85">
        <v>601.39984781900398</v>
      </c>
      <c r="CM85">
        <v>16000</v>
      </c>
      <c r="CT85" t="s">
        <v>793</v>
      </c>
      <c r="CU85">
        <v>603.188609617</v>
      </c>
      <c r="CV85">
        <v>603.81498266500398</v>
      </c>
      <c r="CW85">
        <v>16000</v>
      </c>
    </row>
    <row r="86" spans="1:101" x14ac:dyDescent="0.2">
      <c r="A86" t="s">
        <v>807</v>
      </c>
      <c r="B86">
        <v>1000</v>
      </c>
      <c r="C86">
        <v>5</v>
      </c>
      <c r="D86" t="str">
        <f t="shared" si="2"/>
        <v>ccf3-1000-05</v>
      </c>
      <c r="F86" t="s">
        <v>793</v>
      </c>
      <c r="G86">
        <v>413.78071520399999</v>
      </c>
      <c r="H86">
        <v>414.11067578699999</v>
      </c>
      <c r="I86">
        <v>16000</v>
      </c>
      <c r="N86" t="s">
        <v>793</v>
      </c>
      <c r="O86">
        <v>863.79824334199998</v>
      </c>
      <c r="P86">
        <v>864.38836205599296</v>
      </c>
      <c r="Q86">
        <v>16000</v>
      </c>
      <c r="V86" t="s">
        <v>793</v>
      </c>
      <c r="W86">
        <v>299.92422145799998</v>
      </c>
      <c r="X86">
        <v>300.19722589199898</v>
      </c>
      <c r="Y86">
        <v>16000</v>
      </c>
      <c r="AC86" t="s">
        <v>1102</v>
      </c>
      <c r="AD86" t="s">
        <v>793</v>
      </c>
      <c r="AE86">
        <v>419.72427243300001</v>
      </c>
      <c r="AF86">
        <v>420.17174039199</v>
      </c>
      <c r="AG86">
        <v>16000</v>
      </c>
      <c r="AN86" t="s">
        <v>1102</v>
      </c>
      <c r="AO86" t="s">
        <v>793</v>
      </c>
      <c r="AP86">
        <v>866.09138455499999</v>
      </c>
      <c r="AQ86">
        <v>866.65027397297604</v>
      </c>
      <c r="AR86">
        <v>16000</v>
      </c>
      <c r="AX86" t="s">
        <v>1102</v>
      </c>
      <c r="AY86" t="s">
        <v>793</v>
      </c>
      <c r="AZ86">
        <v>298.54472572100002</v>
      </c>
      <c r="BA86">
        <v>298.76255464699301</v>
      </c>
      <c r="BB86">
        <v>16000</v>
      </c>
      <c r="BQ86" t="s">
        <v>793</v>
      </c>
      <c r="BR86">
        <v>790.39907354699994</v>
      </c>
      <c r="BS86">
        <v>790.82470608199901</v>
      </c>
      <c r="BT86">
        <v>16000</v>
      </c>
      <c r="CA86" t="s">
        <v>793</v>
      </c>
      <c r="CB86">
        <v>794.25507397800004</v>
      </c>
      <c r="CC86">
        <v>794.68620768899495</v>
      </c>
      <c r="CD86">
        <v>16000</v>
      </c>
      <c r="CJ86" t="s">
        <v>793</v>
      </c>
      <c r="CK86">
        <v>796.44290329</v>
      </c>
      <c r="CL86">
        <v>796.84294103097602</v>
      </c>
      <c r="CM86">
        <v>16000</v>
      </c>
      <c r="CT86" t="s">
        <v>793</v>
      </c>
      <c r="CU86">
        <v>787.30386515600003</v>
      </c>
      <c r="CV86">
        <v>787.68855972995505</v>
      </c>
      <c r="CW86">
        <v>16000</v>
      </c>
    </row>
    <row r="87" spans="1:101" x14ac:dyDescent="0.2">
      <c r="A87" t="s">
        <v>808</v>
      </c>
      <c r="B87">
        <v>1000</v>
      </c>
      <c r="C87">
        <v>5</v>
      </c>
      <c r="D87" t="str">
        <f t="shared" si="2"/>
        <v>ccf4-1000-05</v>
      </c>
      <c r="F87" t="s">
        <v>793</v>
      </c>
      <c r="G87">
        <v>241.749887038</v>
      </c>
      <c r="H87">
        <v>242.035453553005</v>
      </c>
      <c r="I87">
        <v>16000</v>
      </c>
      <c r="N87" t="s">
        <v>793</v>
      </c>
      <c r="O87">
        <v>849.412256673</v>
      </c>
      <c r="P87">
        <v>850.003822711005</v>
      </c>
      <c r="Q87">
        <v>16000</v>
      </c>
      <c r="V87" t="s">
        <v>793</v>
      </c>
      <c r="W87">
        <v>310.32112483700001</v>
      </c>
      <c r="X87">
        <v>310.53330287498801</v>
      </c>
      <c r="Y87">
        <v>16000</v>
      </c>
      <c r="AC87" t="s">
        <v>1103</v>
      </c>
      <c r="AD87" t="s">
        <v>793</v>
      </c>
      <c r="AE87">
        <v>242.12432923599999</v>
      </c>
      <c r="AF87">
        <v>242.391606443998</v>
      </c>
      <c r="AG87">
        <v>16000</v>
      </c>
      <c r="AN87" t="s">
        <v>1103</v>
      </c>
      <c r="AO87" t="s">
        <v>793</v>
      </c>
      <c r="AP87">
        <v>849.96104164099995</v>
      </c>
      <c r="AQ87">
        <v>850.68264416098805</v>
      </c>
      <c r="AR87">
        <v>16000</v>
      </c>
      <c r="AX87" t="s">
        <v>1103</v>
      </c>
      <c r="AY87" t="s">
        <v>793</v>
      </c>
      <c r="AZ87">
        <v>309.507880027</v>
      </c>
      <c r="BA87">
        <v>309.73620977599001</v>
      </c>
      <c r="BB87">
        <v>16000</v>
      </c>
      <c r="BQ87" t="s">
        <v>793</v>
      </c>
      <c r="BR87">
        <v>823.88758402899998</v>
      </c>
      <c r="BS87">
        <v>825.11051595199297</v>
      </c>
      <c r="BT87">
        <v>16000</v>
      </c>
      <c r="CA87" t="s">
        <v>793</v>
      </c>
      <c r="CB87">
        <v>822.18682122400003</v>
      </c>
      <c r="CC87">
        <v>822.67184670094798</v>
      </c>
      <c r="CD87">
        <v>16000</v>
      </c>
      <c r="CJ87" t="s">
        <v>793</v>
      </c>
      <c r="CK87">
        <v>842.54192241800001</v>
      </c>
      <c r="CL87">
        <v>843.05683870101302</v>
      </c>
      <c r="CM87">
        <v>16000</v>
      </c>
      <c r="CT87" t="s">
        <v>793</v>
      </c>
      <c r="CU87">
        <v>841.72705930699999</v>
      </c>
      <c r="CV87">
        <v>842.30830435908797</v>
      </c>
      <c r="CW87">
        <v>16000</v>
      </c>
    </row>
    <row r="88" spans="1:101" x14ac:dyDescent="0.2">
      <c r="A88" t="s">
        <v>809</v>
      </c>
      <c r="B88">
        <v>1000</v>
      </c>
      <c r="C88">
        <v>5</v>
      </c>
      <c r="D88" t="str">
        <f t="shared" si="2"/>
        <v>ccf5-1000-05</v>
      </c>
      <c r="F88" t="s">
        <v>793</v>
      </c>
      <c r="G88">
        <v>235.47048372899999</v>
      </c>
      <c r="H88">
        <v>235.72283694198899</v>
      </c>
      <c r="I88">
        <v>16000</v>
      </c>
      <c r="N88" t="s">
        <v>792</v>
      </c>
      <c r="O88">
        <v>901.21532607500001</v>
      </c>
      <c r="P88">
        <v>901.92327754601104</v>
      </c>
      <c r="Q88">
        <v>15091.232768</v>
      </c>
      <c r="V88" t="s">
        <v>793</v>
      </c>
      <c r="W88">
        <v>320.44184673500001</v>
      </c>
      <c r="X88">
        <v>320.71841773300503</v>
      </c>
      <c r="Y88">
        <v>16000</v>
      </c>
      <c r="AC88" t="s">
        <v>1104</v>
      </c>
      <c r="AD88" t="s">
        <v>793</v>
      </c>
      <c r="AE88">
        <v>234.640918658</v>
      </c>
      <c r="AF88">
        <v>234.92349180902201</v>
      </c>
      <c r="AG88">
        <v>16000</v>
      </c>
      <c r="AN88" t="s">
        <v>1104</v>
      </c>
      <c r="AO88" t="s">
        <v>792</v>
      </c>
      <c r="AP88">
        <v>901.19004537399996</v>
      </c>
      <c r="AQ88">
        <v>901.90542494098099</v>
      </c>
      <c r="AR88">
        <v>15094.214656</v>
      </c>
      <c r="AX88" t="s">
        <v>1104</v>
      </c>
      <c r="AY88" t="s">
        <v>793</v>
      </c>
      <c r="AZ88">
        <v>322.56121876399999</v>
      </c>
      <c r="BA88">
        <v>322.87219182500797</v>
      </c>
      <c r="BB88">
        <v>16000</v>
      </c>
      <c r="BQ88" t="s">
        <v>792</v>
      </c>
      <c r="BR88">
        <v>901.10950768999999</v>
      </c>
      <c r="BS88">
        <v>901.79934820800497</v>
      </c>
      <c r="BT88">
        <v>15097.708543999999</v>
      </c>
      <c r="CA88" t="s">
        <v>792</v>
      </c>
      <c r="CB88">
        <v>901.18159536200005</v>
      </c>
      <c r="CC88">
        <v>901.77483706397402</v>
      </c>
      <c r="CD88">
        <v>15098.53184</v>
      </c>
      <c r="CJ88" t="s">
        <v>792</v>
      </c>
      <c r="CK88">
        <v>901.24483807700005</v>
      </c>
      <c r="CL88">
        <v>901.78394776990103</v>
      </c>
      <c r="CM88">
        <v>15099.715584</v>
      </c>
      <c r="CT88" t="s">
        <v>792</v>
      </c>
      <c r="CU88">
        <v>901.18100692600001</v>
      </c>
      <c r="CV88">
        <v>901.78278693696404</v>
      </c>
      <c r="CW88">
        <v>15099.088895999999</v>
      </c>
    </row>
    <row r="89" spans="1:101" x14ac:dyDescent="0.2">
      <c r="A89" t="s">
        <v>810</v>
      </c>
      <c r="B89">
        <v>1000</v>
      </c>
      <c r="C89">
        <v>5</v>
      </c>
      <c r="D89" t="str">
        <f t="shared" si="2"/>
        <v>ccf6-1000-05</v>
      </c>
      <c r="F89" t="s">
        <v>793</v>
      </c>
      <c r="G89">
        <v>265.83169074400001</v>
      </c>
      <c r="H89">
        <v>266.15002433699499</v>
      </c>
      <c r="I89">
        <v>16000</v>
      </c>
      <c r="N89" t="s">
        <v>792</v>
      </c>
      <c r="O89">
        <v>901.10027759499997</v>
      </c>
      <c r="P89">
        <v>901.85580355799095</v>
      </c>
      <c r="Q89">
        <v>15330.701311999999</v>
      </c>
      <c r="V89" t="s">
        <v>793</v>
      </c>
      <c r="W89">
        <v>304.059398515</v>
      </c>
      <c r="X89">
        <v>304.293130789999</v>
      </c>
      <c r="Y89">
        <v>16000</v>
      </c>
      <c r="AC89" t="s">
        <v>1105</v>
      </c>
      <c r="AD89" t="s">
        <v>793</v>
      </c>
      <c r="AE89">
        <v>247.617721007</v>
      </c>
      <c r="AF89">
        <v>247.869281895022</v>
      </c>
      <c r="AG89">
        <v>16000</v>
      </c>
      <c r="AN89" t="s">
        <v>1105</v>
      </c>
      <c r="AO89" t="s">
        <v>792</v>
      </c>
      <c r="AP89">
        <v>901.03419805800002</v>
      </c>
      <c r="AQ89">
        <v>901.85833697699104</v>
      </c>
      <c r="AR89">
        <v>15324.725248000001</v>
      </c>
      <c r="AX89" t="s">
        <v>1105</v>
      </c>
      <c r="AY89" t="s">
        <v>793</v>
      </c>
      <c r="AZ89">
        <v>314.39342956799999</v>
      </c>
      <c r="BA89">
        <v>314.75481341898501</v>
      </c>
      <c r="BB89">
        <v>16000</v>
      </c>
      <c r="BQ89" t="s">
        <v>792</v>
      </c>
      <c r="BR89">
        <v>901.086158297</v>
      </c>
      <c r="BS89">
        <v>902.10418807301903</v>
      </c>
      <c r="BT89">
        <v>15325.126656</v>
      </c>
      <c r="CA89" t="s">
        <v>792</v>
      </c>
      <c r="CB89">
        <v>901.07510883600003</v>
      </c>
      <c r="CC89">
        <v>901.84600219503</v>
      </c>
      <c r="CD89">
        <v>15324.610559999999</v>
      </c>
      <c r="CJ89" t="s">
        <v>792</v>
      </c>
      <c r="CK89">
        <v>901.13267968599996</v>
      </c>
      <c r="CL89">
        <v>901.82230896397903</v>
      </c>
      <c r="CM89">
        <v>15336.751104000001</v>
      </c>
      <c r="CT89" t="s">
        <v>792</v>
      </c>
      <c r="CU89">
        <v>901.24455299800002</v>
      </c>
      <c r="CV89">
        <v>901.82646195299401</v>
      </c>
      <c r="CW89">
        <v>15336.534016</v>
      </c>
    </row>
    <row r="90" spans="1:101" x14ac:dyDescent="0.2">
      <c r="A90" t="s">
        <v>811</v>
      </c>
      <c r="B90">
        <v>1000</v>
      </c>
      <c r="C90">
        <v>5</v>
      </c>
      <c r="D90" t="str">
        <f t="shared" si="2"/>
        <v>ccf7-1000-05</v>
      </c>
      <c r="F90" t="s">
        <v>793</v>
      </c>
      <c r="G90">
        <v>296.865441879</v>
      </c>
      <c r="H90">
        <v>297.103836342997</v>
      </c>
      <c r="I90">
        <v>16000</v>
      </c>
      <c r="N90" t="s">
        <v>792</v>
      </c>
      <c r="O90">
        <v>900.958235876</v>
      </c>
      <c r="P90">
        <v>901.74251064701798</v>
      </c>
      <c r="Q90">
        <v>15272.030208</v>
      </c>
      <c r="V90" t="s">
        <v>793</v>
      </c>
      <c r="W90">
        <v>222.460107368</v>
      </c>
      <c r="X90">
        <v>222.71129644899301</v>
      </c>
      <c r="Y90">
        <v>16000</v>
      </c>
      <c r="AC90" t="s">
        <v>1106</v>
      </c>
      <c r="AD90" t="s">
        <v>793</v>
      </c>
      <c r="AE90">
        <v>304.76653016199998</v>
      </c>
      <c r="AF90">
        <v>305.06724038897602</v>
      </c>
      <c r="AG90">
        <v>16000</v>
      </c>
      <c r="AN90" t="s">
        <v>1106</v>
      </c>
      <c r="AO90" t="s">
        <v>792</v>
      </c>
      <c r="AP90">
        <v>901.03142377699999</v>
      </c>
      <c r="AQ90">
        <v>901.84233312201104</v>
      </c>
      <c r="AR90">
        <v>15272.034304000001</v>
      </c>
      <c r="AX90" t="s">
        <v>1106</v>
      </c>
      <c r="AY90" t="s">
        <v>793</v>
      </c>
      <c r="AZ90">
        <v>228.69528067600001</v>
      </c>
      <c r="BA90">
        <v>228.90606669301599</v>
      </c>
      <c r="BB90">
        <v>16000</v>
      </c>
      <c r="BQ90" t="s">
        <v>792</v>
      </c>
      <c r="BR90">
        <v>901.20562091800002</v>
      </c>
      <c r="BS90">
        <v>901.85298748395803</v>
      </c>
      <c r="BT90">
        <v>15277.096960000001</v>
      </c>
      <c r="CA90" t="s">
        <v>792</v>
      </c>
      <c r="CB90">
        <v>901.21685871199998</v>
      </c>
      <c r="CC90">
        <v>901.78447712398997</v>
      </c>
      <c r="CD90">
        <v>15278.112768000001</v>
      </c>
      <c r="CJ90" t="s">
        <v>792</v>
      </c>
      <c r="CK90">
        <v>901.13668563299996</v>
      </c>
      <c r="CL90">
        <v>901.80865689506697</v>
      </c>
      <c r="CM90">
        <v>15276.863488000001</v>
      </c>
      <c r="CT90" t="s">
        <v>792</v>
      </c>
      <c r="CU90">
        <v>901.167391888</v>
      </c>
      <c r="CV90">
        <v>901.82775688997901</v>
      </c>
      <c r="CW90">
        <v>15276.457984000001</v>
      </c>
    </row>
    <row r="91" spans="1:101" x14ac:dyDescent="0.2">
      <c r="A91" t="s">
        <v>812</v>
      </c>
      <c r="B91">
        <v>1000</v>
      </c>
      <c r="C91">
        <v>5</v>
      </c>
      <c r="D91" t="str">
        <f t="shared" si="2"/>
        <v>ccf8-1000-05</v>
      </c>
      <c r="F91" t="s">
        <v>793</v>
      </c>
      <c r="G91">
        <v>295.202724128</v>
      </c>
      <c r="H91">
        <v>295.43364463100397</v>
      </c>
      <c r="I91">
        <v>16000</v>
      </c>
      <c r="N91" t="s">
        <v>792</v>
      </c>
      <c r="O91">
        <v>901.07010964899996</v>
      </c>
      <c r="P91">
        <v>901.80031854499202</v>
      </c>
      <c r="Q91">
        <v>15088.021504</v>
      </c>
      <c r="V91" t="s">
        <v>793</v>
      </c>
      <c r="W91">
        <v>222.22538764800001</v>
      </c>
      <c r="X91">
        <v>222.47737163299399</v>
      </c>
      <c r="Y91">
        <v>16000</v>
      </c>
      <c r="AC91" t="s">
        <v>1107</v>
      </c>
      <c r="AD91" t="s">
        <v>793</v>
      </c>
      <c r="AE91">
        <v>304.89573966799998</v>
      </c>
      <c r="AF91">
        <v>305.17846339798399</v>
      </c>
      <c r="AG91">
        <v>16000</v>
      </c>
      <c r="AN91" t="s">
        <v>1107</v>
      </c>
      <c r="AO91" t="s">
        <v>792</v>
      </c>
      <c r="AP91">
        <v>900.87143034400003</v>
      </c>
      <c r="AQ91">
        <v>901.84012131698501</v>
      </c>
      <c r="AR91">
        <v>15088.009216</v>
      </c>
      <c r="AX91" t="s">
        <v>1107</v>
      </c>
      <c r="AY91" t="s">
        <v>793</v>
      </c>
      <c r="AZ91">
        <v>228.71198319999999</v>
      </c>
      <c r="BA91">
        <v>229.07341438200001</v>
      </c>
      <c r="BB91">
        <v>16000</v>
      </c>
      <c r="BQ91" t="s">
        <v>792</v>
      </c>
      <c r="BR91">
        <v>901.05287321900005</v>
      </c>
      <c r="BS91">
        <v>901.91850406594995</v>
      </c>
      <c r="BT91">
        <v>15087.923199999999</v>
      </c>
      <c r="CA91" t="s">
        <v>792</v>
      </c>
      <c r="CB91">
        <v>901.01009234599996</v>
      </c>
      <c r="CC91">
        <v>901.80639425490494</v>
      </c>
      <c r="CD91">
        <v>15087.955968</v>
      </c>
      <c r="CJ91" t="s">
        <v>792</v>
      </c>
      <c r="CK91">
        <v>901.22147322499995</v>
      </c>
      <c r="CL91">
        <v>901.85178216092697</v>
      </c>
      <c r="CM91">
        <v>15088.013311999999</v>
      </c>
      <c r="CT91" t="s">
        <v>792</v>
      </c>
      <c r="CU91">
        <v>901.08969909200005</v>
      </c>
      <c r="CV91">
        <v>901.81567699601806</v>
      </c>
      <c r="CW91">
        <v>15088.017408</v>
      </c>
    </row>
    <row r="92" spans="1:101" x14ac:dyDescent="0.2">
      <c r="A92" t="s">
        <v>813</v>
      </c>
      <c r="B92">
        <v>1000</v>
      </c>
      <c r="C92">
        <v>5</v>
      </c>
      <c r="D92" t="str">
        <f t="shared" si="2"/>
        <v>ccf9-1000-05</v>
      </c>
      <c r="F92" t="s">
        <v>793</v>
      </c>
      <c r="G92">
        <v>234.496312139</v>
      </c>
      <c r="H92">
        <v>234.67604541900801</v>
      </c>
      <c r="I92">
        <v>16000</v>
      </c>
      <c r="N92" t="s">
        <v>792</v>
      </c>
      <c r="O92">
        <v>901.08310796299997</v>
      </c>
      <c r="P92">
        <v>901.88132409899799</v>
      </c>
      <c r="Q92">
        <v>15393.574912</v>
      </c>
      <c r="V92" t="s">
        <v>793</v>
      </c>
      <c r="W92">
        <v>318.184676604</v>
      </c>
      <c r="X92">
        <v>318.45121128199298</v>
      </c>
      <c r="Y92">
        <v>16000</v>
      </c>
      <c r="AC92" t="s">
        <v>1108</v>
      </c>
      <c r="AD92" t="s">
        <v>793</v>
      </c>
      <c r="AE92">
        <v>220.04364314599999</v>
      </c>
      <c r="AF92">
        <v>220.31758718698899</v>
      </c>
      <c r="AG92">
        <v>16000</v>
      </c>
      <c r="AN92" t="s">
        <v>1108</v>
      </c>
      <c r="AO92" t="s">
        <v>792</v>
      </c>
      <c r="AP92">
        <v>901.20520799200006</v>
      </c>
      <c r="AQ92">
        <v>901.91771175200097</v>
      </c>
      <c r="AR92">
        <v>15393.538048</v>
      </c>
      <c r="AX92" t="s">
        <v>1108</v>
      </c>
      <c r="AY92" t="s">
        <v>793</v>
      </c>
      <c r="AZ92">
        <v>295.82699050100001</v>
      </c>
      <c r="BA92">
        <v>296.16867207400998</v>
      </c>
      <c r="BB92">
        <v>16000</v>
      </c>
      <c r="BQ92" t="s">
        <v>792</v>
      </c>
      <c r="BR92">
        <v>901.18744054000001</v>
      </c>
      <c r="BS92">
        <v>901.86334996600601</v>
      </c>
      <c r="BT92">
        <v>15393.517567999999</v>
      </c>
      <c r="CA92" t="s">
        <v>792</v>
      </c>
      <c r="CB92">
        <v>901.25533359999997</v>
      </c>
      <c r="CC92">
        <v>901.79934980301095</v>
      </c>
      <c r="CD92">
        <v>15393.505279999999</v>
      </c>
      <c r="CJ92" t="s">
        <v>792</v>
      </c>
      <c r="CK92">
        <v>901.09025604700003</v>
      </c>
      <c r="CL92">
        <v>901.84096767602</v>
      </c>
      <c r="CM92">
        <v>15393.513472000001</v>
      </c>
      <c r="CT92" t="s">
        <v>792</v>
      </c>
      <c r="CU92">
        <v>901.06558106800003</v>
      </c>
      <c r="CV92">
        <v>901.79996228089999</v>
      </c>
      <c r="CW92">
        <v>15393.591296000001</v>
      </c>
    </row>
  </sheetData>
  <sortState xmlns:xlrd2="http://schemas.microsoft.com/office/spreadsheetml/2017/richdata2" ref="A4:BB92">
    <sortCondition ref="B3:B92"/>
  </sortState>
  <mergeCells count="7">
    <mergeCell ref="BQ1:BX1"/>
    <mergeCell ref="CA1:CH1"/>
    <mergeCell ref="CJ1:CQ1"/>
    <mergeCell ref="CS1:CZ1"/>
    <mergeCell ref="F1:L1"/>
    <mergeCell ref="N1:T1"/>
    <mergeCell ref="V1:AB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9034B-8F4B-4F94-9EA6-117075DB4A60}">
  <dimension ref="A1:K91"/>
  <sheetViews>
    <sheetView topLeftCell="A54" workbookViewId="0">
      <selection activeCell="F30" sqref="F30"/>
    </sheetView>
  </sheetViews>
  <sheetFormatPr baseColWidth="10" defaultColWidth="8.83203125" defaultRowHeight="15" x14ac:dyDescent="0.2"/>
  <cols>
    <col min="1" max="1" width="12" customWidth="1"/>
    <col min="3" max="3" width="15.1640625" bestFit="1" customWidth="1"/>
    <col min="8" max="8" width="11.33203125" customWidth="1"/>
  </cols>
  <sheetData>
    <row r="1" spans="1:11" x14ac:dyDescent="0.2">
      <c r="A1" t="s">
        <v>1109</v>
      </c>
      <c r="B1" t="s">
        <v>1015</v>
      </c>
      <c r="C1" t="s">
        <v>1017</v>
      </c>
      <c r="D1" t="s">
        <v>831</v>
      </c>
      <c r="H1" t="s">
        <v>1109</v>
      </c>
      <c r="I1" t="s">
        <v>1016</v>
      </c>
      <c r="J1" t="s">
        <v>830</v>
      </c>
      <c r="K1" t="s">
        <v>1018</v>
      </c>
    </row>
    <row r="2" spans="1:11" x14ac:dyDescent="0.2">
      <c r="A2" t="s">
        <v>1019</v>
      </c>
      <c r="B2">
        <v>0.112576778</v>
      </c>
      <c r="C2">
        <v>0.11676247300000001</v>
      </c>
      <c r="D2">
        <v>0.102610805</v>
      </c>
      <c r="H2" t="s">
        <v>1019</v>
      </c>
      <c r="I2">
        <v>6.3283199999999997</v>
      </c>
      <c r="J2">
        <v>6.1972480000000001</v>
      </c>
      <c r="K2">
        <v>6.1931520000000004</v>
      </c>
    </row>
    <row r="3" spans="1:11" x14ac:dyDescent="0.2">
      <c r="A3" t="s">
        <v>1020</v>
      </c>
      <c r="B3">
        <v>2.84156977</v>
      </c>
      <c r="C3">
        <v>3.1006338119999999</v>
      </c>
      <c r="D3">
        <v>2.8968663480000001</v>
      </c>
      <c r="H3" t="s">
        <v>1020</v>
      </c>
      <c r="I3">
        <v>6.6969599999999998</v>
      </c>
      <c r="J3">
        <v>6.5986560000000001</v>
      </c>
      <c r="K3">
        <v>6.5617919999999996</v>
      </c>
    </row>
    <row r="4" spans="1:11" x14ac:dyDescent="0.2">
      <c r="A4" t="s">
        <v>1021</v>
      </c>
      <c r="B4">
        <v>48.333348209999997</v>
      </c>
      <c r="C4">
        <v>49.136650009</v>
      </c>
      <c r="D4">
        <v>48.459245586999998</v>
      </c>
      <c r="H4" t="s">
        <v>1021</v>
      </c>
      <c r="I4">
        <v>6.9918719999999999</v>
      </c>
      <c r="J4">
        <v>6.8567039999999997</v>
      </c>
      <c r="K4">
        <v>6.9017600000000003</v>
      </c>
    </row>
    <row r="5" spans="1:11" x14ac:dyDescent="0.2">
      <c r="A5" t="s">
        <v>1022</v>
      </c>
      <c r="B5">
        <v>901.00027503900003</v>
      </c>
      <c r="C5">
        <v>901.00157390100003</v>
      </c>
      <c r="D5">
        <v>901.002709106</v>
      </c>
      <c r="H5" t="s">
        <v>1022</v>
      </c>
      <c r="I5">
        <v>7.3236480000000004</v>
      </c>
      <c r="J5">
        <v>7.254016</v>
      </c>
      <c r="K5">
        <v>7.254016</v>
      </c>
    </row>
    <row r="6" spans="1:11" x14ac:dyDescent="0.2">
      <c r="A6" t="s">
        <v>1023</v>
      </c>
      <c r="B6">
        <v>901.00263383100003</v>
      </c>
      <c r="C6">
        <v>901.00181766000003</v>
      </c>
      <c r="D6">
        <v>900.99725093200004</v>
      </c>
      <c r="H6" t="s">
        <v>1023</v>
      </c>
      <c r="I6">
        <v>7.9134719999999996</v>
      </c>
      <c r="J6">
        <v>7.5161600000000002</v>
      </c>
      <c r="K6">
        <v>7.5980800000000004</v>
      </c>
    </row>
    <row r="7" spans="1:11" x14ac:dyDescent="0.2">
      <c r="A7" t="s">
        <v>1024</v>
      </c>
      <c r="B7">
        <v>900.46385791399996</v>
      </c>
      <c r="C7">
        <v>900.606204617</v>
      </c>
      <c r="D7">
        <v>900.62724787299999</v>
      </c>
      <c r="H7" t="s">
        <v>1024</v>
      </c>
      <c r="I7">
        <v>8.3722239999999992</v>
      </c>
      <c r="J7">
        <v>7.9175680000000002</v>
      </c>
      <c r="K7">
        <v>7.9134719999999996</v>
      </c>
    </row>
    <row r="8" spans="1:11" x14ac:dyDescent="0.2">
      <c r="A8" t="s">
        <v>1025</v>
      </c>
      <c r="B8">
        <v>900.317365827</v>
      </c>
      <c r="C8">
        <v>900.57390462900003</v>
      </c>
      <c r="D8">
        <v>900.587552964</v>
      </c>
      <c r="H8" t="s">
        <v>1025</v>
      </c>
      <c r="I8">
        <v>8.8268799999999992</v>
      </c>
      <c r="J8">
        <v>8.4746240000000004</v>
      </c>
      <c r="K8">
        <v>8.5278720000000003</v>
      </c>
    </row>
    <row r="9" spans="1:11" x14ac:dyDescent="0.2">
      <c r="A9" t="s">
        <v>1026</v>
      </c>
      <c r="B9">
        <v>900.56415408700002</v>
      </c>
      <c r="C9">
        <v>900.55980494400001</v>
      </c>
      <c r="D9">
        <v>900.593005221</v>
      </c>
      <c r="H9" t="s">
        <v>1026</v>
      </c>
      <c r="I9">
        <v>10.018815999999999</v>
      </c>
      <c r="J9">
        <v>8.8268799999999992</v>
      </c>
      <c r="K9">
        <v>8.9620479999999993</v>
      </c>
    </row>
    <row r="10" spans="1:11" x14ac:dyDescent="0.2">
      <c r="A10" t="s">
        <v>1027</v>
      </c>
      <c r="B10">
        <v>900.49929923900004</v>
      </c>
      <c r="C10">
        <v>900.48886139900003</v>
      </c>
      <c r="D10">
        <v>900.62511521900001</v>
      </c>
      <c r="H10" t="s">
        <v>1027</v>
      </c>
      <c r="I10">
        <v>9.6256000000000004</v>
      </c>
      <c r="J10">
        <v>9.2241920000000004</v>
      </c>
      <c r="K10">
        <v>9.2405760000000008</v>
      </c>
    </row>
    <row r="11" spans="1:11" x14ac:dyDescent="0.2">
      <c r="A11" t="s">
        <v>1028</v>
      </c>
      <c r="B11">
        <v>1.176530842</v>
      </c>
      <c r="C11">
        <v>1.1896825529999999</v>
      </c>
      <c r="D11">
        <v>1.153946672</v>
      </c>
      <c r="H11" t="s">
        <v>1028</v>
      </c>
      <c r="I11">
        <v>7.2581119999999997</v>
      </c>
      <c r="J11">
        <v>6.7215360000000004</v>
      </c>
      <c r="K11">
        <v>6.7624959999999996</v>
      </c>
    </row>
    <row r="12" spans="1:11" x14ac:dyDescent="0.2">
      <c r="A12" t="s">
        <v>1029</v>
      </c>
      <c r="B12">
        <v>16.807068467000001</v>
      </c>
      <c r="C12">
        <v>16.816384222</v>
      </c>
      <c r="D12">
        <v>17.221681088</v>
      </c>
      <c r="H12" t="s">
        <v>1029</v>
      </c>
      <c r="I12">
        <v>13.021184</v>
      </c>
      <c r="J12">
        <v>7.5161600000000002</v>
      </c>
      <c r="K12">
        <v>7.6513280000000004</v>
      </c>
    </row>
    <row r="13" spans="1:11" x14ac:dyDescent="0.2">
      <c r="A13" t="s">
        <v>1030</v>
      </c>
      <c r="B13">
        <v>152.107668872</v>
      </c>
      <c r="C13">
        <v>149.539492276</v>
      </c>
      <c r="D13">
        <v>149.64532529300001</v>
      </c>
      <c r="H13" t="s">
        <v>1030</v>
      </c>
      <c r="I13">
        <v>78.917631999999998</v>
      </c>
      <c r="J13">
        <v>8.3025920000000006</v>
      </c>
      <c r="K13">
        <v>8.6958079999999995</v>
      </c>
    </row>
    <row r="14" spans="1:11" x14ac:dyDescent="0.2">
      <c r="A14" t="s">
        <v>1031</v>
      </c>
      <c r="B14">
        <v>901.01205639900002</v>
      </c>
      <c r="C14">
        <v>900.40765734199999</v>
      </c>
      <c r="D14">
        <v>900.45720542200002</v>
      </c>
      <c r="H14" t="s">
        <v>1031</v>
      </c>
      <c r="I14">
        <v>101.76512</v>
      </c>
      <c r="J14">
        <v>9.3511679999999995</v>
      </c>
      <c r="K14">
        <v>9.4822399999999991</v>
      </c>
    </row>
    <row r="15" spans="1:11" x14ac:dyDescent="0.2">
      <c r="A15" t="s">
        <v>1032</v>
      </c>
      <c r="B15">
        <v>900.49836832599999</v>
      </c>
      <c r="C15">
        <v>900.55780081299997</v>
      </c>
      <c r="D15">
        <v>900.33519087100001</v>
      </c>
      <c r="H15" t="s">
        <v>1032</v>
      </c>
      <c r="I15">
        <v>31.772672</v>
      </c>
      <c r="J15">
        <v>9.4453759999999996</v>
      </c>
      <c r="K15">
        <v>12.763135999999999</v>
      </c>
    </row>
    <row r="16" spans="1:11" x14ac:dyDescent="0.2">
      <c r="A16" t="s">
        <v>1033</v>
      </c>
      <c r="B16">
        <v>900.64608491599995</v>
      </c>
      <c r="C16">
        <v>900.57493953699998</v>
      </c>
      <c r="D16">
        <v>900.55694487799997</v>
      </c>
      <c r="H16" t="s">
        <v>1033</v>
      </c>
      <c r="I16">
        <v>51.163136000000002</v>
      </c>
      <c r="J16">
        <v>12.402687999999999</v>
      </c>
      <c r="K16">
        <v>38.412287999999997</v>
      </c>
    </row>
    <row r="17" spans="1:11" x14ac:dyDescent="0.2">
      <c r="A17" t="s">
        <v>1034</v>
      </c>
      <c r="B17">
        <v>900.65055078900002</v>
      </c>
      <c r="C17">
        <v>900.28162654000005</v>
      </c>
      <c r="D17">
        <v>900.28867023199996</v>
      </c>
      <c r="H17" t="s">
        <v>1034</v>
      </c>
      <c r="I17">
        <v>421.04831999999999</v>
      </c>
      <c r="J17">
        <v>17.334271999999999</v>
      </c>
      <c r="K17">
        <v>59.817984000000003</v>
      </c>
    </row>
    <row r="18" spans="1:11" x14ac:dyDescent="0.2">
      <c r="A18" t="s">
        <v>1035</v>
      </c>
      <c r="B18">
        <v>900.94669834299998</v>
      </c>
      <c r="C18">
        <v>900.51202771999999</v>
      </c>
      <c r="D18">
        <v>900.60726083300005</v>
      </c>
      <c r="H18" t="s">
        <v>1035</v>
      </c>
      <c r="I18">
        <v>7845.7528320000001</v>
      </c>
      <c r="J18">
        <v>76.333055999999999</v>
      </c>
      <c r="K18">
        <v>707.04742399999998</v>
      </c>
    </row>
    <row r="19" spans="1:11" x14ac:dyDescent="0.2">
      <c r="A19" t="s">
        <v>1036</v>
      </c>
      <c r="B19">
        <v>900.42187422400002</v>
      </c>
      <c r="C19">
        <v>900.43999998899994</v>
      </c>
      <c r="D19">
        <v>900.63986642899999</v>
      </c>
      <c r="H19" t="s">
        <v>1036</v>
      </c>
      <c r="I19">
        <v>725.40569600000003</v>
      </c>
      <c r="J19">
        <v>33.501184000000002</v>
      </c>
      <c r="K19">
        <v>397.54547200000002</v>
      </c>
    </row>
    <row r="20" spans="1:11" x14ac:dyDescent="0.2">
      <c r="A20" t="s">
        <v>1037</v>
      </c>
      <c r="B20">
        <v>901.023330418</v>
      </c>
      <c r="C20">
        <v>901.00434332299994</v>
      </c>
      <c r="D20">
        <v>901.00386247400002</v>
      </c>
      <c r="H20" t="s">
        <v>1037</v>
      </c>
      <c r="I20">
        <v>274.08793600000001</v>
      </c>
      <c r="J20">
        <v>10.911744000000001</v>
      </c>
      <c r="K20">
        <v>12.767232</v>
      </c>
    </row>
    <row r="21" spans="1:11" x14ac:dyDescent="0.2">
      <c r="A21" t="s">
        <v>1038</v>
      </c>
      <c r="B21">
        <v>900.55485027700001</v>
      </c>
      <c r="C21">
        <v>900.488247935</v>
      </c>
      <c r="D21">
        <v>900.75656670000001</v>
      </c>
      <c r="H21" t="s">
        <v>1038</v>
      </c>
      <c r="I21">
        <v>275.95571200000001</v>
      </c>
      <c r="J21">
        <v>11.321344</v>
      </c>
      <c r="K21">
        <v>13.156352</v>
      </c>
    </row>
    <row r="22" spans="1:11" x14ac:dyDescent="0.2">
      <c r="A22" t="s">
        <v>1039</v>
      </c>
      <c r="B22">
        <v>900.60671619100003</v>
      </c>
      <c r="C22">
        <v>900.45866372199998</v>
      </c>
      <c r="D22">
        <v>900.72519436000005</v>
      </c>
      <c r="H22" t="s">
        <v>1039</v>
      </c>
      <c r="I22">
        <v>1038.3482879999999</v>
      </c>
      <c r="J22">
        <v>20.889600000000002</v>
      </c>
      <c r="K22">
        <v>27.967487999999999</v>
      </c>
    </row>
    <row r="23" spans="1:11" x14ac:dyDescent="0.2">
      <c r="A23" t="s">
        <v>1040</v>
      </c>
      <c r="B23">
        <v>352.25189193099999</v>
      </c>
      <c r="C23">
        <v>900.54871417000004</v>
      </c>
      <c r="D23">
        <v>900.77032449499995</v>
      </c>
      <c r="H23" t="s">
        <v>1040</v>
      </c>
      <c r="I23">
        <v>16000</v>
      </c>
      <c r="J23">
        <v>1352.183808</v>
      </c>
      <c r="K23">
        <v>2248.7162880000001</v>
      </c>
    </row>
    <row r="24" spans="1:11" x14ac:dyDescent="0.2">
      <c r="A24" t="s">
        <v>1041</v>
      </c>
      <c r="B24">
        <v>363.07352179399999</v>
      </c>
      <c r="C24">
        <v>900.72441632000005</v>
      </c>
      <c r="D24">
        <v>900.702116553</v>
      </c>
      <c r="H24" t="s">
        <v>1041</v>
      </c>
      <c r="I24">
        <v>16000</v>
      </c>
      <c r="J24">
        <v>1870.3155200000001</v>
      </c>
      <c r="K24">
        <v>2290.2702079999999</v>
      </c>
    </row>
    <row r="25" spans="1:11" x14ac:dyDescent="0.2">
      <c r="A25" t="s">
        <v>1042</v>
      </c>
      <c r="B25">
        <v>504.89603783799998</v>
      </c>
      <c r="C25">
        <v>900.88287345499998</v>
      </c>
      <c r="D25">
        <v>901.32678059499995</v>
      </c>
      <c r="H25" t="s">
        <v>1042</v>
      </c>
      <c r="I25">
        <v>16000</v>
      </c>
      <c r="J25">
        <v>7639.2488960000001</v>
      </c>
      <c r="K25">
        <v>15190.368256</v>
      </c>
    </row>
    <row r="26" spans="1:11" x14ac:dyDescent="0.2">
      <c r="A26" t="s">
        <v>1043</v>
      </c>
      <c r="B26">
        <v>341.68712385399999</v>
      </c>
      <c r="C26">
        <v>623.10625450800001</v>
      </c>
      <c r="D26">
        <v>230.39695430500001</v>
      </c>
      <c r="H26" t="s">
        <v>1043</v>
      </c>
      <c r="I26">
        <v>16000</v>
      </c>
      <c r="J26">
        <v>16000</v>
      </c>
      <c r="K26">
        <v>16000</v>
      </c>
    </row>
    <row r="27" spans="1:11" x14ac:dyDescent="0.2">
      <c r="A27" t="s">
        <v>1044</v>
      </c>
      <c r="B27">
        <v>269.39371121300002</v>
      </c>
      <c r="C27">
        <v>727.03524810800002</v>
      </c>
      <c r="D27">
        <v>238.99841170100001</v>
      </c>
      <c r="H27" t="s">
        <v>1044</v>
      </c>
      <c r="I27">
        <v>16000</v>
      </c>
      <c r="J27">
        <v>16000</v>
      </c>
      <c r="K27">
        <v>16000</v>
      </c>
    </row>
    <row r="28" spans="1:11" x14ac:dyDescent="0.2">
      <c r="A28" t="s">
        <v>1045</v>
      </c>
      <c r="B28">
        <v>316.08627189200001</v>
      </c>
      <c r="C28">
        <v>408.10758049600003</v>
      </c>
      <c r="D28">
        <v>257.44440100399999</v>
      </c>
      <c r="H28" t="s">
        <v>1045</v>
      </c>
      <c r="I28">
        <v>16000</v>
      </c>
      <c r="J28">
        <v>16000</v>
      </c>
      <c r="K28">
        <v>16000</v>
      </c>
    </row>
    <row r="29" spans="1:11" x14ac:dyDescent="0.2">
      <c r="A29" t="s">
        <v>1046</v>
      </c>
      <c r="B29">
        <v>900.66514474200005</v>
      </c>
      <c r="C29">
        <v>900.72005330000002</v>
      </c>
      <c r="D29">
        <v>900.71965971199995</v>
      </c>
      <c r="H29" t="s">
        <v>1046</v>
      </c>
      <c r="I29">
        <v>33.943551999999997</v>
      </c>
      <c r="J29">
        <v>23.90016</v>
      </c>
      <c r="K29">
        <v>60.211199999999998</v>
      </c>
    </row>
    <row r="30" spans="1:11" x14ac:dyDescent="0.2">
      <c r="A30" t="s">
        <v>1047</v>
      </c>
      <c r="B30">
        <v>900.76302212999997</v>
      </c>
      <c r="C30">
        <v>900.74158389399997</v>
      </c>
      <c r="D30">
        <v>900.41648357500003</v>
      </c>
      <c r="H30" t="s">
        <v>1047</v>
      </c>
      <c r="I30">
        <v>561.29535999999996</v>
      </c>
      <c r="J30">
        <v>281.45663999999999</v>
      </c>
      <c r="K30">
        <v>768.10239999999999</v>
      </c>
    </row>
    <row r="31" spans="1:11" x14ac:dyDescent="0.2">
      <c r="A31" t="s">
        <v>1048</v>
      </c>
      <c r="B31">
        <v>900.67187615700004</v>
      </c>
      <c r="C31">
        <v>900.62656542299999</v>
      </c>
      <c r="D31">
        <v>901.083921369</v>
      </c>
      <c r="H31" t="s">
        <v>1048</v>
      </c>
      <c r="I31">
        <v>2480.3246079999999</v>
      </c>
      <c r="J31">
        <v>2054.5986560000001</v>
      </c>
      <c r="K31">
        <v>9165.8526720000009</v>
      </c>
    </row>
    <row r="32" spans="1:11" x14ac:dyDescent="0.2">
      <c r="A32" t="s">
        <v>1049</v>
      </c>
      <c r="B32">
        <v>901.01818298000001</v>
      </c>
      <c r="C32">
        <v>900.67174980100003</v>
      </c>
      <c r="D32">
        <v>901.27995832700003</v>
      </c>
      <c r="H32" t="s">
        <v>1049</v>
      </c>
      <c r="I32">
        <v>8407.7936640000007</v>
      </c>
      <c r="J32">
        <v>2128.1341440000001</v>
      </c>
      <c r="K32">
        <v>10449.317888</v>
      </c>
    </row>
    <row r="33" spans="1:11" x14ac:dyDescent="0.2">
      <c r="A33" t="s">
        <v>1050</v>
      </c>
      <c r="B33">
        <v>900.95290756700001</v>
      </c>
      <c r="C33">
        <v>900.692187343</v>
      </c>
      <c r="D33">
        <v>901.082885584</v>
      </c>
      <c r="H33" t="s">
        <v>1050</v>
      </c>
      <c r="I33">
        <v>8426.7950079999991</v>
      </c>
      <c r="J33">
        <v>2066.9235199999998</v>
      </c>
      <c r="K33">
        <v>10101.583871999999</v>
      </c>
    </row>
    <row r="34" spans="1:11" x14ac:dyDescent="0.2">
      <c r="A34" t="s">
        <v>1051</v>
      </c>
      <c r="B34">
        <v>266.272871834</v>
      </c>
      <c r="C34">
        <v>668.34748224400005</v>
      </c>
      <c r="D34">
        <v>256.78763682300001</v>
      </c>
      <c r="H34" t="s">
        <v>1051</v>
      </c>
      <c r="I34">
        <v>16000</v>
      </c>
      <c r="J34">
        <v>16000</v>
      </c>
      <c r="K34">
        <v>16000</v>
      </c>
    </row>
    <row r="35" spans="1:11" x14ac:dyDescent="0.2">
      <c r="A35" t="s">
        <v>1052</v>
      </c>
      <c r="B35">
        <v>307.44254313200003</v>
      </c>
      <c r="C35">
        <v>654.71062634099997</v>
      </c>
      <c r="D35">
        <v>285.33420842300001</v>
      </c>
      <c r="H35" t="s">
        <v>1052</v>
      </c>
      <c r="I35">
        <v>16000</v>
      </c>
      <c r="J35">
        <v>16000</v>
      </c>
      <c r="K35">
        <v>16000</v>
      </c>
    </row>
    <row r="36" spans="1:11" x14ac:dyDescent="0.2">
      <c r="A36" t="s">
        <v>1053</v>
      </c>
      <c r="B36">
        <v>334.28958532199999</v>
      </c>
      <c r="C36">
        <v>592.18702674500003</v>
      </c>
      <c r="D36">
        <v>267.27299018899998</v>
      </c>
      <c r="H36" t="s">
        <v>1053</v>
      </c>
      <c r="I36">
        <v>16000</v>
      </c>
      <c r="J36">
        <v>16000</v>
      </c>
      <c r="K36">
        <v>16000</v>
      </c>
    </row>
    <row r="37" spans="1:11" x14ac:dyDescent="0.2">
      <c r="A37" t="s">
        <v>1054</v>
      </c>
      <c r="B37">
        <v>466.617252501</v>
      </c>
      <c r="C37">
        <v>803.98657676799996</v>
      </c>
      <c r="D37">
        <v>247.22610993000001</v>
      </c>
      <c r="H37" t="s">
        <v>1054</v>
      </c>
      <c r="I37">
        <v>16000</v>
      </c>
      <c r="J37">
        <v>16000</v>
      </c>
      <c r="K37">
        <v>16000</v>
      </c>
    </row>
    <row r="38" spans="1:11" x14ac:dyDescent="0.2">
      <c r="A38" t="s">
        <v>1055</v>
      </c>
      <c r="B38">
        <v>490.56377439800002</v>
      </c>
      <c r="C38">
        <v>900.64535636000005</v>
      </c>
      <c r="D38">
        <v>900.72024278100002</v>
      </c>
      <c r="H38" t="s">
        <v>1055</v>
      </c>
      <c r="I38">
        <v>16000</v>
      </c>
      <c r="J38">
        <v>1022.09536</v>
      </c>
      <c r="K38">
        <v>1198.280704</v>
      </c>
    </row>
    <row r="39" spans="1:11" x14ac:dyDescent="0.2">
      <c r="A39" t="s">
        <v>1056</v>
      </c>
      <c r="B39">
        <v>900.51390483900002</v>
      </c>
      <c r="C39">
        <v>900.71610469699999</v>
      </c>
      <c r="D39">
        <v>900.69569900900001</v>
      </c>
      <c r="H39" t="s">
        <v>1056</v>
      </c>
      <c r="I39">
        <v>621.98169600000006</v>
      </c>
      <c r="J39">
        <v>76.353536000000005</v>
      </c>
      <c r="K39">
        <v>145.01888</v>
      </c>
    </row>
    <row r="40" spans="1:11" x14ac:dyDescent="0.2">
      <c r="A40" t="s">
        <v>1057</v>
      </c>
      <c r="B40">
        <v>712.81715030099997</v>
      </c>
      <c r="C40">
        <v>900.72809303400004</v>
      </c>
      <c r="D40">
        <v>900.64698202299996</v>
      </c>
      <c r="H40" t="s">
        <v>1057</v>
      </c>
      <c r="I40">
        <v>16000</v>
      </c>
      <c r="J40">
        <v>3702.4358400000001</v>
      </c>
      <c r="K40">
        <v>3783.180288</v>
      </c>
    </row>
    <row r="41" spans="1:11" x14ac:dyDescent="0.2">
      <c r="A41" t="s">
        <v>1058</v>
      </c>
      <c r="B41">
        <v>296.79090823400003</v>
      </c>
      <c r="C41">
        <v>479.18724326699999</v>
      </c>
      <c r="D41">
        <v>337.84640346399999</v>
      </c>
      <c r="H41" t="s">
        <v>1058</v>
      </c>
      <c r="I41">
        <v>16000</v>
      </c>
      <c r="J41">
        <v>16000</v>
      </c>
      <c r="K41">
        <v>16000</v>
      </c>
    </row>
    <row r="42" spans="1:11" x14ac:dyDescent="0.2">
      <c r="A42" t="s">
        <v>1059</v>
      </c>
      <c r="B42">
        <v>328.85356646499997</v>
      </c>
      <c r="C42">
        <v>900.88055774400004</v>
      </c>
      <c r="D42">
        <v>901.32596099600005</v>
      </c>
      <c r="H42" t="s">
        <v>1059</v>
      </c>
      <c r="I42">
        <v>16000</v>
      </c>
      <c r="J42">
        <v>9062.5597440000001</v>
      </c>
      <c r="K42">
        <v>15237.4272</v>
      </c>
    </row>
    <row r="43" spans="1:11" x14ac:dyDescent="0.2">
      <c r="A43" t="s">
        <v>1060</v>
      </c>
      <c r="B43">
        <v>257.00031512300001</v>
      </c>
      <c r="C43">
        <v>901.256588964</v>
      </c>
      <c r="D43">
        <v>314.08582267100002</v>
      </c>
      <c r="H43" t="s">
        <v>1060</v>
      </c>
      <c r="I43">
        <v>16000</v>
      </c>
      <c r="J43">
        <v>14989.443072</v>
      </c>
      <c r="K43">
        <v>16000</v>
      </c>
    </row>
    <row r="44" spans="1:11" x14ac:dyDescent="0.2">
      <c r="A44" t="s">
        <v>1061</v>
      </c>
      <c r="B44">
        <v>294.535845241</v>
      </c>
      <c r="C44">
        <v>900.97958470900005</v>
      </c>
      <c r="D44">
        <v>319.30130795000002</v>
      </c>
      <c r="H44" t="s">
        <v>1061</v>
      </c>
      <c r="I44">
        <v>16000</v>
      </c>
      <c r="J44">
        <v>15025.561600000001</v>
      </c>
      <c r="K44">
        <v>16000</v>
      </c>
    </row>
    <row r="45" spans="1:11" x14ac:dyDescent="0.2">
      <c r="A45" t="s">
        <v>1062</v>
      </c>
      <c r="B45">
        <v>331.31139919200001</v>
      </c>
      <c r="C45">
        <v>900.96560698799999</v>
      </c>
      <c r="D45">
        <v>312.20783092400001</v>
      </c>
      <c r="H45" t="s">
        <v>1062</v>
      </c>
      <c r="I45">
        <v>16000</v>
      </c>
      <c r="J45">
        <v>9435.7913599999993</v>
      </c>
      <c r="K45">
        <v>16000</v>
      </c>
    </row>
    <row r="46" spans="1:11" x14ac:dyDescent="0.2">
      <c r="A46" t="s">
        <v>1063</v>
      </c>
      <c r="B46">
        <v>250.72438263199999</v>
      </c>
      <c r="C46">
        <v>617.85073844600004</v>
      </c>
      <c r="D46">
        <v>310.91431795300002</v>
      </c>
      <c r="H46" t="s">
        <v>1063</v>
      </c>
      <c r="I46">
        <v>16000</v>
      </c>
      <c r="J46">
        <v>16000</v>
      </c>
      <c r="K46">
        <v>16000</v>
      </c>
    </row>
    <row r="47" spans="1:11" x14ac:dyDescent="0.2">
      <c r="A47" t="s">
        <v>1064</v>
      </c>
      <c r="B47">
        <v>342.52406618499998</v>
      </c>
      <c r="C47">
        <v>900.71906323899998</v>
      </c>
      <c r="D47">
        <v>900.76394856399997</v>
      </c>
      <c r="H47" t="s">
        <v>1064</v>
      </c>
      <c r="I47">
        <v>16000</v>
      </c>
      <c r="J47">
        <v>98.705408000000006</v>
      </c>
      <c r="K47">
        <v>325.75897600000002</v>
      </c>
    </row>
    <row r="48" spans="1:11" x14ac:dyDescent="0.2">
      <c r="A48" t="s">
        <v>1065</v>
      </c>
      <c r="B48">
        <v>471.00320042599998</v>
      </c>
      <c r="C48">
        <v>900.64149188199997</v>
      </c>
      <c r="D48">
        <v>901.31878277099997</v>
      </c>
      <c r="H48" t="s">
        <v>1065</v>
      </c>
      <c r="I48">
        <v>16000</v>
      </c>
      <c r="J48">
        <v>3908.5137920000002</v>
      </c>
      <c r="K48">
        <v>14566.998016</v>
      </c>
    </row>
    <row r="49" spans="1:11" x14ac:dyDescent="0.2">
      <c r="A49" t="s">
        <v>1066</v>
      </c>
      <c r="B49">
        <v>243.255597913</v>
      </c>
      <c r="C49">
        <v>900.88669275500001</v>
      </c>
      <c r="D49">
        <v>254.812579943</v>
      </c>
      <c r="H49" t="s">
        <v>1066</v>
      </c>
      <c r="I49">
        <v>16000</v>
      </c>
      <c r="J49">
        <v>8457.6993280000006</v>
      </c>
      <c r="K49">
        <v>16000</v>
      </c>
    </row>
    <row r="50" spans="1:11" x14ac:dyDescent="0.2">
      <c r="A50" t="s">
        <v>1067</v>
      </c>
      <c r="B50">
        <v>251.46731956799999</v>
      </c>
      <c r="C50">
        <v>901.34783365800001</v>
      </c>
      <c r="D50">
        <v>262.10746786800001</v>
      </c>
      <c r="H50" t="s">
        <v>1067</v>
      </c>
      <c r="I50">
        <v>16000</v>
      </c>
      <c r="J50">
        <v>15177.928704</v>
      </c>
      <c r="K50">
        <v>16000</v>
      </c>
    </row>
    <row r="51" spans="1:11" x14ac:dyDescent="0.2">
      <c r="A51" t="s">
        <v>1068</v>
      </c>
      <c r="B51">
        <v>266.97374978699997</v>
      </c>
      <c r="C51">
        <v>900.90840958800004</v>
      </c>
      <c r="D51">
        <v>283.349060114</v>
      </c>
      <c r="H51" t="s">
        <v>1068</v>
      </c>
      <c r="I51">
        <v>16000</v>
      </c>
      <c r="J51">
        <v>10642.460671999999</v>
      </c>
      <c r="K51">
        <v>16000</v>
      </c>
    </row>
    <row r="52" spans="1:11" x14ac:dyDescent="0.2">
      <c r="A52" t="s">
        <v>1069</v>
      </c>
      <c r="B52">
        <v>266.99391716299999</v>
      </c>
      <c r="C52">
        <v>901.01250177099996</v>
      </c>
      <c r="D52">
        <v>363.61319399600001</v>
      </c>
      <c r="H52" t="s">
        <v>1069</v>
      </c>
      <c r="I52">
        <v>16000</v>
      </c>
      <c r="J52">
        <v>15242.67008</v>
      </c>
      <c r="K52">
        <v>16000</v>
      </c>
    </row>
    <row r="53" spans="1:11" x14ac:dyDescent="0.2">
      <c r="A53" t="s">
        <v>1070</v>
      </c>
      <c r="B53">
        <v>356.90721315899998</v>
      </c>
      <c r="C53">
        <v>862.44701335599996</v>
      </c>
      <c r="D53">
        <v>472.68406186700003</v>
      </c>
      <c r="H53" t="s">
        <v>1070</v>
      </c>
      <c r="I53">
        <v>16000</v>
      </c>
      <c r="J53">
        <v>16000</v>
      </c>
      <c r="K53">
        <v>16000</v>
      </c>
    </row>
    <row r="54" spans="1:11" x14ac:dyDescent="0.2">
      <c r="A54" t="s">
        <v>1071</v>
      </c>
      <c r="B54">
        <v>261.43500637699998</v>
      </c>
      <c r="C54">
        <v>901.217523594</v>
      </c>
      <c r="D54">
        <v>338.11076025300002</v>
      </c>
      <c r="H54" t="s">
        <v>1071</v>
      </c>
      <c r="I54">
        <v>16000</v>
      </c>
      <c r="J54">
        <v>15205.388288</v>
      </c>
      <c r="K54">
        <v>16000</v>
      </c>
    </row>
    <row r="55" spans="1:11" x14ac:dyDescent="0.2">
      <c r="A55" t="s">
        <v>1072</v>
      </c>
      <c r="B55">
        <v>287.66383600900002</v>
      </c>
      <c r="C55">
        <v>725.231264528</v>
      </c>
      <c r="D55">
        <v>258.91102145600001</v>
      </c>
      <c r="H55" t="s">
        <v>1072</v>
      </c>
      <c r="I55">
        <v>16000</v>
      </c>
      <c r="J55">
        <v>16000</v>
      </c>
      <c r="K55">
        <v>16000</v>
      </c>
    </row>
    <row r="56" spans="1:11" x14ac:dyDescent="0.2">
      <c r="A56" t="s">
        <v>1073</v>
      </c>
      <c r="B56">
        <v>278.68518135599999</v>
      </c>
      <c r="C56">
        <v>900.90000783999994</v>
      </c>
      <c r="D56">
        <v>519.07757447200004</v>
      </c>
      <c r="H56" t="s">
        <v>1073</v>
      </c>
      <c r="I56">
        <v>16000</v>
      </c>
      <c r="J56">
        <v>10475.364352000001</v>
      </c>
      <c r="K56">
        <v>16000</v>
      </c>
    </row>
    <row r="57" spans="1:11" x14ac:dyDescent="0.2">
      <c r="A57" t="s">
        <v>1074</v>
      </c>
      <c r="B57">
        <v>270.873135838</v>
      </c>
      <c r="C57">
        <v>900.94933401499998</v>
      </c>
      <c r="D57">
        <v>464.69782447699998</v>
      </c>
      <c r="H57" t="s">
        <v>1074</v>
      </c>
      <c r="I57">
        <v>16000</v>
      </c>
      <c r="J57">
        <v>8886.2023680000002</v>
      </c>
      <c r="K57">
        <v>16000</v>
      </c>
    </row>
    <row r="58" spans="1:11" x14ac:dyDescent="0.2">
      <c r="A58" t="s">
        <v>1075</v>
      </c>
      <c r="B58">
        <v>287.843376154</v>
      </c>
      <c r="C58">
        <v>901.29002294099996</v>
      </c>
      <c r="D58">
        <v>212.691106636</v>
      </c>
      <c r="H58" t="s">
        <v>1075</v>
      </c>
      <c r="I58">
        <v>16000</v>
      </c>
      <c r="J58">
        <v>15393.263616</v>
      </c>
      <c r="K58">
        <v>16000</v>
      </c>
    </row>
    <row r="59" spans="1:11" x14ac:dyDescent="0.2">
      <c r="A59" t="s">
        <v>1076</v>
      </c>
      <c r="B59">
        <v>333.97865297499999</v>
      </c>
      <c r="C59">
        <v>901.23950296199996</v>
      </c>
      <c r="D59">
        <v>214.80258224900001</v>
      </c>
      <c r="H59" t="s">
        <v>1076</v>
      </c>
      <c r="I59">
        <v>16000</v>
      </c>
      <c r="J59">
        <v>14962.64704</v>
      </c>
      <c r="K59">
        <v>16000</v>
      </c>
    </row>
    <row r="60" spans="1:11" x14ac:dyDescent="0.2">
      <c r="A60" t="s">
        <v>1077</v>
      </c>
      <c r="B60">
        <v>410.31732945599998</v>
      </c>
      <c r="C60">
        <v>901.31750307300001</v>
      </c>
      <c r="D60">
        <v>219.961516725</v>
      </c>
      <c r="H60" t="s">
        <v>1077</v>
      </c>
      <c r="I60">
        <v>16000</v>
      </c>
      <c r="J60">
        <v>15203.602432</v>
      </c>
      <c r="K60">
        <v>16000</v>
      </c>
    </row>
    <row r="61" spans="1:11" x14ac:dyDescent="0.2">
      <c r="A61" t="s">
        <v>1078</v>
      </c>
      <c r="B61">
        <v>336.01508636599999</v>
      </c>
      <c r="C61">
        <v>901.05161878800004</v>
      </c>
      <c r="D61">
        <v>233.11989704000001</v>
      </c>
      <c r="H61" t="s">
        <v>1078</v>
      </c>
      <c r="I61">
        <v>16000</v>
      </c>
      <c r="J61">
        <v>15032.041472000001</v>
      </c>
      <c r="K61">
        <v>16000</v>
      </c>
    </row>
    <row r="62" spans="1:11" x14ac:dyDescent="0.2">
      <c r="A62" t="s">
        <v>1079</v>
      </c>
      <c r="B62">
        <v>250.43410346100001</v>
      </c>
      <c r="C62">
        <v>720.23445894099996</v>
      </c>
      <c r="D62">
        <v>258.47990010400002</v>
      </c>
      <c r="H62" t="s">
        <v>1079</v>
      </c>
      <c r="I62">
        <v>16000</v>
      </c>
      <c r="J62">
        <v>16000</v>
      </c>
      <c r="K62">
        <v>16000</v>
      </c>
    </row>
    <row r="63" spans="1:11" x14ac:dyDescent="0.2">
      <c r="A63" t="s">
        <v>1080</v>
      </c>
      <c r="B63">
        <v>251.79880013499999</v>
      </c>
      <c r="C63">
        <v>785.90134233100002</v>
      </c>
      <c r="D63">
        <v>266.15969293299997</v>
      </c>
      <c r="H63" t="s">
        <v>1080</v>
      </c>
      <c r="I63">
        <v>16000</v>
      </c>
      <c r="J63">
        <v>16000</v>
      </c>
      <c r="K63">
        <v>16000</v>
      </c>
    </row>
    <row r="64" spans="1:11" x14ac:dyDescent="0.2">
      <c r="A64" t="s">
        <v>1081</v>
      </c>
      <c r="B64">
        <v>258.181924256</v>
      </c>
      <c r="C64">
        <v>900.62184962000003</v>
      </c>
      <c r="D64">
        <v>319.37863121599997</v>
      </c>
      <c r="H64" t="s">
        <v>1081</v>
      </c>
      <c r="I64">
        <v>16000</v>
      </c>
      <c r="J64">
        <v>10296.008704</v>
      </c>
      <c r="K64">
        <v>16000</v>
      </c>
    </row>
    <row r="65" spans="1:11" x14ac:dyDescent="0.2">
      <c r="A65" t="s">
        <v>1082</v>
      </c>
      <c r="B65">
        <v>900.62072193500001</v>
      </c>
      <c r="C65">
        <v>900.63051771599999</v>
      </c>
      <c r="D65">
        <v>900.64234058600005</v>
      </c>
      <c r="H65" t="s">
        <v>1082</v>
      </c>
      <c r="I65">
        <v>731.87737600000003</v>
      </c>
      <c r="J65">
        <v>48.021504</v>
      </c>
      <c r="K65">
        <v>154.33318399999999</v>
      </c>
    </row>
    <row r="66" spans="1:11" x14ac:dyDescent="0.2">
      <c r="A66" t="s">
        <v>1083</v>
      </c>
      <c r="B66">
        <v>901.09629545799999</v>
      </c>
      <c r="C66">
        <v>900.737510563</v>
      </c>
      <c r="D66">
        <v>900.78778300299996</v>
      </c>
      <c r="H66" t="s">
        <v>1083</v>
      </c>
      <c r="I66">
        <v>8639.5453440000001</v>
      </c>
      <c r="J66">
        <v>478.30630400000001</v>
      </c>
      <c r="K66">
        <v>1472.2498559999999</v>
      </c>
    </row>
    <row r="67" spans="1:11" x14ac:dyDescent="0.2">
      <c r="A67" t="s">
        <v>1084</v>
      </c>
      <c r="B67">
        <v>431.28230180700001</v>
      </c>
      <c r="C67">
        <v>901.017874474</v>
      </c>
      <c r="D67">
        <v>226.50635929200001</v>
      </c>
      <c r="H67" t="s">
        <v>1084</v>
      </c>
      <c r="I67">
        <v>16000</v>
      </c>
      <c r="J67">
        <v>9994.0884480000004</v>
      </c>
      <c r="K67">
        <v>16000</v>
      </c>
    </row>
    <row r="68" spans="1:11" x14ac:dyDescent="0.2">
      <c r="A68" t="s">
        <v>1085</v>
      </c>
      <c r="B68">
        <v>251.522484069</v>
      </c>
      <c r="C68">
        <v>901.249074845</v>
      </c>
      <c r="D68">
        <v>317.28058319399997</v>
      </c>
      <c r="H68" t="s">
        <v>1085</v>
      </c>
      <c r="I68">
        <v>16000</v>
      </c>
      <c r="J68">
        <v>15149.326336</v>
      </c>
      <c r="K68">
        <v>16000</v>
      </c>
    </row>
    <row r="69" spans="1:11" x14ac:dyDescent="0.2">
      <c r="A69" t="s">
        <v>1086</v>
      </c>
      <c r="B69">
        <v>256.71965747299998</v>
      </c>
      <c r="C69">
        <v>900.89604331700002</v>
      </c>
      <c r="D69">
        <v>440.74281951799998</v>
      </c>
      <c r="H69" t="s">
        <v>1086</v>
      </c>
      <c r="I69">
        <v>16000</v>
      </c>
      <c r="J69">
        <v>10576.355328</v>
      </c>
      <c r="K69">
        <v>16000</v>
      </c>
    </row>
    <row r="70" spans="1:11" x14ac:dyDescent="0.2">
      <c r="A70" t="s">
        <v>1087</v>
      </c>
      <c r="B70">
        <v>299.471250269</v>
      </c>
      <c r="C70">
        <v>901.33446591899997</v>
      </c>
      <c r="D70">
        <v>226.535614423</v>
      </c>
      <c r="H70" t="s">
        <v>1087</v>
      </c>
      <c r="I70">
        <v>16000</v>
      </c>
      <c r="J70">
        <v>15416.770560000001</v>
      </c>
      <c r="K70">
        <v>16000</v>
      </c>
    </row>
    <row r="71" spans="1:11" x14ac:dyDescent="0.2">
      <c r="A71" t="s">
        <v>1088</v>
      </c>
      <c r="B71">
        <v>439.18918935099998</v>
      </c>
      <c r="C71">
        <v>536.74346351600002</v>
      </c>
      <c r="D71">
        <v>303.21740038199999</v>
      </c>
      <c r="H71" t="s">
        <v>1088</v>
      </c>
      <c r="I71">
        <v>16000</v>
      </c>
      <c r="J71">
        <v>16000</v>
      </c>
      <c r="K71">
        <v>16000</v>
      </c>
    </row>
    <row r="72" spans="1:11" x14ac:dyDescent="0.2">
      <c r="A72" t="s">
        <v>1089</v>
      </c>
      <c r="B72">
        <v>246.57838572700001</v>
      </c>
      <c r="C72">
        <v>900.89739007100002</v>
      </c>
      <c r="D72">
        <v>242.24597186</v>
      </c>
      <c r="H72" t="s">
        <v>1089</v>
      </c>
      <c r="I72">
        <v>16000</v>
      </c>
      <c r="J72">
        <v>9870.7456000000002</v>
      </c>
      <c r="K72">
        <v>16000</v>
      </c>
    </row>
    <row r="73" spans="1:11" x14ac:dyDescent="0.2">
      <c r="A73" t="s">
        <v>1090</v>
      </c>
      <c r="B73">
        <v>602.20688997100001</v>
      </c>
      <c r="C73">
        <v>900.94862977900004</v>
      </c>
      <c r="D73">
        <v>400.85466909500002</v>
      </c>
      <c r="H73" t="s">
        <v>1090</v>
      </c>
      <c r="I73">
        <v>16000</v>
      </c>
      <c r="J73">
        <v>10815.721471999999</v>
      </c>
      <c r="K73">
        <v>16000</v>
      </c>
    </row>
    <row r="74" spans="1:11" x14ac:dyDescent="0.2">
      <c r="A74" t="s">
        <v>1091</v>
      </c>
      <c r="B74">
        <v>354.91195205899999</v>
      </c>
      <c r="C74">
        <v>901.48188204799999</v>
      </c>
      <c r="D74">
        <v>500.56123138200002</v>
      </c>
      <c r="H74" t="s">
        <v>1091</v>
      </c>
      <c r="I74">
        <v>16000</v>
      </c>
      <c r="J74">
        <v>15146.831872000001</v>
      </c>
      <c r="K74">
        <v>16000</v>
      </c>
    </row>
    <row r="75" spans="1:11" x14ac:dyDescent="0.2">
      <c r="A75" t="s">
        <v>1092</v>
      </c>
      <c r="B75">
        <v>303.53861825899997</v>
      </c>
      <c r="C75">
        <v>545.40562250799996</v>
      </c>
      <c r="D75">
        <v>446.094517526</v>
      </c>
      <c r="H75" t="s">
        <v>1092</v>
      </c>
      <c r="I75">
        <v>16000</v>
      </c>
      <c r="J75">
        <v>16000</v>
      </c>
      <c r="K75">
        <v>16000</v>
      </c>
    </row>
    <row r="76" spans="1:11" x14ac:dyDescent="0.2">
      <c r="A76" t="s">
        <v>1093</v>
      </c>
      <c r="B76">
        <v>359.89189752999999</v>
      </c>
      <c r="C76">
        <v>596.26917677899996</v>
      </c>
      <c r="D76">
        <v>512.50895125299996</v>
      </c>
      <c r="H76" t="s">
        <v>1093</v>
      </c>
      <c r="I76">
        <v>16000</v>
      </c>
      <c r="J76">
        <v>16000</v>
      </c>
      <c r="K76">
        <v>16000</v>
      </c>
    </row>
    <row r="77" spans="1:11" x14ac:dyDescent="0.2">
      <c r="A77" t="s">
        <v>1094</v>
      </c>
      <c r="B77">
        <v>373.59435516799999</v>
      </c>
      <c r="C77">
        <v>654.16382123000005</v>
      </c>
      <c r="D77">
        <v>706.23228752299997</v>
      </c>
      <c r="H77" t="s">
        <v>1094</v>
      </c>
      <c r="I77">
        <v>16000</v>
      </c>
      <c r="J77">
        <v>16000</v>
      </c>
      <c r="K77">
        <v>16000</v>
      </c>
    </row>
    <row r="78" spans="1:11" x14ac:dyDescent="0.2">
      <c r="A78" t="s">
        <v>1095</v>
      </c>
      <c r="B78">
        <v>337.08358661900002</v>
      </c>
      <c r="C78">
        <v>900.82187715400005</v>
      </c>
      <c r="D78">
        <v>383.04146387499998</v>
      </c>
      <c r="H78" t="s">
        <v>1095</v>
      </c>
      <c r="I78">
        <v>16000</v>
      </c>
      <c r="J78">
        <v>8891.5517440000003</v>
      </c>
      <c r="K78">
        <v>16000</v>
      </c>
    </row>
    <row r="79" spans="1:11" x14ac:dyDescent="0.2">
      <c r="A79" t="s">
        <v>1096</v>
      </c>
      <c r="B79">
        <v>337.74787810100003</v>
      </c>
      <c r="C79">
        <v>900.81505128399999</v>
      </c>
      <c r="D79">
        <v>629.90372326099998</v>
      </c>
      <c r="H79" t="s">
        <v>1096</v>
      </c>
      <c r="I79">
        <v>16000</v>
      </c>
      <c r="J79">
        <v>10250.682368</v>
      </c>
      <c r="K79">
        <v>16000</v>
      </c>
    </row>
    <row r="80" spans="1:11" x14ac:dyDescent="0.2">
      <c r="A80" t="s">
        <v>1097</v>
      </c>
      <c r="B80">
        <v>330.61288792699997</v>
      </c>
      <c r="C80">
        <v>900.76317246099995</v>
      </c>
      <c r="D80">
        <v>632.80806954599996</v>
      </c>
      <c r="H80" t="s">
        <v>1097</v>
      </c>
      <c r="I80">
        <v>16000</v>
      </c>
      <c r="J80">
        <v>9273.3071359999994</v>
      </c>
      <c r="K80">
        <v>16000</v>
      </c>
    </row>
    <row r="81" spans="1:11" x14ac:dyDescent="0.2">
      <c r="A81" t="s">
        <v>1098</v>
      </c>
      <c r="B81">
        <v>343.75693908099998</v>
      </c>
      <c r="C81">
        <v>894.88880705099996</v>
      </c>
      <c r="D81">
        <v>694.86688281199997</v>
      </c>
      <c r="H81" t="s">
        <v>1098</v>
      </c>
      <c r="I81">
        <v>16000</v>
      </c>
      <c r="J81">
        <v>16000</v>
      </c>
      <c r="K81">
        <v>16000</v>
      </c>
    </row>
    <row r="82" spans="1:11" x14ac:dyDescent="0.2">
      <c r="A82" t="s">
        <v>1099</v>
      </c>
      <c r="B82">
        <v>259.85812765999998</v>
      </c>
      <c r="C82">
        <v>900.75985780099995</v>
      </c>
      <c r="D82">
        <v>385.05678503399997</v>
      </c>
      <c r="H82" t="s">
        <v>1099</v>
      </c>
      <c r="I82">
        <v>16000</v>
      </c>
      <c r="J82">
        <v>8864.9113600000001</v>
      </c>
      <c r="K82">
        <v>16000</v>
      </c>
    </row>
    <row r="83" spans="1:11" x14ac:dyDescent="0.2">
      <c r="A83" t="s">
        <v>1100</v>
      </c>
      <c r="B83">
        <v>306.28426618100002</v>
      </c>
      <c r="C83">
        <v>901.26325517400005</v>
      </c>
      <c r="D83">
        <v>441.763427611</v>
      </c>
      <c r="H83" t="s">
        <v>1100</v>
      </c>
      <c r="I83">
        <v>16000</v>
      </c>
      <c r="J83">
        <v>15148.630015999999</v>
      </c>
      <c r="K83">
        <v>16000</v>
      </c>
    </row>
    <row r="84" spans="1:11" x14ac:dyDescent="0.2">
      <c r="A84" t="s">
        <v>1101</v>
      </c>
      <c r="B84">
        <v>321.82699595700001</v>
      </c>
      <c r="C84">
        <v>632.77765777299999</v>
      </c>
      <c r="D84">
        <v>311.88032048899998</v>
      </c>
      <c r="H84" t="s">
        <v>1101</v>
      </c>
      <c r="I84">
        <v>16000</v>
      </c>
      <c r="J84">
        <v>16000</v>
      </c>
      <c r="K84">
        <v>16000</v>
      </c>
    </row>
    <row r="85" spans="1:11" x14ac:dyDescent="0.2">
      <c r="A85" t="s">
        <v>1102</v>
      </c>
      <c r="B85">
        <v>419.72427243300001</v>
      </c>
      <c r="C85">
        <v>866.09138455499999</v>
      </c>
      <c r="D85">
        <v>298.54472572100002</v>
      </c>
      <c r="H85" t="s">
        <v>1102</v>
      </c>
      <c r="I85">
        <v>16000</v>
      </c>
      <c r="J85">
        <v>16000</v>
      </c>
      <c r="K85">
        <v>16000</v>
      </c>
    </row>
    <row r="86" spans="1:11" x14ac:dyDescent="0.2">
      <c r="A86" t="s">
        <v>1103</v>
      </c>
      <c r="B86">
        <v>242.12432923599999</v>
      </c>
      <c r="C86">
        <v>849.96104164099995</v>
      </c>
      <c r="D86">
        <v>309.507880027</v>
      </c>
      <c r="H86" t="s">
        <v>1103</v>
      </c>
      <c r="I86">
        <v>16000</v>
      </c>
      <c r="J86">
        <v>16000</v>
      </c>
      <c r="K86">
        <v>16000</v>
      </c>
    </row>
    <row r="87" spans="1:11" x14ac:dyDescent="0.2">
      <c r="A87" t="s">
        <v>1104</v>
      </c>
      <c r="B87">
        <v>234.640918658</v>
      </c>
      <c r="C87">
        <v>901.19004537399996</v>
      </c>
      <c r="D87">
        <v>322.56121876399999</v>
      </c>
      <c r="H87" t="s">
        <v>1104</v>
      </c>
      <c r="I87">
        <v>16000</v>
      </c>
      <c r="J87">
        <v>15094.214656</v>
      </c>
      <c r="K87">
        <v>16000</v>
      </c>
    </row>
    <row r="88" spans="1:11" x14ac:dyDescent="0.2">
      <c r="A88" t="s">
        <v>1105</v>
      </c>
      <c r="B88">
        <v>247.617721007</v>
      </c>
      <c r="C88">
        <v>901.03419805800002</v>
      </c>
      <c r="D88">
        <v>314.39342956799999</v>
      </c>
      <c r="H88" t="s">
        <v>1105</v>
      </c>
      <c r="I88">
        <v>16000</v>
      </c>
      <c r="J88">
        <v>15324.725248000001</v>
      </c>
      <c r="K88">
        <v>16000</v>
      </c>
    </row>
    <row r="89" spans="1:11" x14ac:dyDescent="0.2">
      <c r="A89" t="s">
        <v>1106</v>
      </c>
      <c r="B89">
        <v>304.76653016199998</v>
      </c>
      <c r="C89">
        <v>901.03142377699999</v>
      </c>
      <c r="D89">
        <v>228.69528067600001</v>
      </c>
      <c r="H89" t="s">
        <v>1106</v>
      </c>
      <c r="I89">
        <v>16000</v>
      </c>
      <c r="J89">
        <v>15272.034304000001</v>
      </c>
      <c r="K89">
        <v>16000</v>
      </c>
    </row>
    <row r="90" spans="1:11" x14ac:dyDescent="0.2">
      <c r="A90" t="s">
        <v>1107</v>
      </c>
      <c r="B90">
        <v>304.89573966799998</v>
      </c>
      <c r="C90">
        <v>900.87143034400003</v>
      </c>
      <c r="D90">
        <v>228.71198319999999</v>
      </c>
      <c r="H90" t="s">
        <v>1107</v>
      </c>
      <c r="I90">
        <v>16000</v>
      </c>
      <c r="J90">
        <v>15088.009216</v>
      </c>
      <c r="K90">
        <v>16000</v>
      </c>
    </row>
    <row r="91" spans="1:11" x14ac:dyDescent="0.2">
      <c r="A91" t="s">
        <v>1108</v>
      </c>
      <c r="B91">
        <v>220.04364314599999</v>
      </c>
      <c r="C91">
        <v>901.20520799200006</v>
      </c>
      <c r="D91">
        <v>295.82699050100001</v>
      </c>
      <c r="H91" t="s">
        <v>1108</v>
      </c>
      <c r="I91">
        <v>16000</v>
      </c>
      <c r="J91">
        <v>15393.538048</v>
      </c>
      <c r="K91">
        <v>16000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BD2FF-2B63-41E8-82C3-B85E56975894}">
  <dimension ref="A1:J29"/>
  <sheetViews>
    <sheetView workbookViewId="0">
      <selection activeCell="E12" sqref="E12"/>
    </sheetView>
  </sheetViews>
  <sheetFormatPr baseColWidth="10" defaultColWidth="8.83203125" defaultRowHeight="15" x14ac:dyDescent="0.2"/>
  <cols>
    <col min="1" max="51" width="25.6640625" customWidth="1"/>
  </cols>
  <sheetData>
    <row r="1" spans="1:10" x14ac:dyDescent="0.2">
      <c r="A1" t="s">
        <v>784</v>
      </c>
      <c r="B1" t="s">
        <v>785</v>
      </c>
      <c r="C1" t="s">
        <v>786</v>
      </c>
      <c r="D1" t="s">
        <v>787</v>
      </c>
      <c r="E1" t="s">
        <v>788</v>
      </c>
      <c r="H1" t="s">
        <v>784</v>
      </c>
      <c r="I1" t="s">
        <v>789</v>
      </c>
      <c r="J1" t="s">
        <v>790</v>
      </c>
    </row>
    <row r="2" spans="1:10" x14ac:dyDescent="0.2">
      <c r="A2" t="s">
        <v>834</v>
      </c>
      <c r="B2" t="s">
        <v>791</v>
      </c>
      <c r="C2">
        <v>1.6953402999999999E-2</v>
      </c>
      <c r="D2">
        <v>2.2305947000859298E-2</v>
      </c>
      <c r="E2">
        <v>2.0152320000000001</v>
      </c>
      <c r="H2" t="s">
        <v>834</v>
      </c>
      <c r="I2">
        <v>490</v>
      </c>
      <c r="J2">
        <v>1.2970499999999999E-2</v>
      </c>
    </row>
    <row r="3" spans="1:10" x14ac:dyDescent="0.2">
      <c r="A3" t="s">
        <v>835</v>
      </c>
      <c r="B3" t="s">
        <v>791</v>
      </c>
      <c r="C3">
        <v>4.5382770000000003E-2</v>
      </c>
      <c r="D3">
        <v>4.7829798975726499E-2</v>
      </c>
      <c r="E3">
        <v>2.1503999999999999</v>
      </c>
      <c r="H3" t="s">
        <v>835</v>
      </c>
      <c r="I3">
        <v>1846</v>
      </c>
      <c r="J3">
        <v>4.4793399999999998E-13</v>
      </c>
    </row>
    <row r="4" spans="1:10" x14ac:dyDescent="0.2">
      <c r="A4" t="s">
        <v>836</v>
      </c>
      <c r="B4" t="s">
        <v>791</v>
      </c>
      <c r="C4">
        <v>1.2560768E-2</v>
      </c>
      <c r="D4">
        <v>1.5136961010284699E-2</v>
      </c>
      <c r="E4">
        <v>2.011136</v>
      </c>
      <c r="H4" t="s">
        <v>836</v>
      </c>
      <c r="I4">
        <v>83</v>
      </c>
      <c r="J4">
        <v>8.4678200000000006E-9</v>
      </c>
    </row>
    <row r="5" spans="1:10" x14ac:dyDescent="0.2">
      <c r="A5" t="s">
        <v>837</v>
      </c>
      <c r="B5" t="s">
        <v>791</v>
      </c>
      <c r="C5">
        <v>1.3638323000000001E-2</v>
      </c>
      <c r="D5">
        <v>1.7500170011771801E-2</v>
      </c>
      <c r="E5">
        <v>2.0152320000000001</v>
      </c>
      <c r="H5" t="s">
        <v>837</v>
      </c>
      <c r="I5">
        <v>276</v>
      </c>
      <c r="J5">
        <v>2.6775600000000001E-7</v>
      </c>
    </row>
    <row r="6" spans="1:10" x14ac:dyDescent="0.2">
      <c r="A6" t="s">
        <v>838</v>
      </c>
      <c r="B6" t="s">
        <v>791</v>
      </c>
      <c r="C6">
        <v>9.4328199999999997E-3</v>
      </c>
      <c r="D6">
        <v>1.3967314996989401E-2</v>
      </c>
      <c r="E6">
        <v>2.2773759999999998</v>
      </c>
      <c r="H6" t="s">
        <v>838</v>
      </c>
      <c r="I6">
        <v>22</v>
      </c>
      <c r="J6">
        <v>1.6006200000000001E-6</v>
      </c>
    </row>
    <row r="7" spans="1:10" x14ac:dyDescent="0.2">
      <c r="A7" t="s">
        <v>839</v>
      </c>
      <c r="B7" t="s">
        <v>791</v>
      </c>
      <c r="C7">
        <v>1.6098626000000001E-2</v>
      </c>
      <c r="D7">
        <v>2.01889339950867E-2</v>
      </c>
      <c r="E7">
        <v>2.0152320000000001</v>
      </c>
      <c r="H7" t="s">
        <v>839</v>
      </c>
      <c r="I7">
        <v>255</v>
      </c>
      <c r="J7">
        <v>9.1679500000000004E-10</v>
      </c>
    </row>
    <row r="8" spans="1:10" x14ac:dyDescent="0.2">
      <c r="A8" t="s">
        <v>840</v>
      </c>
      <c r="B8" t="s">
        <v>791</v>
      </c>
      <c r="C8">
        <v>1.3807616E-2</v>
      </c>
      <c r="D8">
        <v>1.81068950041662E-2</v>
      </c>
      <c r="E8">
        <v>2.2773759999999998</v>
      </c>
      <c r="H8" t="s">
        <v>840</v>
      </c>
      <c r="I8">
        <v>198</v>
      </c>
      <c r="J8">
        <v>4.61056E-4</v>
      </c>
    </row>
    <row r="9" spans="1:10" x14ac:dyDescent="0.2">
      <c r="A9" t="s">
        <v>841</v>
      </c>
      <c r="B9" t="s">
        <v>791</v>
      </c>
      <c r="C9">
        <v>6.6142083000000004E-2</v>
      </c>
      <c r="D9">
        <v>6.8992360989795998E-2</v>
      </c>
      <c r="E9">
        <v>2.1872639999999999</v>
      </c>
      <c r="H9" t="s">
        <v>841</v>
      </c>
      <c r="I9">
        <v>2064</v>
      </c>
      <c r="J9">
        <v>6.6049599999999998E-13</v>
      </c>
    </row>
    <row r="10" spans="1:10" x14ac:dyDescent="0.2">
      <c r="A10" t="s">
        <v>842</v>
      </c>
      <c r="B10" t="s">
        <v>791</v>
      </c>
      <c r="C10">
        <v>8.8852788000000002E-2</v>
      </c>
      <c r="D10">
        <v>9.1651859984267503E-2</v>
      </c>
      <c r="E10">
        <v>2.2405119999999998</v>
      </c>
      <c r="H10" t="s">
        <v>842</v>
      </c>
      <c r="I10">
        <v>3217</v>
      </c>
      <c r="J10">
        <v>9.3676599999999999E-3</v>
      </c>
    </row>
    <row r="11" spans="1:10" x14ac:dyDescent="0.2">
      <c r="A11" t="s">
        <v>843</v>
      </c>
      <c r="B11" t="s">
        <v>791</v>
      </c>
      <c r="C11">
        <v>2.2081136000000001E-2</v>
      </c>
      <c r="D11">
        <v>2.7392233983846302E-2</v>
      </c>
      <c r="E11">
        <v>2.4248319999999999</v>
      </c>
      <c r="H11" t="s">
        <v>843</v>
      </c>
      <c r="I11">
        <v>663</v>
      </c>
      <c r="J11">
        <v>7.5665999999999997E-8</v>
      </c>
    </row>
    <row r="12" spans="1:10" x14ac:dyDescent="0.2">
      <c r="A12" t="s">
        <v>844</v>
      </c>
      <c r="B12" t="s">
        <v>791</v>
      </c>
      <c r="C12">
        <v>15.944227986</v>
      </c>
      <c r="D12">
        <v>15.955405745015</v>
      </c>
      <c r="E12">
        <v>263.03283199999998</v>
      </c>
      <c r="H12" t="s">
        <v>844</v>
      </c>
      <c r="I12">
        <v>570447</v>
      </c>
      <c r="J12">
        <v>1.5168E-3</v>
      </c>
    </row>
    <row r="13" spans="1:10" x14ac:dyDescent="0.2">
      <c r="A13" t="s">
        <v>845</v>
      </c>
      <c r="B13" t="s">
        <v>791</v>
      </c>
      <c r="C13">
        <v>0.74863363699999996</v>
      </c>
      <c r="D13">
        <v>0.77675974700832695</v>
      </c>
      <c r="E13">
        <v>10.530816</v>
      </c>
      <c r="H13" t="s">
        <v>845</v>
      </c>
      <c r="I13">
        <v>36256</v>
      </c>
      <c r="J13">
        <v>5.4551099999999997E-11</v>
      </c>
    </row>
    <row r="14" spans="1:10" x14ac:dyDescent="0.2">
      <c r="A14" t="s">
        <v>846</v>
      </c>
      <c r="B14" t="s">
        <v>791</v>
      </c>
      <c r="C14">
        <v>1.3838523E-2</v>
      </c>
      <c r="D14">
        <v>1.9710238004336099E-2</v>
      </c>
      <c r="E14">
        <v>2.4043519999999998</v>
      </c>
      <c r="H14" t="s">
        <v>846</v>
      </c>
      <c r="I14">
        <v>40</v>
      </c>
      <c r="J14">
        <v>3.1908900000000001E-7</v>
      </c>
    </row>
    <row r="15" spans="1:10" x14ac:dyDescent="0.2">
      <c r="A15" t="s">
        <v>847</v>
      </c>
      <c r="B15" t="s">
        <v>791</v>
      </c>
      <c r="C15">
        <v>5.4173114000000001E-2</v>
      </c>
      <c r="D15">
        <v>5.7825518015306401E-2</v>
      </c>
      <c r="E15">
        <v>2.53952</v>
      </c>
      <c r="H15" t="s">
        <v>847</v>
      </c>
      <c r="I15">
        <v>1267</v>
      </c>
      <c r="J15">
        <v>2.8172299999999999E-7</v>
      </c>
    </row>
    <row r="16" spans="1:10" x14ac:dyDescent="0.2">
      <c r="A16" t="s">
        <v>848</v>
      </c>
      <c r="B16" t="s">
        <v>791</v>
      </c>
      <c r="C16">
        <v>0.23247991500000001</v>
      </c>
      <c r="D16">
        <v>0.23795463598798899</v>
      </c>
      <c r="E16">
        <v>4.9397760000000002</v>
      </c>
      <c r="H16" t="s">
        <v>848</v>
      </c>
      <c r="I16">
        <v>6608</v>
      </c>
      <c r="J16">
        <v>2.2477300000000001E-6</v>
      </c>
    </row>
    <row r="17" spans="1:10" x14ac:dyDescent="0.2">
      <c r="A17" t="s">
        <v>849</v>
      </c>
      <c r="B17" t="s">
        <v>791</v>
      </c>
      <c r="C17">
        <v>12.300958882</v>
      </c>
      <c r="D17">
        <v>12.318845548987101</v>
      </c>
      <c r="E17">
        <v>122.66291200000001</v>
      </c>
      <c r="H17" t="s">
        <v>849</v>
      </c>
      <c r="I17">
        <v>443352</v>
      </c>
      <c r="J17">
        <v>3.0258899999999998E-10</v>
      </c>
    </row>
    <row r="18" spans="1:10" x14ac:dyDescent="0.2">
      <c r="A18" t="s">
        <v>850</v>
      </c>
      <c r="B18" t="s">
        <v>791</v>
      </c>
      <c r="C18">
        <v>0.63706424900000003</v>
      </c>
      <c r="D18">
        <v>0.64277221998781897</v>
      </c>
      <c r="E18">
        <v>9.7648639999999993</v>
      </c>
      <c r="H18" t="s">
        <v>850</v>
      </c>
      <c r="I18">
        <v>18679</v>
      </c>
      <c r="J18">
        <v>5.63773E-5</v>
      </c>
    </row>
    <row r="19" spans="1:10" x14ac:dyDescent="0.2">
      <c r="A19" t="s">
        <v>851</v>
      </c>
      <c r="B19" t="s">
        <v>791</v>
      </c>
      <c r="C19">
        <v>36.293728373999997</v>
      </c>
      <c r="D19">
        <v>36.3159050440008</v>
      </c>
      <c r="E19">
        <v>362.70899200000002</v>
      </c>
      <c r="H19" t="s">
        <v>851</v>
      </c>
      <c r="I19">
        <v>1239135</v>
      </c>
      <c r="J19">
        <v>1.58011E-6</v>
      </c>
    </row>
    <row r="20" spans="1:10" x14ac:dyDescent="0.2">
      <c r="A20" t="s">
        <v>852</v>
      </c>
      <c r="B20" t="s">
        <v>791</v>
      </c>
      <c r="C20">
        <v>117.95127764999999</v>
      </c>
      <c r="D20">
        <v>118.02305824300799</v>
      </c>
      <c r="E20">
        <v>1480.6876159999999</v>
      </c>
      <c r="H20" t="s">
        <v>852</v>
      </c>
      <c r="I20">
        <v>2811610</v>
      </c>
      <c r="J20">
        <v>2.0068199999999999E-3</v>
      </c>
    </row>
    <row r="21" spans="1:10" x14ac:dyDescent="0.2">
      <c r="A21" t="s">
        <v>853</v>
      </c>
      <c r="B21" t="s">
        <v>791</v>
      </c>
      <c r="C21">
        <v>0.47141182799999998</v>
      </c>
      <c r="D21">
        <v>0.47868693500640802</v>
      </c>
      <c r="E21">
        <v>5.6688640000000001</v>
      </c>
      <c r="H21" t="s">
        <v>853</v>
      </c>
      <c r="I21">
        <v>16334</v>
      </c>
      <c r="J21">
        <v>5.4641499999999998E-11</v>
      </c>
    </row>
    <row r="22" spans="1:10" x14ac:dyDescent="0.2">
      <c r="A22" t="s">
        <v>854</v>
      </c>
      <c r="B22" t="s">
        <v>791</v>
      </c>
      <c r="C22">
        <v>47.073838033000001</v>
      </c>
      <c r="D22">
        <v>47.139364581002098</v>
      </c>
      <c r="E22">
        <v>386.30195200000003</v>
      </c>
      <c r="H22" t="s">
        <v>854</v>
      </c>
      <c r="I22">
        <v>1726335</v>
      </c>
      <c r="J22">
        <v>4.6527100000000003E-12</v>
      </c>
    </row>
    <row r="23" spans="1:10" x14ac:dyDescent="0.2">
      <c r="A23" t="s">
        <v>855</v>
      </c>
      <c r="B23" t="s">
        <v>791</v>
      </c>
      <c r="C23">
        <v>8.1267996379999996</v>
      </c>
      <c r="D23">
        <v>8.1370438480225804</v>
      </c>
      <c r="E23">
        <v>86.020095999999995</v>
      </c>
      <c r="H23" t="s">
        <v>855</v>
      </c>
      <c r="I23">
        <v>375584</v>
      </c>
      <c r="J23">
        <v>1.4610900000000001E-4</v>
      </c>
    </row>
    <row r="24" spans="1:10" x14ac:dyDescent="0.2">
      <c r="A24" t="s">
        <v>856</v>
      </c>
      <c r="B24" t="s">
        <v>791</v>
      </c>
      <c r="C24">
        <v>291.82163716399998</v>
      </c>
      <c r="D24">
        <v>291.985303517023</v>
      </c>
      <c r="E24">
        <v>1367.9288320000001</v>
      </c>
      <c r="H24" t="s">
        <v>856</v>
      </c>
      <c r="I24">
        <v>5350736</v>
      </c>
      <c r="J24">
        <v>3.3607800000000002E-4</v>
      </c>
    </row>
    <row r="25" spans="1:10" x14ac:dyDescent="0.2">
      <c r="A25" t="s">
        <v>857</v>
      </c>
      <c r="B25" t="s">
        <v>791</v>
      </c>
      <c r="C25">
        <v>35.408349342999998</v>
      </c>
      <c r="D25">
        <v>35.452919406001399</v>
      </c>
      <c r="E25">
        <v>325.43948799999998</v>
      </c>
      <c r="H25" t="s">
        <v>857</v>
      </c>
      <c r="I25">
        <v>1153131</v>
      </c>
      <c r="J25">
        <v>6.3977800000000002E-10</v>
      </c>
    </row>
    <row r="26" spans="1:10" x14ac:dyDescent="0.2">
      <c r="A26" t="s">
        <v>859</v>
      </c>
      <c r="B26" t="s">
        <v>791</v>
      </c>
      <c r="C26">
        <v>25.597309141</v>
      </c>
      <c r="D26">
        <v>25.617429645993901</v>
      </c>
      <c r="E26">
        <v>209.42848000000001</v>
      </c>
      <c r="H26" t="s">
        <v>859</v>
      </c>
      <c r="I26">
        <v>839229</v>
      </c>
      <c r="J26">
        <v>4.49897E-21</v>
      </c>
    </row>
    <row r="27" spans="1:10" x14ac:dyDescent="0.2">
      <c r="A27" t="s">
        <v>862</v>
      </c>
      <c r="B27" t="s">
        <v>791</v>
      </c>
      <c r="C27">
        <v>13.864054831000001</v>
      </c>
      <c r="D27">
        <v>13.874182153987899</v>
      </c>
      <c r="E27">
        <v>158.347264</v>
      </c>
      <c r="H27" t="s">
        <v>862</v>
      </c>
      <c r="I27">
        <v>476224</v>
      </c>
      <c r="J27">
        <v>2.7968200000000002E-19</v>
      </c>
    </row>
    <row r="28" spans="1:10" x14ac:dyDescent="0.2">
      <c r="A28" t="s">
        <v>864</v>
      </c>
      <c r="B28" t="s">
        <v>791</v>
      </c>
      <c r="C28">
        <v>10.800777144</v>
      </c>
      <c r="D28">
        <v>10.8114266839984</v>
      </c>
      <c r="E28">
        <v>77.750271999999995</v>
      </c>
      <c r="H28" t="s">
        <v>864</v>
      </c>
      <c r="I28">
        <v>194658</v>
      </c>
      <c r="J28">
        <v>6.9630500000000001E-11</v>
      </c>
    </row>
    <row r="29" spans="1:10" x14ac:dyDescent="0.2">
      <c r="A29" t="s">
        <v>868</v>
      </c>
      <c r="B29" t="s">
        <v>791</v>
      </c>
      <c r="C29">
        <v>93.173343153999994</v>
      </c>
      <c r="D29">
        <v>93.219905280013293</v>
      </c>
      <c r="E29">
        <v>595.86559999999997</v>
      </c>
      <c r="H29" t="s">
        <v>868</v>
      </c>
      <c r="I29">
        <v>2568192</v>
      </c>
      <c r="J29">
        <v>3.74541E-42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F6546-5B25-42F4-B285-466EDE045B13}">
  <dimension ref="A1:M7"/>
  <sheetViews>
    <sheetView workbookViewId="0">
      <selection activeCell="G13" sqref="G13"/>
    </sheetView>
  </sheetViews>
  <sheetFormatPr baseColWidth="10" defaultColWidth="8.83203125" defaultRowHeight="15" x14ac:dyDescent="0.2"/>
  <cols>
    <col min="11" max="11" width="14" bestFit="1" customWidth="1"/>
    <col min="12" max="12" width="7.6640625" bestFit="1" customWidth="1"/>
    <col min="13" max="13" width="7.83203125" bestFit="1" customWidth="1"/>
  </cols>
  <sheetData>
    <row r="1" spans="1:13" x14ac:dyDescent="0.2">
      <c r="D1" t="s">
        <v>784</v>
      </c>
      <c r="E1" t="s">
        <v>785</v>
      </c>
      <c r="F1" t="s">
        <v>786</v>
      </c>
      <c r="G1" t="s">
        <v>787</v>
      </c>
      <c r="H1" t="s">
        <v>788</v>
      </c>
      <c r="K1" t="s">
        <v>784</v>
      </c>
      <c r="L1" t="s">
        <v>789</v>
      </c>
      <c r="M1" t="s">
        <v>790</v>
      </c>
    </row>
    <row r="2" spans="1:13" x14ac:dyDescent="0.2">
      <c r="A2" t="s">
        <v>795</v>
      </c>
      <c r="B2">
        <v>100</v>
      </c>
      <c r="C2">
        <v>5</v>
      </c>
      <c r="D2" t="str">
        <f>A2&amp;B2&amp;"-0"&amp;C2</f>
        <v>ccf1-100-05</v>
      </c>
      <c r="E2" t="s">
        <v>791</v>
      </c>
      <c r="F2">
        <v>3.6760888999999998E-2</v>
      </c>
      <c r="G2">
        <v>4.1673626983538201E-2</v>
      </c>
      <c r="H2">
        <v>4.6284799999999997</v>
      </c>
      <c r="K2" t="s">
        <v>1019</v>
      </c>
      <c r="L2">
        <v>149</v>
      </c>
      <c r="M2" s="1">
        <v>1.6006200000000001E-6</v>
      </c>
    </row>
    <row r="3" spans="1:13" x14ac:dyDescent="0.2">
      <c r="A3" t="s">
        <v>796</v>
      </c>
      <c r="B3">
        <v>100</v>
      </c>
      <c r="C3">
        <v>5</v>
      </c>
      <c r="D3" t="str">
        <f t="shared" ref="D3:D7" si="0">A3&amp;B3&amp;"-0"&amp;C3</f>
        <v>ccf2-100-05</v>
      </c>
      <c r="E3" t="s">
        <v>791</v>
      </c>
      <c r="F3">
        <v>2.8130930780000001</v>
      </c>
      <c r="G3">
        <v>2.8190037470194498</v>
      </c>
      <c r="H3">
        <v>45.707264000000002</v>
      </c>
      <c r="K3" t="s">
        <v>1020</v>
      </c>
      <c r="L3">
        <v>135316</v>
      </c>
      <c r="M3" s="1">
        <v>1.64337E-6</v>
      </c>
    </row>
    <row r="4" spans="1:13" x14ac:dyDescent="0.2">
      <c r="A4" t="s">
        <v>797</v>
      </c>
      <c r="B4">
        <v>100</v>
      </c>
      <c r="C4">
        <v>5</v>
      </c>
      <c r="D4" t="str">
        <f t="shared" si="0"/>
        <v>ccf3-100-05</v>
      </c>
      <c r="E4" t="s">
        <v>791</v>
      </c>
      <c r="F4">
        <v>47.590023115999998</v>
      </c>
      <c r="G4">
        <v>47.628174762998199</v>
      </c>
      <c r="H4">
        <v>415.62521600000002</v>
      </c>
      <c r="K4" t="s">
        <v>1021</v>
      </c>
      <c r="L4">
        <v>2166912</v>
      </c>
      <c r="M4" s="1">
        <v>3.3343399999999998E-6</v>
      </c>
    </row>
    <row r="5" spans="1:13" x14ac:dyDescent="0.2">
      <c r="A5" t="s">
        <v>795</v>
      </c>
      <c r="B5">
        <v>200</v>
      </c>
      <c r="C5">
        <v>5</v>
      </c>
      <c r="D5" t="str">
        <f t="shared" si="0"/>
        <v>ccf1-200-05</v>
      </c>
      <c r="E5" t="s">
        <v>791</v>
      </c>
      <c r="F5">
        <v>1.4992862360000001</v>
      </c>
      <c r="G5">
        <v>1.5041637669782999</v>
      </c>
      <c r="H5">
        <v>13.348864000000001</v>
      </c>
      <c r="K5" t="s">
        <v>1028</v>
      </c>
      <c r="L5">
        <v>38595</v>
      </c>
      <c r="M5" s="1">
        <v>2.5712999999999997E-7</v>
      </c>
    </row>
    <row r="6" spans="1:13" x14ac:dyDescent="0.2">
      <c r="A6" t="s">
        <v>796</v>
      </c>
      <c r="B6">
        <v>200</v>
      </c>
      <c r="C6">
        <v>5</v>
      </c>
      <c r="D6" t="str">
        <f t="shared" si="0"/>
        <v>ccf2-200-05</v>
      </c>
      <c r="E6" t="s">
        <v>791</v>
      </c>
      <c r="F6">
        <v>23.549590503000001</v>
      </c>
      <c r="G6">
        <v>23.560699565015899</v>
      </c>
      <c r="H6">
        <v>168.78796800000001</v>
      </c>
      <c r="K6" t="s">
        <v>1029</v>
      </c>
      <c r="L6">
        <v>590652</v>
      </c>
      <c r="M6" s="1">
        <v>2.5761500000000002E-7</v>
      </c>
    </row>
    <row r="7" spans="1:13" x14ac:dyDescent="0.2">
      <c r="A7" t="s">
        <v>797</v>
      </c>
      <c r="B7">
        <v>200</v>
      </c>
      <c r="C7">
        <v>5</v>
      </c>
      <c r="D7" t="str">
        <f t="shared" si="0"/>
        <v>ccf3-200-05</v>
      </c>
      <c r="E7" t="s">
        <v>791</v>
      </c>
      <c r="F7">
        <v>213.71024798400001</v>
      </c>
      <c r="G7">
        <v>213.80040917501901</v>
      </c>
      <c r="H7">
        <v>1129.6890880000001</v>
      </c>
      <c r="K7" t="s">
        <v>1030</v>
      </c>
      <c r="L7">
        <v>5124571</v>
      </c>
      <c r="M7" s="1">
        <v>2.6479799999999999E-7</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01259-55B4-44AB-B72E-4CEC56C8C040}">
  <dimension ref="A1:O16"/>
  <sheetViews>
    <sheetView workbookViewId="0">
      <selection activeCell="L12" sqref="L12"/>
    </sheetView>
  </sheetViews>
  <sheetFormatPr baseColWidth="10" defaultColWidth="8.83203125" defaultRowHeight="15" x14ac:dyDescent="0.2"/>
  <sheetData>
    <row r="1" spans="1:15" x14ac:dyDescent="0.2">
      <c r="D1" t="s">
        <v>784</v>
      </c>
      <c r="E1" t="s">
        <v>785</v>
      </c>
      <c r="F1" t="s">
        <v>786</v>
      </c>
      <c r="G1" t="s">
        <v>787</v>
      </c>
      <c r="H1" t="s">
        <v>788</v>
      </c>
      <c r="K1" t="s">
        <v>789</v>
      </c>
      <c r="L1" t="s">
        <v>790</v>
      </c>
    </row>
    <row r="2" spans="1:15" x14ac:dyDescent="0.2">
      <c r="A2">
        <v>100</v>
      </c>
      <c r="B2">
        <v>1</v>
      </c>
      <c r="D2" t="str">
        <f t="shared" ref="D2:D16" si="0">A2&amp;"-0"&amp;B2</f>
        <v>100-01</v>
      </c>
      <c r="E2" t="s">
        <v>804</v>
      </c>
      <c r="F2">
        <v>0.71710586899999995</v>
      </c>
      <c r="G2">
        <v>0.72104286303510801</v>
      </c>
      <c r="H2">
        <v>4.0960000000000001</v>
      </c>
      <c r="K2">
        <v>490</v>
      </c>
      <c r="L2" s="1">
        <v>1.2908299999999999E-2</v>
      </c>
    </row>
    <row r="3" spans="1:15" x14ac:dyDescent="0.2">
      <c r="A3">
        <v>100</v>
      </c>
      <c r="B3">
        <v>2</v>
      </c>
      <c r="D3" t="str">
        <f t="shared" si="0"/>
        <v>100-02</v>
      </c>
      <c r="E3" t="s">
        <v>804</v>
      </c>
      <c r="F3">
        <v>0.77282153899999995</v>
      </c>
      <c r="G3">
        <v>0.77685253397794396</v>
      </c>
      <c r="H3">
        <v>4.4851200000000002</v>
      </c>
      <c r="K3">
        <v>1846</v>
      </c>
      <c r="L3" s="1">
        <v>4.4686499999999998E-13</v>
      </c>
      <c r="O3" s="1"/>
    </row>
    <row r="4" spans="1:15" x14ac:dyDescent="0.2">
      <c r="A4">
        <v>100</v>
      </c>
      <c r="B4">
        <v>3</v>
      </c>
      <c r="D4" t="str">
        <f t="shared" si="0"/>
        <v>100-03</v>
      </c>
      <c r="E4" t="s">
        <v>804</v>
      </c>
      <c r="F4">
        <v>0.69587020300000002</v>
      </c>
      <c r="G4">
        <v>0.69832128199050203</v>
      </c>
      <c r="H4">
        <v>4.0222720000000001</v>
      </c>
      <c r="K4">
        <v>83</v>
      </c>
      <c r="L4" s="1">
        <v>8.4678200000000006E-9</v>
      </c>
      <c r="O4" s="1"/>
    </row>
    <row r="5" spans="1:15" x14ac:dyDescent="0.2">
      <c r="A5">
        <v>100</v>
      </c>
      <c r="B5">
        <v>4</v>
      </c>
      <c r="D5" t="str">
        <f t="shared" si="0"/>
        <v>100-04</v>
      </c>
      <c r="E5" t="s">
        <v>804</v>
      </c>
      <c r="F5">
        <v>0.72679737099999997</v>
      </c>
      <c r="G5">
        <v>0.72898971202084795</v>
      </c>
      <c r="H5">
        <v>4.1451520000000004</v>
      </c>
      <c r="K5">
        <v>276</v>
      </c>
      <c r="L5" s="1">
        <v>2.6775600000000001E-7</v>
      </c>
      <c r="O5" s="1"/>
    </row>
    <row r="6" spans="1:15" x14ac:dyDescent="0.2">
      <c r="A6">
        <v>100</v>
      </c>
      <c r="B6">
        <v>5</v>
      </c>
      <c r="D6" t="str">
        <f t="shared" si="0"/>
        <v>100-05</v>
      </c>
      <c r="E6" t="s">
        <v>804</v>
      </c>
      <c r="F6">
        <v>0.69602752400000001</v>
      </c>
      <c r="G6">
        <v>0.702072107000276</v>
      </c>
      <c r="H6">
        <v>4.0427520000000001</v>
      </c>
      <c r="K6">
        <v>22</v>
      </c>
      <c r="L6" s="1">
        <v>1.6006200000000001E-6</v>
      </c>
      <c r="O6" s="1"/>
    </row>
    <row r="7" spans="1:15" x14ac:dyDescent="0.2">
      <c r="A7">
        <v>100</v>
      </c>
      <c r="B7">
        <v>6</v>
      </c>
      <c r="D7" t="str">
        <f t="shared" si="0"/>
        <v>100-06</v>
      </c>
      <c r="E7" t="s">
        <v>804</v>
      </c>
      <c r="F7">
        <v>0.72603528500000003</v>
      </c>
      <c r="G7">
        <v>0.72800144599750605</v>
      </c>
      <c r="H7">
        <v>4.1041920000000003</v>
      </c>
      <c r="K7">
        <v>255</v>
      </c>
      <c r="L7" s="1">
        <v>9.1679500000000004E-10</v>
      </c>
      <c r="O7" s="1"/>
    </row>
    <row r="8" spans="1:15" x14ac:dyDescent="0.2">
      <c r="A8">
        <v>100</v>
      </c>
      <c r="B8">
        <v>7</v>
      </c>
      <c r="D8" t="str">
        <f t="shared" si="0"/>
        <v>100-07</v>
      </c>
      <c r="E8" t="s">
        <v>804</v>
      </c>
      <c r="F8">
        <v>0.79731789200000003</v>
      </c>
      <c r="G8">
        <v>0.80213187501067296</v>
      </c>
      <c r="H8">
        <v>6.1276159999999997</v>
      </c>
      <c r="K8">
        <v>198</v>
      </c>
      <c r="L8" s="1">
        <v>4.6097999999999999E-4</v>
      </c>
      <c r="O8" s="1"/>
    </row>
    <row r="9" spans="1:15" x14ac:dyDescent="0.2">
      <c r="A9">
        <v>100</v>
      </c>
      <c r="B9">
        <v>8</v>
      </c>
      <c r="D9" t="str">
        <f t="shared" si="0"/>
        <v>100-08</v>
      </c>
      <c r="E9" t="s">
        <v>804</v>
      </c>
      <c r="F9">
        <v>2.0490610810000001</v>
      </c>
      <c r="G9">
        <v>2.0517553230165499</v>
      </c>
      <c r="H9">
        <v>9.1422720000000002</v>
      </c>
      <c r="K9">
        <v>2064</v>
      </c>
      <c r="L9" s="1">
        <v>6.5969500000000005E-13</v>
      </c>
      <c r="O9" s="1"/>
    </row>
    <row r="10" spans="1:15" x14ac:dyDescent="0.2">
      <c r="A10">
        <v>100</v>
      </c>
      <c r="B10">
        <v>9</v>
      </c>
      <c r="D10" t="str">
        <f t="shared" si="0"/>
        <v>100-09</v>
      </c>
      <c r="E10" t="s">
        <v>804</v>
      </c>
      <c r="F10">
        <v>1.100666763</v>
      </c>
      <c r="G10">
        <v>1.10542417899705</v>
      </c>
      <c r="H10">
        <v>5.2142080000000002</v>
      </c>
      <c r="K10">
        <v>3217</v>
      </c>
      <c r="L10" s="1">
        <v>9.3311999999999996E-3</v>
      </c>
      <c r="O10" s="1"/>
    </row>
    <row r="11" spans="1:15" x14ac:dyDescent="0.2">
      <c r="A11">
        <v>200</v>
      </c>
      <c r="B11">
        <v>1</v>
      </c>
      <c r="D11" t="str">
        <f t="shared" si="0"/>
        <v>200-01</v>
      </c>
      <c r="E11" t="s">
        <v>804</v>
      </c>
      <c r="F11">
        <v>43.019294616000003</v>
      </c>
      <c r="G11">
        <v>43.080467893974799</v>
      </c>
      <c r="H11">
        <v>10.944512</v>
      </c>
      <c r="K11">
        <v>663</v>
      </c>
      <c r="L11" s="1">
        <v>7.5665999999999997E-8</v>
      </c>
      <c r="O11" s="1"/>
    </row>
    <row r="12" spans="1:15" x14ac:dyDescent="0.2">
      <c r="A12">
        <v>200</v>
      </c>
      <c r="B12">
        <v>2</v>
      </c>
      <c r="D12" t="str">
        <f t="shared" si="0"/>
        <v>200-02</v>
      </c>
      <c r="E12" t="s">
        <v>804</v>
      </c>
      <c r="F12">
        <v>3.372955159</v>
      </c>
      <c r="G12">
        <v>3.3812520779902102</v>
      </c>
      <c r="H12">
        <v>10.846208000000001</v>
      </c>
    </row>
    <row r="13" spans="1:15" x14ac:dyDescent="0.2">
      <c r="A13">
        <v>200</v>
      </c>
      <c r="B13">
        <v>3</v>
      </c>
      <c r="D13" t="str">
        <f t="shared" si="0"/>
        <v>200-03</v>
      </c>
      <c r="E13" t="s">
        <v>804</v>
      </c>
      <c r="F13">
        <v>1.090108571</v>
      </c>
      <c r="G13">
        <v>1.1008414429961699</v>
      </c>
      <c r="H13">
        <v>7.528448</v>
      </c>
      <c r="K13">
        <v>36256</v>
      </c>
      <c r="L13" s="1">
        <v>5.4551099999999997E-11</v>
      </c>
      <c r="O13" s="1"/>
    </row>
    <row r="14" spans="1:15" x14ac:dyDescent="0.2">
      <c r="A14">
        <v>200</v>
      </c>
      <c r="B14">
        <v>4</v>
      </c>
      <c r="D14" t="str">
        <f t="shared" si="0"/>
        <v>200-04</v>
      </c>
      <c r="E14" t="s">
        <v>804</v>
      </c>
      <c r="F14">
        <v>5.9707260900000003</v>
      </c>
      <c r="G14">
        <v>5.9948818529955998</v>
      </c>
      <c r="H14">
        <v>16.273408</v>
      </c>
      <c r="K14">
        <v>40</v>
      </c>
      <c r="L14" s="1">
        <v>3.1908900000000001E-7</v>
      </c>
      <c r="O14" s="1"/>
    </row>
    <row r="15" spans="1:15" x14ac:dyDescent="0.2">
      <c r="A15">
        <v>200</v>
      </c>
      <c r="B15">
        <v>5</v>
      </c>
      <c r="D15" t="str">
        <f t="shared" si="0"/>
        <v>200-05</v>
      </c>
      <c r="E15" t="s">
        <v>804</v>
      </c>
      <c r="F15">
        <v>1.5522600259999999</v>
      </c>
      <c r="G15">
        <v>1.5590102089918201</v>
      </c>
      <c r="H15">
        <v>9.1709440000000004</v>
      </c>
      <c r="K15">
        <v>1267</v>
      </c>
      <c r="L15" s="1">
        <v>2.8172299999999999E-7</v>
      </c>
      <c r="O15" s="1"/>
    </row>
    <row r="16" spans="1:15" x14ac:dyDescent="0.2">
      <c r="A16">
        <v>200</v>
      </c>
      <c r="B16">
        <v>6</v>
      </c>
      <c r="D16" t="str">
        <f t="shared" si="0"/>
        <v>200-06</v>
      </c>
      <c r="E16" t="s">
        <v>804</v>
      </c>
      <c r="F16">
        <v>3.8128432609999998</v>
      </c>
      <c r="G16">
        <v>3.81966781098162</v>
      </c>
      <c r="H16">
        <v>10.911744000000001</v>
      </c>
      <c r="K16">
        <v>6608</v>
      </c>
      <c r="L16" s="1">
        <v>2.2477300000000001E-6</v>
      </c>
      <c r="O16" s="1"/>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4CB39-BC6E-4E9B-AAC9-01948F18CD00}">
  <dimension ref="A1:P13"/>
  <sheetViews>
    <sheetView workbookViewId="0">
      <selection activeCell="F17" sqref="F17"/>
    </sheetView>
  </sheetViews>
  <sheetFormatPr baseColWidth="10" defaultColWidth="8.83203125" defaultRowHeight="15" x14ac:dyDescent="0.2"/>
  <sheetData>
    <row r="1" spans="1:16" x14ac:dyDescent="0.2">
      <c r="E1" t="s">
        <v>784</v>
      </c>
      <c r="F1" t="s">
        <v>785</v>
      </c>
      <c r="G1" t="s">
        <v>786</v>
      </c>
      <c r="H1" t="s">
        <v>787</v>
      </c>
      <c r="I1" t="s">
        <v>788</v>
      </c>
      <c r="L1" t="s">
        <v>789</v>
      </c>
      <c r="M1" t="s">
        <v>790</v>
      </c>
    </row>
    <row r="2" spans="1:16" x14ac:dyDescent="0.2">
      <c r="A2" t="s">
        <v>805</v>
      </c>
      <c r="B2">
        <v>100</v>
      </c>
      <c r="C2">
        <v>5</v>
      </c>
      <c r="E2" t="str">
        <f t="shared" ref="E2:E13" si="0">A2&amp;"-"&amp;B2&amp;"-0"&amp;C2</f>
        <v>ccf1-100-05</v>
      </c>
      <c r="F2" t="s">
        <v>804</v>
      </c>
      <c r="G2">
        <v>1.3500669970000001</v>
      </c>
      <c r="H2">
        <v>1.37262922502122</v>
      </c>
      <c r="I2">
        <v>4.5219839999999998</v>
      </c>
      <c r="L2">
        <v>22</v>
      </c>
      <c r="M2" s="1">
        <v>1.6006200000000001E-6</v>
      </c>
      <c r="P2" s="1"/>
    </row>
    <row r="3" spans="1:16" x14ac:dyDescent="0.2">
      <c r="A3" t="s">
        <v>806</v>
      </c>
      <c r="B3">
        <v>100</v>
      </c>
      <c r="C3">
        <v>5</v>
      </c>
      <c r="E3" t="str">
        <f t="shared" si="0"/>
        <v>ccf2-100-05</v>
      </c>
      <c r="F3" t="s">
        <v>804</v>
      </c>
      <c r="G3">
        <v>0.69035540699999998</v>
      </c>
      <c r="H3">
        <v>0.69987427501473498</v>
      </c>
      <c r="I3">
        <v>4.0304640000000003</v>
      </c>
      <c r="L3">
        <v>22</v>
      </c>
      <c r="M3" s="1">
        <v>1.83886E-6</v>
      </c>
      <c r="P3" s="1"/>
    </row>
    <row r="4" spans="1:16" x14ac:dyDescent="0.2">
      <c r="A4" t="s">
        <v>805</v>
      </c>
      <c r="B4">
        <v>200</v>
      </c>
      <c r="C4">
        <v>5</v>
      </c>
      <c r="E4" t="str">
        <f t="shared" si="0"/>
        <v>ccf1-200-05</v>
      </c>
      <c r="F4" t="s">
        <v>804</v>
      </c>
      <c r="G4">
        <v>5.2055731280000002</v>
      </c>
      <c r="H4">
        <v>5.2184080940205604</v>
      </c>
      <c r="I4">
        <v>7.8151679999999999</v>
      </c>
      <c r="L4">
        <v>75</v>
      </c>
      <c r="M4" s="1">
        <v>2.5965599999999998E-7</v>
      </c>
      <c r="P4" s="1"/>
    </row>
    <row r="5" spans="1:16" x14ac:dyDescent="0.2">
      <c r="A5" t="s">
        <v>806</v>
      </c>
      <c r="B5">
        <v>200</v>
      </c>
      <c r="C5">
        <v>5</v>
      </c>
      <c r="E5" t="str">
        <f t="shared" si="0"/>
        <v>ccf2-200-05</v>
      </c>
      <c r="F5" t="s">
        <v>804</v>
      </c>
      <c r="G5">
        <v>4.505479759</v>
      </c>
      <c r="H5">
        <v>4.51137721800478</v>
      </c>
      <c r="I5">
        <v>7.8397439999999996</v>
      </c>
      <c r="L5">
        <v>75</v>
      </c>
      <c r="M5" s="1">
        <v>2.6110999999999999E-7</v>
      </c>
      <c r="P5" s="1"/>
    </row>
    <row r="6" spans="1:16" x14ac:dyDescent="0.2">
      <c r="A6" t="s">
        <v>807</v>
      </c>
      <c r="B6">
        <v>200</v>
      </c>
      <c r="C6">
        <v>5</v>
      </c>
      <c r="E6" t="str">
        <f t="shared" si="0"/>
        <v>ccf3-200-05</v>
      </c>
      <c r="F6" t="s">
        <v>804</v>
      </c>
      <c r="G6">
        <v>4.1700678900000003</v>
      </c>
      <c r="H6">
        <v>4.1764681089552997</v>
      </c>
      <c r="I6">
        <v>7.6595199999999997</v>
      </c>
      <c r="L6">
        <v>76</v>
      </c>
      <c r="M6" s="1">
        <v>3.0952500000000001E-7</v>
      </c>
      <c r="P6" s="1"/>
    </row>
    <row r="7" spans="1:16" x14ac:dyDescent="0.2">
      <c r="A7" t="s">
        <v>808</v>
      </c>
      <c r="B7">
        <v>200</v>
      </c>
      <c r="C7">
        <v>5</v>
      </c>
      <c r="E7" t="str">
        <f t="shared" si="0"/>
        <v>ccf4-200-05</v>
      </c>
      <c r="F7" t="s">
        <v>804</v>
      </c>
      <c r="G7">
        <v>4.3989832780000002</v>
      </c>
      <c r="H7">
        <v>4.4127230999874802</v>
      </c>
      <c r="I7">
        <v>7.4874879999999999</v>
      </c>
      <c r="L7">
        <v>76</v>
      </c>
      <c r="M7" s="1">
        <v>3.0952500000000001E-7</v>
      </c>
    </row>
    <row r="8" spans="1:16" x14ac:dyDescent="0.2">
      <c r="A8" t="s">
        <v>809</v>
      </c>
      <c r="B8">
        <v>200</v>
      </c>
      <c r="C8">
        <v>5</v>
      </c>
      <c r="E8" t="str">
        <f t="shared" si="0"/>
        <v>ccf5-200-05</v>
      </c>
      <c r="F8" t="s">
        <v>804</v>
      </c>
      <c r="G8">
        <v>5.3829933179999996</v>
      </c>
      <c r="H8">
        <v>5.3869964350014898</v>
      </c>
      <c r="I8">
        <v>7.7701120000000001</v>
      </c>
      <c r="L8">
        <v>77</v>
      </c>
      <c r="M8" s="1">
        <v>3.1609000000000002E-7</v>
      </c>
    </row>
    <row r="9" spans="1:16" x14ac:dyDescent="0.2">
      <c r="A9" t="s">
        <v>810</v>
      </c>
      <c r="B9">
        <v>200</v>
      </c>
      <c r="C9">
        <v>5</v>
      </c>
      <c r="E9" t="str">
        <f t="shared" si="0"/>
        <v>ccf6-200-05</v>
      </c>
      <c r="F9" t="s">
        <v>804</v>
      </c>
      <c r="G9">
        <v>2.3162434890000001</v>
      </c>
      <c r="H9">
        <v>2.3219472570344801</v>
      </c>
      <c r="I9">
        <v>7.3646079999999996</v>
      </c>
      <c r="L9">
        <v>23</v>
      </c>
      <c r="M9" s="1">
        <v>3.67334E-7</v>
      </c>
    </row>
    <row r="10" spans="1:16" x14ac:dyDescent="0.2">
      <c r="A10" t="s">
        <v>811</v>
      </c>
      <c r="B10">
        <v>200</v>
      </c>
      <c r="C10">
        <v>5</v>
      </c>
      <c r="E10" t="str">
        <f t="shared" si="0"/>
        <v>ccf7-200-05</v>
      </c>
      <c r="F10" t="s">
        <v>804</v>
      </c>
      <c r="G10">
        <v>0.84457325900000002</v>
      </c>
      <c r="H10">
        <v>0.84667842095950596</v>
      </c>
      <c r="I10">
        <v>5.6238080000000004</v>
      </c>
      <c r="L10">
        <v>23</v>
      </c>
      <c r="M10" s="1">
        <v>6.3703899999999994E-8</v>
      </c>
    </row>
    <row r="11" spans="1:16" x14ac:dyDescent="0.2">
      <c r="A11" t="s">
        <v>812</v>
      </c>
      <c r="B11">
        <v>200</v>
      </c>
      <c r="C11">
        <v>5</v>
      </c>
      <c r="E11" t="str">
        <f t="shared" si="0"/>
        <v>ccf8-200-05</v>
      </c>
      <c r="F11" t="s">
        <v>804</v>
      </c>
      <c r="G11">
        <v>0.82696074200000003</v>
      </c>
      <c r="H11">
        <v>0.83032418502261796</v>
      </c>
      <c r="I11">
        <v>9.0112000000000005</v>
      </c>
      <c r="L11">
        <v>23</v>
      </c>
      <c r="M11" s="1">
        <v>5.82573E-8</v>
      </c>
    </row>
    <row r="12" spans="1:16" x14ac:dyDescent="0.2">
      <c r="A12" t="s">
        <v>813</v>
      </c>
      <c r="B12">
        <v>200</v>
      </c>
      <c r="C12">
        <v>5</v>
      </c>
      <c r="E12" t="str">
        <f t="shared" si="0"/>
        <v>ccf9-200-05</v>
      </c>
      <c r="F12" t="s">
        <v>804</v>
      </c>
      <c r="G12">
        <v>0.72581151300000002</v>
      </c>
      <c r="H12">
        <v>0.72786006302339901</v>
      </c>
      <c r="I12">
        <v>4.2311680000000003</v>
      </c>
      <c r="L12">
        <v>24</v>
      </c>
      <c r="M12" s="1">
        <v>5.9550199999999998E-8</v>
      </c>
    </row>
    <row r="13" spans="1:16" x14ac:dyDescent="0.2">
      <c r="A13" t="s">
        <v>813</v>
      </c>
      <c r="B13">
        <v>300</v>
      </c>
      <c r="C13">
        <v>5</v>
      </c>
      <c r="E13" t="str">
        <f t="shared" si="0"/>
        <v>ccf9-300-05</v>
      </c>
      <c r="F13" t="s">
        <v>804</v>
      </c>
      <c r="G13">
        <v>4.4427802920000001</v>
      </c>
      <c r="H13">
        <v>4.4467243849648996</v>
      </c>
      <c r="I13">
        <v>10.534912</v>
      </c>
      <c r="L13">
        <v>36</v>
      </c>
      <c r="M13" s="1">
        <v>3.3606899999999998E-4</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1772C-B6C2-48D2-B918-6AAB79267F99}">
  <dimension ref="A1:AJ44"/>
  <sheetViews>
    <sheetView topLeftCell="Q1" zoomScale="80" zoomScaleNormal="80" workbookViewId="0">
      <selection activeCell="X4" sqref="X4"/>
    </sheetView>
  </sheetViews>
  <sheetFormatPr baseColWidth="10" defaultColWidth="8.83203125" defaultRowHeight="15" x14ac:dyDescent="0.2"/>
  <sheetData>
    <row r="1" spans="1:36" x14ac:dyDescent="0.2">
      <c r="C1" t="s">
        <v>784</v>
      </c>
      <c r="F1" t="s">
        <v>784</v>
      </c>
      <c r="G1" t="s">
        <v>785</v>
      </c>
      <c r="H1" t="s">
        <v>827</v>
      </c>
      <c r="I1" t="s">
        <v>787</v>
      </c>
      <c r="J1" t="s">
        <v>828</v>
      </c>
      <c r="L1" t="s">
        <v>824</v>
      </c>
      <c r="M1" t="s">
        <v>826</v>
      </c>
      <c r="P1" t="s">
        <v>784</v>
      </c>
      <c r="Q1" t="s">
        <v>785</v>
      </c>
      <c r="R1" t="s">
        <v>829</v>
      </c>
      <c r="S1" t="s">
        <v>787</v>
      </c>
      <c r="T1" t="s">
        <v>830</v>
      </c>
      <c r="V1" t="s">
        <v>824</v>
      </c>
      <c r="W1" t="s">
        <v>826</v>
      </c>
      <c r="AA1" t="s">
        <v>784</v>
      </c>
      <c r="AB1" t="s">
        <v>785</v>
      </c>
      <c r="AC1" t="s">
        <v>831</v>
      </c>
      <c r="AD1" t="s">
        <v>787</v>
      </c>
      <c r="AE1" t="s">
        <v>832</v>
      </c>
      <c r="AH1" t="s">
        <v>824</v>
      </c>
      <c r="AI1" t="s">
        <v>826</v>
      </c>
    </row>
    <row r="2" spans="1:36" ht="16" x14ac:dyDescent="0.2">
      <c r="A2">
        <v>100</v>
      </c>
      <c r="B2">
        <v>1</v>
      </c>
      <c r="C2" t="str">
        <f t="shared" ref="C2:C44" si="0">A2&amp;"-0"&amp;B2</f>
        <v>100-01</v>
      </c>
      <c r="F2" t="s">
        <v>834</v>
      </c>
      <c r="G2" t="s">
        <v>833</v>
      </c>
      <c r="H2">
        <v>0.11244756</v>
      </c>
      <c r="I2">
        <v>0.143246715975692</v>
      </c>
      <c r="J2">
        <v>6.3324160000000003</v>
      </c>
      <c r="L2">
        <v>490</v>
      </c>
      <c r="M2" s="1">
        <v>7.7400000000000004E-6</v>
      </c>
      <c r="N2" s="5">
        <v>1.15222E-2</v>
      </c>
      <c r="O2" s="5"/>
      <c r="P2" s="5" t="s">
        <v>834</v>
      </c>
      <c r="Q2" t="s">
        <v>833</v>
      </c>
      <c r="R2">
        <v>0.118721988</v>
      </c>
      <c r="S2">
        <v>0.155261888983659</v>
      </c>
      <c r="T2">
        <v>6.2177280000000001</v>
      </c>
      <c r="V2">
        <v>490</v>
      </c>
      <c r="W2">
        <v>2.6601899999999999E-4</v>
      </c>
      <c r="X2">
        <v>1.2970499999999999E-2</v>
      </c>
      <c r="AA2" s="5" t="s">
        <v>834</v>
      </c>
      <c r="AB2" t="s">
        <v>833</v>
      </c>
      <c r="AC2">
        <v>0.113772972</v>
      </c>
      <c r="AD2">
        <v>0.146533915016334</v>
      </c>
      <c r="AE2">
        <v>6.2709760000000001</v>
      </c>
      <c r="AH2">
        <v>490</v>
      </c>
      <c r="AI2">
        <v>2.6805600000000002E-4</v>
      </c>
      <c r="AJ2">
        <v>1.2970499999999999E-2</v>
      </c>
    </row>
    <row r="3" spans="1:36" ht="16" x14ac:dyDescent="0.2">
      <c r="A3">
        <v>100</v>
      </c>
      <c r="B3">
        <v>2</v>
      </c>
      <c r="C3" t="str">
        <f t="shared" si="0"/>
        <v>100-02</v>
      </c>
      <c r="F3" t="s">
        <v>835</v>
      </c>
      <c r="G3" t="s">
        <v>833</v>
      </c>
      <c r="H3">
        <v>0.21960044500000001</v>
      </c>
      <c r="I3">
        <v>0.24881187602295499</v>
      </c>
      <c r="J3">
        <v>6.303744</v>
      </c>
      <c r="L3" s="5">
        <v>1846</v>
      </c>
      <c r="M3" s="1">
        <v>7.3579999999999997E-6</v>
      </c>
      <c r="N3" s="6">
        <v>4.1836199999999999E-13</v>
      </c>
      <c r="O3" s="6"/>
      <c r="P3" s="6" t="s">
        <v>835</v>
      </c>
      <c r="Q3" t="s">
        <v>833</v>
      </c>
      <c r="R3">
        <v>0.226832702</v>
      </c>
      <c r="S3">
        <v>0.26017879700521002</v>
      </c>
      <c r="T3">
        <v>6.2136319999999996</v>
      </c>
      <c r="V3">
        <v>1846</v>
      </c>
      <c r="W3">
        <v>4.2398000000000002E-4</v>
      </c>
      <c r="X3" s="1">
        <v>4.4793399999999998E-13</v>
      </c>
      <c r="Y3" s="1"/>
      <c r="Z3" s="1"/>
      <c r="AA3" s="6" t="s">
        <v>835</v>
      </c>
      <c r="AB3" t="s">
        <v>833</v>
      </c>
      <c r="AC3">
        <v>0.221840754</v>
      </c>
      <c r="AD3">
        <v>0.25136268298956499</v>
      </c>
      <c r="AE3">
        <v>6.1521920000000003</v>
      </c>
      <c r="AH3">
        <v>1846</v>
      </c>
      <c r="AI3">
        <v>4.2792900000000002E-4</v>
      </c>
      <c r="AJ3" s="1">
        <v>4.4793399999999998E-13</v>
      </c>
    </row>
    <row r="4" spans="1:36" ht="16" x14ac:dyDescent="0.2">
      <c r="A4">
        <v>100</v>
      </c>
      <c r="B4">
        <v>3</v>
      </c>
      <c r="C4" t="str">
        <f t="shared" si="0"/>
        <v>100-03</v>
      </c>
      <c r="F4" t="s">
        <v>836</v>
      </c>
      <c r="G4" t="s">
        <v>833</v>
      </c>
      <c r="H4">
        <v>9.7503664000000004E-2</v>
      </c>
      <c r="I4">
        <v>0.126694776990916</v>
      </c>
      <c r="J4">
        <v>6.2054400000000003</v>
      </c>
      <c r="L4" s="5">
        <v>83</v>
      </c>
      <c r="M4" s="1">
        <v>4.7210000000000002E-6</v>
      </c>
      <c r="N4" s="6">
        <v>7.8260800000000008E-9</v>
      </c>
      <c r="O4" s="6"/>
      <c r="P4" s="6" t="s">
        <v>836</v>
      </c>
      <c r="Q4" t="s">
        <v>833</v>
      </c>
      <c r="R4">
        <v>0.102652994</v>
      </c>
      <c r="S4">
        <v>0.13896545401075799</v>
      </c>
      <c r="T4">
        <v>6.1235200000000001</v>
      </c>
      <c r="V4" s="5">
        <v>83</v>
      </c>
      <c r="W4" s="1">
        <v>6.3021999999999994E-5</v>
      </c>
      <c r="X4" s="1">
        <v>8.4678200000000006E-9</v>
      </c>
      <c r="Y4" s="1"/>
      <c r="Z4" s="1"/>
      <c r="AA4" s="6" t="s">
        <v>836</v>
      </c>
      <c r="AB4" t="s">
        <v>833</v>
      </c>
      <c r="AC4">
        <v>0.100072827</v>
      </c>
      <c r="AD4">
        <v>0.12921052597812299</v>
      </c>
      <c r="AE4">
        <v>6.0784640000000003</v>
      </c>
      <c r="AH4">
        <v>83</v>
      </c>
      <c r="AI4" s="1">
        <v>6.5149999999999998E-5</v>
      </c>
      <c r="AJ4" s="1">
        <v>8.4678200000000006E-9</v>
      </c>
    </row>
    <row r="5" spans="1:36" ht="16" x14ac:dyDescent="0.2">
      <c r="A5">
        <v>100</v>
      </c>
      <c r="B5">
        <v>4</v>
      </c>
      <c r="C5" t="str">
        <f t="shared" si="0"/>
        <v>100-04</v>
      </c>
      <c r="F5" t="s">
        <v>837</v>
      </c>
      <c r="G5" t="s">
        <v>833</v>
      </c>
      <c r="H5">
        <v>0.10509741</v>
      </c>
      <c r="I5">
        <v>0.13555429299594801</v>
      </c>
      <c r="J5">
        <v>6.283264</v>
      </c>
      <c r="L5" s="5">
        <v>276</v>
      </c>
      <c r="M5" s="1">
        <v>1.1805E-5</v>
      </c>
      <c r="N5" s="6">
        <v>2.3393E-7</v>
      </c>
      <c r="O5" s="6"/>
      <c r="P5" s="6" t="s">
        <v>837</v>
      </c>
      <c r="Q5" t="s">
        <v>833</v>
      </c>
      <c r="R5">
        <v>0.110802336</v>
      </c>
      <c r="S5">
        <v>0.148446311999578</v>
      </c>
      <c r="T5">
        <v>6.2095359999999999</v>
      </c>
      <c r="V5">
        <v>276</v>
      </c>
      <c r="W5">
        <v>1.38794E-4</v>
      </c>
      <c r="X5" s="1">
        <v>2.6775600000000001E-7</v>
      </c>
      <c r="Y5" s="1"/>
      <c r="Z5" s="1"/>
      <c r="AA5" s="6" t="s">
        <v>837</v>
      </c>
      <c r="AB5" t="s">
        <v>833</v>
      </c>
      <c r="AC5">
        <v>0.105313641</v>
      </c>
      <c r="AD5">
        <v>0.13733038801001299</v>
      </c>
      <c r="AE5">
        <v>6.1685759999999998</v>
      </c>
      <c r="AH5">
        <v>276</v>
      </c>
      <c r="AI5">
        <v>1.3752099999999999E-4</v>
      </c>
      <c r="AJ5" s="1">
        <v>2.6775600000000001E-7</v>
      </c>
    </row>
    <row r="6" spans="1:36" ht="16" x14ac:dyDescent="0.2">
      <c r="A6">
        <v>100</v>
      </c>
      <c r="B6">
        <v>5</v>
      </c>
      <c r="C6" t="str">
        <f t="shared" si="0"/>
        <v>100-05</v>
      </c>
      <c r="F6" t="s">
        <v>838</v>
      </c>
      <c r="G6" t="s">
        <v>833</v>
      </c>
      <c r="H6">
        <v>9.4771300000000003E-2</v>
      </c>
      <c r="I6">
        <v>0.12493509499472499</v>
      </c>
      <c r="J6">
        <v>6.0784640000000003</v>
      </c>
      <c r="L6" s="5">
        <v>22</v>
      </c>
      <c r="M6" s="1">
        <v>3.4350000000000001E-6</v>
      </c>
      <c r="N6" s="6">
        <v>1.19348E-6</v>
      </c>
      <c r="O6" s="6"/>
      <c r="P6" s="6" t="s">
        <v>838</v>
      </c>
      <c r="Q6" t="s">
        <v>833</v>
      </c>
      <c r="R6">
        <v>0.100050083</v>
      </c>
      <c r="S6">
        <v>0.13678295299177901</v>
      </c>
      <c r="T6">
        <v>6.0170240000000002</v>
      </c>
      <c r="V6" s="5">
        <v>22</v>
      </c>
      <c r="W6" s="1">
        <v>7.0659999999999998E-6</v>
      </c>
      <c r="X6" s="1">
        <v>1.6006200000000001E-6</v>
      </c>
      <c r="Y6" s="1"/>
      <c r="Z6" s="1"/>
      <c r="AA6" s="6" t="s">
        <v>838</v>
      </c>
      <c r="AB6" t="s">
        <v>833</v>
      </c>
      <c r="AC6">
        <v>9.5055674000000007E-2</v>
      </c>
      <c r="AD6">
        <v>0.12688903699745399</v>
      </c>
      <c r="AE6">
        <v>5.9637760000000002</v>
      </c>
      <c r="AH6">
        <v>22</v>
      </c>
      <c r="AI6" s="1">
        <v>6.6699999999999997E-6</v>
      </c>
      <c r="AJ6" s="1">
        <v>1.6006200000000001E-6</v>
      </c>
    </row>
    <row r="7" spans="1:36" ht="16" x14ac:dyDescent="0.2">
      <c r="A7">
        <v>100</v>
      </c>
      <c r="B7">
        <v>6</v>
      </c>
      <c r="C7" t="str">
        <f t="shared" si="0"/>
        <v>100-06</v>
      </c>
      <c r="F7" t="s">
        <v>839</v>
      </c>
      <c r="G7" t="s">
        <v>833</v>
      </c>
      <c r="H7">
        <v>0.110762124</v>
      </c>
      <c r="I7">
        <v>0.13980817398987699</v>
      </c>
      <c r="J7">
        <v>6.1890559999999999</v>
      </c>
      <c r="L7" s="5">
        <v>255</v>
      </c>
      <c r="M7" s="1">
        <v>7.7389999999999999E-6</v>
      </c>
      <c r="N7" s="6">
        <v>8.7807199999999996E-10</v>
      </c>
      <c r="O7" s="6"/>
      <c r="P7" s="6" t="s">
        <v>839</v>
      </c>
      <c r="Q7" t="s">
        <v>833</v>
      </c>
      <c r="R7">
        <v>0.118666935</v>
      </c>
      <c r="S7">
        <v>0.151595039002131</v>
      </c>
      <c r="T7">
        <v>6.2095359999999999</v>
      </c>
      <c r="V7">
        <v>255</v>
      </c>
      <c r="W7">
        <v>1.6439800000000001E-4</v>
      </c>
      <c r="X7" s="1">
        <v>9.1679500000000004E-10</v>
      </c>
      <c r="Y7" s="1"/>
      <c r="Z7" s="1"/>
      <c r="AA7" s="6" t="s">
        <v>839</v>
      </c>
      <c r="AB7" t="s">
        <v>833</v>
      </c>
      <c r="AC7">
        <v>0.110468444</v>
      </c>
      <c r="AD7">
        <v>0.142381486017256</v>
      </c>
      <c r="AE7">
        <v>6.2136319999999996</v>
      </c>
      <c r="AH7">
        <v>255</v>
      </c>
      <c r="AI7">
        <v>1.6574999999999999E-4</v>
      </c>
      <c r="AJ7" s="1">
        <v>9.1679500000000004E-10</v>
      </c>
    </row>
    <row r="8" spans="1:36" ht="16" x14ac:dyDescent="0.2">
      <c r="A8">
        <v>100</v>
      </c>
      <c r="B8">
        <v>7</v>
      </c>
      <c r="C8" t="str">
        <f t="shared" si="0"/>
        <v>100-07</v>
      </c>
      <c r="F8" t="s">
        <v>840</v>
      </c>
      <c r="G8" t="s">
        <v>833</v>
      </c>
      <c r="H8">
        <v>0.103812877</v>
      </c>
      <c r="I8">
        <v>0.13304958899971001</v>
      </c>
      <c r="J8">
        <v>6.230016</v>
      </c>
      <c r="L8" s="5">
        <v>198</v>
      </c>
      <c r="M8" s="1">
        <v>8.6989999999999992E-6</v>
      </c>
      <c r="N8" s="5">
        <v>4.17923E-4</v>
      </c>
      <c r="O8" s="5"/>
      <c r="P8" s="5" t="s">
        <v>840</v>
      </c>
      <c r="Q8" t="s">
        <v>833</v>
      </c>
      <c r="R8">
        <v>0.10818058799999999</v>
      </c>
      <c r="S8">
        <v>0.14446528800181099</v>
      </c>
      <c r="T8">
        <v>6.0743679999999998</v>
      </c>
      <c r="V8" s="5">
        <v>198</v>
      </c>
      <c r="W8" s="1">
        <v>7.7473999999999997E-5</v>
      </c>
      <c r="X8" s="1">
        <v>4.61056E-4</v>
      </c>
      <c r="Y8" s="1"/>
      <c r="Z8" s="1"/>
      <c r="AA8" s="5" t="s">
        <v>840</v>
      </c>
      <c r="AB8" t="s">
        <v>833</v>
      </c>
      <c r="AC8">
        <v>0.10284903500000001</v>
      </c>
      <c r="AD8">
        <v>0.134993169980589</v>
      </c>
      <c r="AE8">
        <v>6.1685759999999998</v>
      </c>
      <c r="AH8">
        <v>198</v>
      </c>
      <c r="AI8" s="1">
        <v>7.9114000000000002E-5</v>
      </c>
      <c r="AJ8" s="1">
        <v>4.61056E-4</v>
      </c>
    </row>
    <row r="9" spans="1:36" ht="16" x14ac:dyDescent="0.2">
      <c r="A9">
        <v>100</v>
      </c>
      <c r="B9">
        <v>8</v>
      </c>
      <c r="C9" t="str">
        <f t="shared" si="0"/>
        <v>100-08</v>
      </c>
      <c r="F9" t="s">
        <v>841</v>
      </c>
      <c r="G9" t="s">
        <v>833</v>
      </c>
      <c r="H9">
        <v>0.221237831</v>
      </c>
      <c r="I9">
        <v>0.25194486899999902</v>
      </c>
      <c r="J9">
        <v>6.1849600000000002</v>
      </c>
      <c r="L9" s="5">
        <v>2064</v>
      </c>
      <c r="M9" s="1">
        <v>8.3340000000000002E-6</v>
      </c>
      <c r="N9" s="6">
        <v>5.2586899999999999E-13</v>
      </c>
      <c r="O9" s="6"/>
      <c r="P9" s="6" t="s">
        <v>841</v>
      </c>
      <c r="Q9" t="s">
        <v>833</v>
      </c>
      <c r="R9">
        <v>0.22956998200000001</v>
      </c>
      <c r="S9">
        <v>0.26643411800614503</v>
      </c>
      <c r="T9">
        <v>6.1235200000000001</v>
      </c>
      <c r="V9">
        <v>2064</v>
      </c>
      <c r="W9">
        <v>8.1959700000000003E-4</v>
      </c>
      <c r="X9" s="1">
        <v>6.6049599999999998E-13</v>
      </c>
      <c r="Y9" s="1"/>
      <c r="Z9" s="1"/>
      <c r="AA9" s="6" t="s">
        <v>841</v>
      </c>
      <c r="AB9" t="s">
        <v>833</v>
      </c>
      <c r="AC9">
        <v>0.223540244</v>
      </c>
      <c r="AD9">
        <v>0.25623928301502003</v>
      </c>
      <c r="AE9">
        <v>6.1890559999999999</v>
      </c>
      <c r="AH9">
        <v>2064</v>
      </c>
      <c r="AI9">
        <v>8.1493500000000003E-4</v>
      </c>
      <c r="AJ9" s="1">
        <v>6.6049599999999998E-13</v>
      </c>
    </row>
    <row r="10" spans="1:36" ht="16" x14ac:dyDescent="0.2">
      <c r="A10">
        <v>100</v>
      </c>
      <c r="B10">
        <v>9</v>
      </c>
      <c r="C10" t="str">
        <f t="shared" si="0"/>
        <v>100-09</v>
      </c>
      <c r="F10" t="s">
        <v>842</v>
      </c>
      <c r="G10" t="s">
        <v>833</v>
      </c>
      <c r="H10">
        <v>0.23065189999999999</v>
      </c>
      <c r="I10">
        <v>0.25886260400875399</v>
      </c>
      <c r="J10">
        <v>6.3406079999999996</v>
      </c>
      <c r="L10" s="5">
        <v>3217</v>
      </c>
      <c r="M10" s="1">
        <v>8.5939999999999994E-6</v>
      </c>
      <c r="N10" s="5">
        <v>8.0002800000000002E-3</v>
      </c>
      <c r="O10" s="5"/>
      <c r="P10" s="5" t="s">
        <v>842</v>
      </c>
      <c r="Q10" t="s">
        <v>833</v>
      </c>
      <c r="R10">
        <v>0.238241487</v>
      </c>
      <c r="S10">
        <v>0.31247090699616797</v>
      </c>
      <c r="T10">
        <v>6.3406079999999996</v>
      </c>
      <c r="V10" s="5">
        <v>3217</v>
      </c>
      <c r="W10" s="1">
        <v>9.0486799999999997E-4</v>
      </c>
      <c r="X10" s="1">
        <v>9.3676599999999999E-3</v>
      </c>
      <c r="Y10" s="1"/>
      <c r="Z10" s="1"/>
      <c r="AA10" s="5" t="s">
        <v>842</v>
      </c>
      <c r="AB10" t="s">
        <v>833</v>
      </c>
      <c r="AC10">
        <v>0.233140597</v>
      </c>
      <c r="AD10">
        <v>0.26356029399903402</v>
      </c>
      <c r="AE10">
        <v>6.2423039999999999</v>
      </c>
      <c r="AH10">
        <v>3217</v>
      </c>
      <c r="AI10" s="1">
        <v>8.9437800000000003E-4</v>
      </c>
      <c r="AJ10" s="1">
        <v>9.3676599999999999E-3</v>
      </c>
    </row>
    <row r="11" spans="1:36" ht="16" x14ac:dyDescent="0.2">
      <c r="A11">
        <v>200</v>
      </c>
      <c r="B11">
        <v>1</v>
      </c>
      <c r="C11" t="str">
        <f t="shared" si="0"/>
        <v>200-01</v>
      </c>
      <c r="F11" t="s">
        <v>843</v>
      </c>
      <c r="G11" t="s">
        <v>833</v>
      </c>
      <c r="H11">
        <v>0.133368608</v>
      </c>
      <c r="I11">
        <v>0.16323641798226099</v>
      </c>
      <c r="J11">
        <v>6.557696</v>
      </c>
      <c r="L11" s="5">
        <v>663</v>
      </c>
      <c r="M11" s="1">
        <v>1.1406999999999999E-5</v>
      </c>
      <c r="N11" s="6">
        <v>6.2737899999999997E-8</v>
      </c>
      <c r="O11" s="6"/>
      <c r="P11" s="6" t="s">
        <v>843</v>
      </c>
      <c r="Q11" t="s">
        <v>833</v>
      </c>
      <c r="R11">
        <v>0.13105389100000001</v>
      </c>
      <c r="S11">
        <v>0.16913815398584101</v>
      </c>
      <c r="T11">
        <v>6.5863680000000002</v>
      </c>
      <c r="V11" s="5">
        <v>663</v>
      </c>
      <c r="W11">
        <v>2.2343499999999999E-4</v>
      </c>
      <c r="X11" s="1">
        <v>7.5665999999999997E-8</v>
      </c>
      <c r="Y11" s="1"/>
      <c r="Z11" s="1"/>
      <c r="AA11" s="6" t="s">
        <v>843</v>
      </c>
      <c r="AB11" t="s">
        <v>833</v>
      </c>
      <c r="AC11">
        <v>0.13125976</v>
      </c>
      <c r="AD11">
        <v>0.16359962400747399</v>
      </c>
      <c r="AE11">
        <v>6.4757759999999998</v>
      </c>
      <c r="AH11">
        <v>663</v>
      </c>
      <c r="AI11">
        <v>2.2338499999999999E-4</v>
      </c>
      <c r="AJ11" s="1">
        <v>7.5665999999999997E-8</v>
      </c>
    </row>
    <row r="12" spans="1:36" ht="16" x14ac:dyDescent="0.2">
      <c r="A12">
        <v>200</v>
      </c>
      <c r="B12">
        <v>2</v>
      </c>
      <c r="C12" t="str">
        <f t="shared" si="0"/>
        <v>200-02</v>
      </c>
      <c r="F12" t="s">
        <v>844</v>
      </c>
      <c r="G12" t="s">
        <v>833</v>
      </c>
      <c r="H12">
        <v>14.98442949</v>
      </c>
      <c r="I12">
        <v>15.0536991719855</v>
      </c>
      <c r="J12">
        <v>12.759040000000001</v>
      </c>
      <c r="L12">
        <v>570447</v>
      </c>
      <c r="M12" s="1">
        <v>2.9745699999999999E-4</v>
      </c>
      <c r="N12">
        <v>1.4265700000000001E-3</v>
      </c>
      <c r="P12" t="s">
        <v>844</v>
      </c>
      <c r="Q12" t="s">
        <v>833</v>
      </c>
      <c r="R12">
        <v>15.169111383000001</v>
      </c>
      <c r="S12">
        <v>15.2565560530056</v>
      </c>
      <c r="T12">
        <v>7.8929919999999996</v>
      </c>
      <c r="V12" s="5">
        <v>570447</v>
      </c>
      <c r="W12" s="1">
        <v>0.20710300000000001</v>
      </c>
      <c r="X12" s="1">
        <v>1.5168E-3</v>
      </c>
      <c r="Y12" s="1"/>
      <c r="Z12" s="1"/>
      <c r="AA12" t="s">
        <v>844</v>
      </c>
      <c r="AB12" t="s">
        <v>833</v>
      </c>
      <c r="AC12">
        <v>14.991968522000001</v>
      </c>
      <c r="AD12">
        <v>15.078067819995301</v>
      </c>
      <c r="AE12">
        <v>8.1756159999999998</v>
      </c>
      <c r="AH12">
        <v>570447</v>
      </c>
      <c r="AI12" s="1">
        <v>0.20708799999999999</v>
      </c>
      <c r="AJ12" s="1">
        <v>1.5168E-3</v>
      </c>
    </row>
    <row r="13" spans="1:36" ht="16" x14ac:dyDescent="0.2">
      <c r="A13">
        <v>200</v>
      </c>
      <c r="B13">
        <v>3</v>
      </c>
      <c r="C13" t="str">
        <f t="shared" si="0"/>
        <v>200-03</v>
      </c>
      <c r="F13" t="s">
        <v>845</v>
      </c>
      <c r="G13" t="s">
        <v>833</v>
      </c>
      <c r="H13">
        <v>1.103876946</v>
      </c>
      <c r="I13">
        <v>1.14251080399844</v>
      </c>
      <c r="J13">
        <v>6.8198400000000001</v>
      </c>
      <c r="L13">
        <v>36256</v>
      </c>
      <c r="M13" s="1">
        <v>2.0177999999999999E-5</v>
      </c>
      <c r="N13" s="1">
        <v>5.2143E-11</v>
      </c>
      <c r="O13" s="1"/>
      <c r="P13" s="1" t="s">
        <v>845</v>
      </c>
      <c r="Q13" t="s">
        <v>833</v>
      </c>
      <c r="R13">
        <v>1.1165375120000001</v>
      </c>
      <c r="S13">
        <v>1.1586606229830001</v>
      </c>
      <c r="T13">
        <v>6.7706879999999998</v>
      </c>
      <c r="V13" s="5">
        <v>36256</v>
      </c>
      <c r="W13">
        <v>1.57682E-2</v>
      </c>
      <c r="X13" s="1">
        <v>5.4551099999999997E-11</v>
      </c>
      <c r="Y13" s="1"/>
      <c r="Z13" s="1"/>
      <c r="AA13" s="1" t="s">
        <v>845</v>
      </c>
      <c r="AB13" t="s">
        <v>833</v>
      </c>
      <c r="AC13">
        <v>1.110123379</v>
      </c>
      <c r="AD13">
        <v>1.1456455489969799</v>
      </c>
      <c r="AE13">
        <v>6.7338240000000003</v>
      </c>
      <c r="AH13">
        <v>36256</v>
      </c>
      <c r="AI13">
        <v>1.5702399999999998E-2</v>
      </c>
      <c r="AJ13" s="1">
        <v>5.4551099999999997E-11</v>
      </c>
    </row>
    <row r="14" spans="1:36" ht="16" x14ac:dyDescent="0.2">
      <c r="A14">
        <v>200</v>
      </c>
      <c r="B14">
        <v>4</v>
      </c>
      <c r="C14" t="str">
        <f t="shared" si="0"/>
        <v>200-04</v>
      </c>
      <c r="F14" t="s">
        <v>846</v>
      </c>
      <c r="G14" t="s">
        <v>833</v>
      </c>
      <c r="H14">
        <v>0.103748514</v>
      </c>
      <c r="I14">
        <v>0.13950876297894799</v>
      </c>
      <c r="J14">
        <v>6.2545919999999997</v>
      </c>
      <c r="L14" s="5">
        <v>40</v>
      </c>
      <c r="M14" s="1">
        <v>4.9540000000000003E-6</v>
      </c>
      <c r="N14" s="1">
        <v>3.1088500000000002E-7</v>
      </c>
      <c r="O14" s="1"/>
      <c r="P14" s="1" t="s">
        <v>846</v>
      </c>
      <c r="Q14" t="s">
        <v>833</v>
      </c>
      <c r="R14">
        <v>0.107384961</v>
      </c>
      <c r="S14">
        <v>0.14544570900034101</v>
      </c>
      <c r="T14">
        <v>6.2668799999999996</v>
      </c>
      <c r="V14" s="5">
        <v>40</v>
      </c>
      <c r="W14" s="1">
        <v>1.9814E-5</v>
      </c>
      <c r="X14" s="1">
        <v>3.1908900000000001E-7</v>
      </c>
      <c r="Y14" s="1"/>
      <c r="Z14" s="1"/>
      <c r="AA14" s="1" t="s">
        <v>846</v>
      </c>
      <c r="AB14" t="s">
        <v>833</v>
      </c>
      <c r="AC14">
        <v>0.10867394900000001</v>
      </c>
      <c r="AD14">
        <v>0.14261955698020701</v>
      </c>
      <c r="AE14">
        <v>6.2054400000000003</v>
      </c>
      <c r="AH14">
        <v>40</v>
      </c>
      <c r="AI14" s="1">
        <v>2.1466000000000001E-5</v>
      </c>
      <c r="AJ14" s="1">
        <v>3.1908900000000001E-7</v>
      </c>
    </row>
    <row r="15" spans="1:36" ht="16" x14ac:dyDescent="0.2">
      <c r="A15">
        <v>200</v>
      </c>
      <c r="B15">
        <v>5</v>
      </c>
      <c r="C15" t="str">
        <f t="shared" si="0"/>
        <v>200-05</v>
      </c>
      <c r="F15" t="s">
        <v>847</v>
      </c>
      <c r="G15" t="s">
        <v>833</v>
      </c>
      <c r="H15">
        <v>0.221674606</v>
      </c>
      <c r="I15">
        <v>0.25507122901035401</v>
      </c>
      <c r="J15">
        <v>6.4675840000000004</v>
      </c>
      <c r="L15" s="5">
        <v>1267</v>
      </c>
      <c r="M15" s="1">
        <v>8.7809999999999994E-6</v>
      </c>
      <c r="N15" s="1">
        <v>2.1120399999999999E-7</v>
      </c>
      <c r="O15" s="1"/>
      <c r="P15" s="1" t="s">
        <v>847</v>
      </c>
      <c r="Q15" t="s">
        <v>833</v>
      </c>
      <c r="R15">
        <v>0.22412981400000001</v>
      </c>
      <c r="S15">
        <v>0.26235046100919102</v>
      </c>
      <c r="T15">
        <v>6.4716800000000001</v>
      </c>
      <c r="V15" s="5">
        <v>1267</v>
      </c>
      <c r="W15">
        <v>4.7803E-4</v>
      </c>
      <c r="X15" s="1">
        <v>2.8172299999999999E-7</v>
      </c>
      <c r="Y15" s="1"/>
      <c r="Z15" s="1"/>
      <c r="AA15" s="1" t="s">
        <v>847</v>
      </c>
      <c r="AB15" t="s">
        <v>833</v>
      </c>
      <c r="AC15">
        <v>0.22820383899999999</v>
      </c>
      <c r="AD15">
        <v>0.25965821900172098</v>
      </c>
      <c r="AE15">
        <v>6.4716800000000001</v>
      </c>
      <c r="AH15">
        <v>1267</v>
      </c>
      <c r="AI15">
        <v>4.7787900000000001E-4</v>
      </c>
      <c r="AJ15" s="1">
        <v>2.8172299999999999E-7</v>
      </c>
    </row>
    <row r="16" spans="1:36" ht="16" x14ac:dyDescent="0.2">
      <c r="A16">
        <v>200</v>
      </c>
      <c r="B16">
        <v>6</v>
      </c>
      <c r="C16" t="str">
        <f t="shared" si="0"/>
        <v>200-06</v>
      </c>
      <c r="F16" t="s">
        <v>848</v>
      </c>
      <c r="G16" t="s">
        <v>833</v>
      </c>
      <c r="H16">
        <v>2.024685963</v>
      </c>
      <c r="I16">
        <v>2.06223555799806</v>
      </c>
      <c r="J16">
        <v>108.04428799999999</v>
      </c>
      <c r="L16" s="5">
        <v>6608</v>
      </c>
      <c r="M16" s="1">
        <v>3.4371800000000002E-3</v>
      </c>
      <c r="N16" s="1">
        <v>1.80657E-6</v>
      </c>
      <c r="O16" s="1"/>
      <c r="P16" s="1" t="s">
        <v>848</v>
      </c>
      <c r="Q16" t="s">
        <v>833</v>
      </c>
      <c r="R16">
        <v>0.38593401300000002</v>
      </c>
      <c r="S16">
        <v>0.42472146698855701</v>
      </c>
      <c r="T16">
        <v>8.3066879999999994</v>
      </c>
      <c r="V16" s="5">
        <v>6608</v>
      </c>
      <c r="W16" s="1">
        <v>3.7315500000000001E-3</v>
      </c>
      <c r="X16" s="1">
        <v>2.2477300000000001E-6</v>
      </c>
      <c r="Y16" s="1"/>
      <c r="Z16" s="1"/>
      <c r="AA16" s="1" t="s">
        <v>848</v>
      </c>
      <c r="AB16" t="s">
        <v>833</v>
      </c>
      <c r="AC16">
        <v>0.39378183500000002</v>
      </c>
      <c r="AD16">
        <v>0.43139064201386601</v>
      </c>
      <c r="AE16">
        <v>9.8672640000000005</v>
      </c>
      <c r="AH16">
        <v>6608</v>
      </c>
      <c r="AI16" s="1">
        <v>3.6428599999999999E-3</v>
      </c>
      <c r="AJ16" s="1">
        <v>2.2477300000000001E-6</v>
      </c>
    </row>
    <row r="17" spans="1:36" x14ac:dyDescent="0.2">
      <c r="A17">
        <v>200</v>
      </c>
      <c r="B17">
        <v>7</v>
      </c>
      <c r="C17" t="str">
        <f t="shared" si="0"/>
        <v>200-07</v>
      </c>
      <c r="F17" t="s">
        <v>849</v>
      </c>
      <c r="G17" t="s">
        <v>833</v>
      </c>
      <c r="H17">
        <v>12.893044789999999</v>
      </c>
      <c r="I17">
        <v>12.962998058006599</v>
      </c>
      <c r="J17">
        <v>8.8186879999999999</v>
      </c>
      <c r="L17">
        <v>443352</v>
      </c>
      <c r="M17" s="1">
        <v>7.2563000000000003E-5</v>
      </c>
      <c r="N17" s="1">
        <v>2.5487299999999999E-10</v>
      </c>
      <c r="O17" s="1"/>
      <c r="P17" s="1" t="s">
        <v>849</v>
      </c>
      <c r="Q17" t="s">
        <v>833</v>
      </c>
      <c r="R17">
        <v>13.077579808999999</v>
      </c>
      <c r="S17">
        <v>13.1443636439798</v>
      </c>
      <c r="T17">
        <v>6.9959680000000004</v>
      </c>
      <c r="V17">
        <v>443352</v>
      </c>
      <c r="W17">
        <v>0.19000500000000001</v>
      </c>
      <c r="X17" s="1">
        <v>3.0258899999999998E-10</v>
      </c>
      <c r="Y17" s="1"/>
      <c r="Z17" s="1"/>
      <c r="AA17" s="1" t="s">
        <v>849</v>
      </c>
      <c r="AB17" t="s">
        <v>833</v>
      </c>
      <c r="AC17">
        <v>12.958363910999999</v>
      </c>
      <c r="AD17">
        <v>13.036762987991001</v>
      </c>
      <c r="AE17">
        <v>8.6958079999999995</v>
      </c>
      <c r="AH17">
        <v>443352</v>
      </c>
      <c r="AI17">
        <v>0.191334</v>
      </c>
      <c r="AJ17" s="1">
        <v>3.0258899999999998E-10</v>
      </c>
    </row>
    <row r="18" spans="1:36" ht="16" x14ac:dyDescent="0.2">
      <c r="A18">
        <v>200</v>
      </c>
      <c r="B18">
        <v>8</v>
      </c>
      <c r="C18" t="str">
        <f t="shared" si="0"/>
        <v>200-08</v>
      </c>
      <c r="F18" t="s">
        <v>850</v>
      </c>
      <c r="G18" t="s">
        <v>833</v>
      </c>
      <c r="H18">
        <v>2.676052678</v>
      </c>
      <c r="I18">
        <v>2.71228583797346</v>
      </c>
      <c r="J18">
        <v>116.744192</v>
      </c>
      <c r="L18" s="5">
        <v>18679</v>
      </c>
      <c r="M18" s="1">
        <v>3.1454500000000002E-3</v>
      </c>
      <c r="N18" s="1">
        <v>4.8842799999999999E-5</v>
      </c>
      <c r="O18" s="1"/>
      <c r="P18" s="1" t="s">
        <v>850</v>
      </c>
      <c r="Q18" t="s">
        <v>833</v>
      </c>
      <c r="R18">
        <v>0.74678053899999997</v>
      </c>
      <c r="S18">
        <v>0.78754464400117197</v>
      </c>
      <c r="T18">
        <v>6.9959680000000004</v>
      </c>
      <c r="V18" s="5">
        <v>18679</v>
      </c>
      <c r="W18" s="1">
        <v>1.07498E-2</v>
      </c>
      <c r="X18" s="1">
        <v>5.63773E-5</v>
      </c>
      <c r="Y18" s="1"/>
      <c r="Z18" s="1"/>
      <c r="AA18" s="1" t="s">
        <v>850</v>
      </c>
      <c r="AB18" t="s">
        <v>833</v>
      </c>
      <c r="AC18">
        <v>0.74224239000000003</v>
      </c>
      <c r="AD18">
        <v>0.77827428598538895</v>
      </c>
      <c r="AE18">
        <v>9.7443840000000002</v>
      </c>
      <c r="AH18">
        <v>18679</v>
      </c>
      <c r="AI18" s="1">
        <v>1.08895E-2</v>
      </c>
      <c r="AJ18" s="1">
        <v>5.63773E-5</v>
      </c>
    </row>
    <row r="19" spans="1:36" x14ac:dyDescent="0.2">
      <c r="A19">
        <v>200</v>
      </c>
      <c r="B19">
        <v>9</v>
      </c>
      <c r="C19" t="str">
        <f t="shared" si="0"/>
        <v>200-09</v>
      </c>
      <c r="F19" t="s">
        <v>851</v>
      </c>
      <c r="G19" t="s">
        <v>833</v>
      </c>
      <c r="H19">
        <v>34.973116781999998</v>
      </c>
      <c r="I19">
        <v>35.098474720987703</v>
      </c>
      <c r="J19">
        <v>7.3564160000000003</v>
      </c>
      <c r="L19">
        <v>1239135</v>
      </c>
      <c r="M19" s="1">
        <v>3.7552999999999998E-5</v>
      </c>
      <c r="N19" s="1">
        <v>1.4250900000000001E-6</v>
      </c>
      <c r="O19" s="1"/>
      <c r="P19" s="1" t="s">
        <v>851</v>
      </c>
      <c r="Q19" t="s">
        <v>833</v>
      </c>
      <c r="R19">
        <v>35.598312591999999</v>
      </c>
      <c r="S19">
        <v>35.787614254979403</v>
      </c>
      <c r="T19">
        <v>6.6437119999999998</v>
      </c>
      <c r="V19">
        <v>1239135</v>
      </c>
      <c r="W19">
        <v>0.69447800000000004</v>
      </c>
      <c r="X19" s="1">
        <v>1.58011E-6</v>
      </c>
      <c r="Y19" s="1"/>
      <c r="Z19" s="1"/>
      <c r="AA19" s="1" t="s">
        <v>851</v>
      </c>
      <c r="AB19" t="s">
        <v>833</v>
      </c>
      <c r="AC19">
        <v>35.772169886</v>
      </c>
      <c r="AD19">
        <v>35.9172498760162</v>
      </c>
      <c r="AE19">
        <v>6.5986560000000001</v>
      </c>
      <c r="AH19">
        <v>1239135</v>
      </c>
      <c r="AI19">
        <v>0.69187699999999996</v>
      </c>
      <c r="AJ19" s="1">
        <v>1.58011E-6</v>
      </c>
    </row>
    <row r="20" spans="1:36" ht="16" x14ac:dyDescent="0.2">
      <c r="A20">
        <v>300</v>
      </c>
      <c r="B20">
        <v>1</v>
      </c>
      <c r="C20" t="str">
        <f t="shared" si="0"/>
        <v>300-01</v>
      </c>
      <c r="F20" t="s">
        <v>852</v>
      </c>
      <c r="G20" t="s">
        <v>833</v>
      </c>
      <c r="H20">
        <v>97.869962161999993</v>
      </c>
      <c r="I20">
        <v>98.105410291987894</v>
      </c>
      <c r="J20">
        <v>8.9210879999999992</v>
      </c>
      <c r="L20" s="5">
        <v>2811610</v>
      </c>
      <c r="M20" s="1">
        <v>8.7990000000000003E-5</v>
      </c>
      <c r="N20" s="1">
        <v>1.72697E-3</v>
      </c>
      <c r="O20" s="1"/>
      <c r="P20" s="1" t="s">
        <v>852</v>
      </c>
      <c r="Q20" t="s">
        <v>833</v>
      </c>
      <c r="R20">
        <v>98.121022095000001</v>
      </c>
      <c r="S20">
        <v>98.398993833980001</v>
      </c>
      <c r="T20">
        <v>7.4588159999999997</v>
      </c>
      <c r="V20" s="5">
        <v>2811610</v>
      </c>
      <c r="W20" s="1">
        <v>2.0406900000000001</v>
      </c>
      <c r="X20" s="1">
        <v>2.0068199999999999E-3</v>
      </c>
      <c r="Y20" s="1"/>
      <c r="Z20" s="1"/>
      <c r="AA20" s="1" t="s">
        <v>852</v>
      </c>
      <c r="AB20" t="s">
        <v>833</v>
      </c>
      <c r="AC20">
        <v>101.288234077</v>
      </c>
      <c r="AD20">
        <v>101.824545670999</v>
      </c>
      <c r="AE20">
        <v>7.6513280000000004</v>
      </c>
      <c r="AH20">
        <v>2811610</v>
      </c>
      <c r="AI20" s="1">
        <v>2.07328</v>
      </c>
      <c r="AJ20" s="1">
        <v>2.0068199999999999E-3</v>
      </c>
    </row>
    <row r="21" spans="1:36" x14ac:dyDescent="0.2">
      <c r="A21">
        <v>300</v>
      </c>
      <c r="B21">
        <v>2</v>
      </c>
      <c r="C21" t="str">
        <f t="shared" si="0"/>
        <v>300-02</v>
      </c>
      <c r="F21" t="s">
        <v>853</v>
      </c>
      <c r="G21" t="s">
        <v>833</v>
      </c>
      <c r="H21">
        <v>0.71975614899999996</v>
      </c>
      <c r="I21">
        <v>0.75349226800608404</v>
      </c>
      <c r="J21">
        <v>7.708672</v>
      </c>
      <c r="L21">
        <v>16334</v>
      </c>
      <c r="M21" s="1">
        <v>4.155E-5</v>
      </c>
      <c r="N21" s="1">
        <v>5.2201299999999999E-11</v>
      </c>
      <c r="O21" s="1"/>
      <c r="P21" s="1" t="s">
        <v>853</v>
      </c>
      <c r="Q21" t="s">
        <v>833</v>
      </c>
      <c r="R21">
        <v>0.71364370399999999</v>
      </c>
      <c r="S21">
        <v>0.75199356701341402</v>
      </c>
      <c r="T21">
        <v>7.12704</v>
      </c>
      <c r="V21">
        <v>16334</v>
      </c>
      <c r="W21">
        <v>1.22013E-2</v>
      </c>
      <c r="X21" s="1">
        <v>5.4641499999999998E-11</v>
      </c>
      <c r="Y21" s="1"/>
      <c r="Z21" s="1"/>
      <c r="AA21" s="1" t="s">
        <v>853</v>
      </c>
      <c r="AB21" t="s">
        <v>833</v>
      </c>
      <c r="AC21">
        <v>0.729909162</v>
      </c>
      <c r="AD21">
        <v>0.76306560600642104</v>
      </c>
      <c r="AE21">
        <v>7.1352320000000002</v>
      </c>
      <c r="AH21">
        <v>16334</v>
      </c>
      <c r="AI21">
        <v>1.13939E-2</v>
      </c>
      <c r="AJ21" s="1">
        <v>5.4641499999999998E-11</v>
      </c>
    </row>
    <row r="22" spans="1:36" ht="16" x14ac:dyDescent="0.2">
      <c r="A22">
        <v>300</v>
      </c>
      <c r="B22">
        <v>3</v>
      </c>
      <c r="C22" t="str">
        <f t="shared" si="0"/>
        <v>300-03</v>
      </c>
      <c r="F22" t="s">
        <v>854</v>
      </c>
      <c r="G22" t="s">
        <v>833</v>
      </c>
      <c r="H22">
        <v>60.492957058999998</v>
      </c>
      <c r="I22">
        <v>60.771304455993203</v>
      </c>
      <c r="J22">
        <v>9.6501760000000001</v>
      </c>
      <c r="L22" s="5">
        <v>1726335</v>
      </c>
      <c r="M22" s="1">
        <v>1.16605E-4</v>
      </c>
      <c r="N22" s="1">
        <v>4.2055399999999999E-12</v>
      </c>
      <c r="O22" s="1"/>
      <c r="P22" s="1" t="s">
        <v>854</v>
      </c>
      <c r="Q22" t="s">
        <v>833</v>
      </c>
      <c r="R22">
        <v>58.751759880999998</v>
      </c>
      <c r="S22">
        <v>59.019304720975903</v>
      </c>
      <c r="T22">
        <v>7.2704000000000004</v>
      </c>
      <c r="V22" s="5">
        <v>1726335</v>
      </c>
      <c r="W22" s="1">
        <v>0.86065100000000005</v>
      </c>
      <c r="X22" s="1">
        <v>4.6527100000000003E-12</v>
      </c>
      <c r="Y22" s="1"/>
      <c r="Z22" s="1"/>
      <c r="AA22" s="1" t="s">
        <v>854</v>
      </c>
      <c r="AB22" t="s">
        <v>833</v>
      </c>
      <c r="AC22">
        <v>62.211099359999999</v>
      </c>
      <c r="AD22">
        <v>62.482227536995197</v>
      </c>
      <c r="AE22">
        <v>7.3482240000000001</v>
      </c>
      <c r="AH22">
        <v>1726335</v>
      </c>
      <c r="AI22" s="1">
        <v>0.87197899999999995</v>
      </c>
      <c r="AJ22" s="1">
        <v>4.6527100000000003E-12</v>
      </c>
    </row>
    <row r="23" spans="1:36" x14ac:dyDescent="0.2">
      <c r="A23">
        <v>300</v>
      </c>
      <c r="B23">
        <v>4</v>
      </c>
      <c r="C23" t="str">
        <f t="shared" si="0"/>
        <v>300-04</v>
      </c>
      <c r="F23" t="s">
        <v>855</v>
      </c>
      <c r="G23" t="s">
        <v>833</v>
      </c>
      <c r="H23">
        <v>10.85593667</v>
      </c>
      <c r="I23">
        <v>11.391247723979101</v>
      </c>
      <c r="J23">
        <v>18.137087999999999</v>
      </c>
      <c r="L23">
        <v>375584</v>
      </c>
      <c r="M23" s="1">
        <v>3.3793099999999997E-4</v>
      </c>
      <c r="N23">
        <v>1.46107E-4</v>
      </c>
      <c r="P23" t="s">
        <v>855</v>
      </c>
      <c r="Q23" t="s">
        <v>833</v>
      </c>
      <c r="R23">
        <v>11.095838485</v>
      </c>
      <c r="S23">
        <v>11.3009229630115</v>
      </c>
      <c r="T23">
        <v>7.7824</v>
      </c>
      <c r="V23">
        <v>375584</v>
      </c>
      <c r="W23">
        <v>0.15418599999999999</v>
      </c>
      <c r="X23" s="1">
        <v>1.4610900000000001E-4</v>
      </c>
      <c r="Y23" s="1"/>
      <c r="Z23" s="1"/>
      <c r="AA23" t="s">
        <v>855</v>
      </c>
      <c r="AB23" t="s">
        <v>833</v>
      </c>
      <c r="AC23">
        <v>11.784253142000001</v>
      </c>
      <c r="AD23">
        <v>11.857663622999</v>
      </c>
      <c r="AE23">
        <v>7.909376</v>
      </c>
      <c r="AH23">
        <v>375584</v>
      </c>
      <c r="AI23">
        <v>0.155914</v>
      </c>
      <c r="AJ23" s="1">
        <v>1.4610900000000001E-4</v>
      </c>
    </row>
    <row r="24" spans="1:36" ht="16" x14ac:dyDescent="0.2">
      <c r="A24">
        <v>300</v>
      </c>
      <c r="B24">
        <v>5</v>
      </c>
      <c r="C24" t="str">
        <f t="shared" si="0"/>
        <v>300-05</v>
      </c>
      <c r="F24" t="s">
        <v>856</v>
      </c>
      <c r="G24" t="s">
        <v>833</v>
      </c>
      <c r="H24">
        <v>218.84672197699999</v>
      </c>
      <c r="I24">
        <v>219.574978149001</v>
      </c>
      <c r="J24">
        <v>17.739775999999999</v>
      </c>
      <c r="L24">
        <v>5350736</v>
      </c>
      <c r="M24">
        <v>3.3452599999999997E-4</v>
      </c>
      <c r="N24">
        <v>3.2000399999999998E-4</v>
      </c>
      <c r="P24" t="s">
        <v>856</v>
      </c>
      <c r="Q24" t="s">
        <v>833</v>
      </c>
      <c r="R24">
        <v>219.57988500299999</v>
      </c>
      <c r="S24">
        <v>220.10747180000101</v>
      </c>
      <c r="T24">
        <v>7.4301440000000003</v>
      </c>
      <c r="V24" s="5">
        <v>5350736</v>
      </c>
      <c r="W24" s="1">
        <v>5.0190999999999999</v>
      </c>
      <c r="X24" s="1">
        <v>3.3607800000000002E-4</v>
      </c>
      <c r="Y24" s="1"/>
      <c r="Z24" s="1"/>
      <c r="AA24" t="s">
        <v>856</v>
      </c>
      <c r="AB24" t="s">
        <v>833</v>
      </c>
      <c r="AC24">
        <v>224.09513117200001</v>
      </c>
      <c r="AD24">
        <v>224.76712505499</v>
      </c>
      <c r="AE24">
        <v>7.6472319999999998</v>
      </c>
      <c r="AH24">
        <v>5350736</v>
      </c>
      <c r="AI24" s="1">
        <v>5.0486000000000004</v>
      </c>
      <c r="AJ24" s="1">
        <v>3.3607800000000002E-4</v>
      </c>
    </row>
    <row r="25" spans="1:36" x14ac:dyDescent="0.2">
      <c r="A25">
        <v>300</v>
      </c>
      <c r="B25">
        <v>6</v>
      </c>
      <c r="C25" t="str">
        <f t="shared" si="0"/>
        <v>300-06</v>
      </c>
      <c r="F25" t="s">
        <v>857</v>
      </c>
      <c r="G25" t="s">
        <v>833</v>
      </c>
      <c r="H25">
        <v>39.990834282999998</v>
      </c>
      <c r="I25">
        <v>40.146518248016903</v>
      </c>
      <c r="J25">
        <v>9.7443840000000002</v>
      </c>
      <c r="L25">
        <v>1153131</v>
      </c>
      <c r="M25" s="1">
        <v>1.0153300000000001E-4</v>
      </c>
      <c r="N25" s="1">
        <v>6.3977800000000002E-10</v>
      </c>
      <c r="O25" s="1"/>
      <c r="P25" s="1" t="s">
        <v>857</v>
      </c>
      <c r="Q25" t="s">
        <v>833</v>
      </c>
      <c r="R25">
        <v>38.383026800000003</v>
      </c>
      <c r="S25">
        <v>38.5532747159886</v>
      </c>
      <c r="T25">
        <v>7.4997759999999998</v>
      </c>
      <c r="V25">
        <v>1153131</v>
      </c>
      <c r="W25">
        <v>0.598885</v>
      </c>
      <c r="X25" s="1">
        <v>6.3977800000000002E-10</v>
      </c>
      <c r="Y25" s="1"/>
      <c r="Z25" s="1"/>
      <c r="AA25" s="1" t="s">
        <v>857</v>
      </c>
      <c r="AB25" t="s">
        <v>833</v>
      </c>
      <c r="AC25">
        <v>41.355713903999998</v>
      </c>
      <c r="AD25">
        <v>41.471149385994003</v>
      </c>
      <c r="AE25">
        <v>7.708672</v>
      </c>
      <c r="AH25">
        <v>1153131</v>
      </c>
      <c r="AI25">
        <v>0.592916</v>
      </c>
      <c r="AJ25" s="1">
        <v>6.3977800000000002E-10</v>
      </c>
    </row>
    <row r="26" spans="1:36" ht="16" x14ac:dyDescent="0.2">
      <c r="A26">
        <v>300</v>
      </c>
      <c r="B26">
        <v>7</v>
      </c>
      <c r="C26" t="str">
        <f t="shared" si="0"/>
        <v>300-07</v>
      </c>
      <c r="F26" t="s">
        <v>858</v>
      </c>
      <c r="G26" t="s">
        <v>792</v>
      </c>
      <c r="H26">
        <v>901.61510736599996</v>
      </c>
      <c r="I26">
        <v>903.51576131000104</v>
      </c>
      <c r="J26">
        <v>9172.8814079999993</v>
      </c>
      <c r="L26">
        <v>130238076</v>
      </c>
      <c r="M26" s="1">
        <v>0.190418</v>
      </c>
      <c r="N26" s="1">
        <v>1.9147400000000001E-25</v>
      </c>
      <c r="O26" s="1"/>
      <c r="P26" s="1" t="s">
        <v>858</v>
      </c>
      <c r="Q26" t="s">
        <v>792</v>
      </c>
      <c r="R26">
        <v>900.06407556500005</v>
      </c>
      <c r="S26">
        <v>901.04748472801202</v>
      </c>
      <c r="T26">
        <v>84.119551999999999</v>
      </c>
      <c r="V26" s="5">
        <v>130238076</v>
      </c>
      <c r="W26" s="1">
        <v>113.857</v>
      </c>
      <c r="X26" s="1">
        <v>2.09347E-25</v>
      </c>
      <c r="Y26" s="1"/>
      <c r="Z26" s="1"/>
      <c r="AA26" s="1" t="s">
        <v>858</v>
      </c>
      <c r="AB26" t="s">
        <v>792</v>
      </c>
      <c r="AC26">
        <v>901.037127983</v>
      </c>
      <c r="AD26">
        <v>902.41167309300999</v>
      </c>
      <c r="AE26">
        <v>338.931712</v>
      </c>
      <c r="AH26">
        <v>130238076</v>
      </c>
      <c r="AI26" s="1">
        <v>112.777</v>
      </c>
      <c r="AJ26" s="1">
        <v>2.09347E-25</v>
      </c>
    </row>
    <row r="27" spans="1:36" x14ac:dyDescent="0.2">
      <c r="A27">
        <v>300</v>
      </c>
      <c r="B27">
        <v>8</v>
      </c>
      <c r="C27" t="str">
        <f t="shared" si="0"/>
        <v>300-08</v>
      </c>
      <c r="F27" t="s">
        <v>859</v>
      </c>
      <c r="G27" t="s">
        <v>833</v>
      </c>
      <c r="H27">
        <v>28.092711954999999</v>
      </c>
      <c r="I27">
        <v>28.246062738995501</v>
      </c>
      <c r="J27">
        <v>7.0696960000000004</v>
      </c>
      <c r="L27">
        <v>839229</v>
      </c>
      <c r="M27" s="1">
        <v>2.6401999999999999E-5</v>
      </c>
      <c r="N27" s="1">
        <v>4.0236000000000004E-21</v>
      </c>
      <c r="O27" s="1"/>
      <c r="P27" s="1" t="s">
        <v>859</v>
      </c>
      <c r="Q27" t="s">
        <v>833</v>
      </c>
      <c r="R27">
        <v>27.018760514</v>
      </c>
      <c r="S27">
        <v>27.1164841999998</v>
      </c>
      <c r="T27">
        <v>7.0041599999999997</v>
      </c>
      <c r="V27">
        <v>839229</v>
      </c>
      <c r="W27">
        <v>0.33940999999999999</v>
      </c>
      <c r="X27" s="1">
        <v>4.49897E-21</v>
      </c>
      <c r="Y27" s="1"/>
      <c r="Z27" s="1"/>
      <c r="AA27" s="1" t="s">
        <v>859</v>
      </c>
      <c r="AB27" t="s">
        <v>833</v>
      </c>
      <c r="AC27">
        <v>29.181718298</v>
      </c>
      <c r="AD27">
        <v>29.277777028997601</v>
      </c>
      <c r="AE27">
        <v>6.9918719999999999</v>
      </c>
      <c r="AH27">
        <v>839229</v>
      </c>
      <c r="AI27">
        <v>0.335814</v>
      </c>
      <c r="AJ27" s="1">
        <v>4.49897E-21</v>
      </c>
    </row>
    <row r="28" spans="1:36" ht="16" x14ac:dyDescent="0.2">
      <c r="A28">
        <v>300</v>
      </c>
      <c r="B28">
        <v>9</v>
      </c>
      <c r="C28" t="str">
        <f t="shared" si="0"/>
        <v>300-09</v>
      </c>
      <c r="F28" t="s">
        <v>860</v>
      </c>
      <c r="G28" t="s">
        <v>792</v>
      </c>
      <c r="H28">
        <v>900.58322742300004</v>
      </c>
      <c r="I28">
        <v>901.05659772900901</v>
      </c>
      <c r="J28">
        <v>80.785408000000004</v>
      </c>
      <c r="L28">
        <v>1313078442</v>
      </c>
      <c r="M28" s="1">
        <v>9.0649399999999998E-4</v>
      </c>
      <c r="N28" s="6">
        <v>1.4255600000000001E-11</v>
      </c>
      <c r="O28" s="6"/>
      <c r="P28" s="6" t="s">
        <v>860</v>
      </c>
      <c r="Q28" t="s">
        <v>792</v>
      </c>
      <c r="R28">
        <v>900.55886227899998</v>
      </c>
      <c r="S28">
        <v>901.04266956998595</v>
      </c>
      <c r="T28">
        <v>13.811712</v>
      </c>
      <c r="AA28" s="6" t="s">
        <v>860</v>
      </c>
      <c r="AB28" t="s">
        <v>792</v>
      </c>
      <c r="AC28">
        <v>900.63898362500004</v>
      </c>
      <c r="AD28">
        <v>901.05327259999399</v>
      </c>
      <c r="AE28">
        <v>22.58944</v>
      </c>
    </row>
    <row r="29" spans="1:36" x14ac:dyDescent="0.2">
      <c r="A29">
        <v>400</v>
      </c>
      <c r="B29">
        <v>1</v>
      </c>
      <c r="C29" t="str">
        <f t="shared" si="0"/>
        <v>400-01</v>
      </c>
      <c r="F29" t="s">
        <v>861</v>
      </c>
      <c r="G29" t="s">
        <v>833</v>
      </c>
      <c r="H29">
        <v>588.20149731499998</v>
      </c>
      <c r="I29">
        <v>589.99061107600505</v>
      </c>
      <c r="J29">
        <v>8.6958079999999995</v>
      </c>
      <c r="L29">
        <v>17216420</v>
      </c>
      <c r="M29" s="1">
        <v>7.8852999999999999E-5</v>
      </c>
      <c r="N29" s="1">
        <v>2.4836499999999999E-8</v>
      </c>
      <c r="O29" s="1"/>
      <c r="P29" s="1" t="s">
        <v>861</v>
      </c>
      <c r="Q29" t="s">
        <v>833</v>
      </c>
      <c r="R29">
        <v>581.83965657199997</v>
      </c>
      <c r="S29">
        <v>582.92023645000802</v>
      </c>
      <c r="T29">
        <v>7.9134719999999996</v>
      </c>
      <c r="V29">
        <v>17216420</v>
      </c>
      <c r="W29">
        <v>17216420</v>
      </c>
      <c r="X29" s="1">
        <v>2.6345799999999999E-8</v>
      </c>
      <c r="Y29" s="1"/>
      <c r="Z29" s="1"/>
      <c r="AA29" s="1" t="s">
        <v>861</v>
      </c>
      <c r="AB29" t="s">
        <v>833</v>
      </c>
      <c r="AC29">
        <v>579.47119474399994</v>
      </c>
      <c r="AD29">
        <v>580.99423934699701</v>
      </c>
      <c r="AE29">
        <v>8.0363520000000008</v>
      </c>
      <c r="AH29">
        <v>17216420</v>
      </c>
      <c r="AI29">
        <v>8.4439600000000006</v>
      </c>
      <c r="AJ29" s="1">
        <v>2.6345799999999999E-8</v>
      </c>
    </row>
    <row r="30" spans="1:36" x14ac:dyDescent="0.2">
      <c r="A30">
        <v>400</v>
      </c>
      <c r="B30">
        <v>2</v>
      </c>
      <c r="C30" t="str">
        <f t="shared" si="0"/>
        <v>400-02</v>
      </c>
      <c r="F30" t="s">
        <v>862</v>
      </c>
      <c r="G30" t="s">
        <v>833</v>
      </c>
      <c r="H30">
        <v>18.724334727999999</v>
      </c>
      <c r="I30">
        <v>18.873545216018101</v>
      </c>
      <c r="J30">
        <v>7.5366400000000002</v>
      </c>
      <c r="L30">
        <v>476224</v>
      </c>
      <c r="M30" s="1">
        <v>3.1643999999999997E-5</v>
      </c>
      <c r="N30" s="1">
        <v>1.9018200000000001E-19</v>
      </c>
      <c r="O30" s="1"/>
      <c r="P30" s="1" t="s">
        <v>862</v>
      </c>
      <c r="Q30" t="s">
        <v>833</v>
      </c>
      <c r="R30">
        <v>18.937684114</v>
      </c>
      <c r="S30">
        <v>19.0093134939961</v>
      </c>
      <c r="T30">
        <v>7.327744</v>
      </c>
      <c r="V30">
        <v>476224</v>
      </c>
      <c r="W30">
        <v>0.29369099999999998</v>
      </c>
      <c r="X30" s="1">
        <v>2.7968200000000002E-19</v>
      </c>
      <c r="Y30" s="1"/>
      <c r="Z30" s="1"/>
      <c r="AA30" s="1" t="s">
        <v>862</v>
      </c>
      <c r="AB30" t="s">
        <v>833</v>
      </c>
      <c r="AC30">
        <v>18.884020980999999</v>
      </c>
      <c r="AD30">
        <v>19.010618867003299</v>
      </c>
      <c r="AE30">
        <v>7.2622080000000002</v>
      </c>
      <c r="AH30">
        <v>476224</v>
      </c>
      <c r="AI30">
        <v>0.29002899999999998</v>
      </c>
      <c r="AJ30" s="1">
        <v>2.7968200000000002E-19</v>
      </c>
    </row>
    <row r="31" spans="1:36" x14ac:dyDescent="0.2">
      <c r="A31">
        <v>400</v>
      </c>
      <c r="B31">
        <v>3</v>
      </c>
      <c r="C31" t="str">
        <f t="shared" si="0"/>
        <v>400-03</v>
      </c>
      <c r="F31" t="s">
        <v>863</v>
      </c>
      <c r="G31" t="s">
        <v>792</v>
      </c>
      <c r="H31">
        <v>901.00444697399996</v>
      </c>
      <c r="I31">
        <v>902.24061883101194</v>
      </c>
      <c r="J31">
        <v>11.976704</v>
      </c>
      <c r="L31">
        <v>635868711</v>
      </c>
      <c r="M31" s="1">
        <v>1.7422100000000001E-4</v>
      </c>
      <c r="N31" s="1">
        <v>2.54493E-20</v>
      </c>
      <c r="O31" s="1"/>
      <c r="P31" s="1" t="s">
        <v>863</v>
      </c>
      <c r="Q31" t="s">
        <v>792</v>
      </c>
      <c r="R31">
        <v>900.50645831400004</v>
      </c>
      <c r="S31">
        <v>901.03941572201404</v>
      </c>
      <c r="T31">
        <v>8.0609280000000005</v>
      </c>
      <c r="V31">
        <v>635868711</v>
      </c>
      <c r="W31">
        <v>230.97200000000001</v>
      </c>
      <c r="X31" s="1">
        <v>3.6348599999999999E-20</v>
      </c>
      <c r="Y31" s="1"/>
      <c r="Z31" s="1"/>
      <c r="AA31" s="1" t="s">
        <v>863</v>
      </c>
      <c r="AB31" t="s">
        <v>792</v>
      </c>
      <c r="AC31">
        <v>900.26928459700002</v>
      </c>
      <c r="AD31">
        <v>901.03472208601295</v>
      </c>
      <c r="AE31">
        <v>8.2534399999999994</v>
      </c>
      <c r="AH31">
        <v>635868711</v>
      </c>
      <c r="AI31">
        <v>232.477</v>
      </c>
      <c r="AJ31" s="1">
        <v>3.6348599999999999E-20</v>
      </c>
    </row>
    <row r="32" spans="1:36" x14ac:dyDescent="0.2">
      <c r="A32">
        <v>400</v>
      </c>
      <c r="B32">
        <v>4</v>
      </c>
      <c r="C32" t="str">
        <f t="shared" si="0"/>
        <v>400-04</v>
      </c>
      <c r="F32" t="s">
        <v>864</v>
      </c>
      <c r="G32" t="s">
        <v>833</v>
      </c>
      <c r="H32">
        <v>7.1043324700000001</v>
      </c>
      <c r="I32">
        <v>7.1462583009852096</v>
      </c>
      <c r="J32">
        <v>26.923007999999999</v>
      </c>
      <c r="L32">
        <v>194658</v>
      </c>
      <c r="M32" s="1">
        <v>6.48721E-4</v>
      </c>
      <c r="N32" s="1">
        <v>2.9870200000000002E-11</v>
      </c>
      <c r="O32" s="1"/>
      <c r="P32" s="1" t="s">
        <v>864</v>
      </c>
      <c r="Q32" t="s">
        <v>833</v>
      </c>
      <c r="R32">
        <v>7.654047813</v>
      </c>
      <c r="S32">
        <v>7.69953663001069</v>
      </c>
      <c r="T32">
        <v>7.7824</v>
      </c>
      <c r="V32">
        <v>194658</v>
      </c>
      <c r="W32">
        <v>7.58413E-2</v>
      </c>
      <c r="X32" s="1">
        <v>6.9630500000000001E-11</v>
      </c>
      <c r="Y32" s="1"/>
      <c r="Z32" s="1"/>
      <c r="AA32" s="1" t="s">
        <v>864</v>
      </c>
      <c r="AB32" t="s">
        <v>833</v>
      </c>
      <c r="AC32">
        <v>7.0912967929999997</v>
      </c>
      <c r="AD32">
        <v>7.13592186800087</v>
      </c>
      <c r="AE32">
        <v>8.0404479999999996</v>
      </c>
      <c r="AH32">
        <v>194658</v>
      </c>
      <c r="AI32">
        <v>7.5494900000000004E-2</v>
      </c>
      <c r="AJ32" s="1">
        <v>6.9630500000000001E-11</v>
      </c>
    </row>
    <row r="33" spans="1:36" x14ac:dyDescent="0.2">
      <c r="A33">
        <v>400</v>
      </c>
      <c r="B33">
        <v>5</v>
      </c>
      <c r="C33" t="str">
        <f t="shared" si="0"/>
        <v>400-05</v>
      </c>
      <c r="F33" t="s">
        <v>865</v>
      </c>
      <c r="G33" t="s">
        <v>792</v>
      </c>
      <c r="H33">
        <v>900.38726370300003</v>
      </c>
      <c r="I33">
        <v>901.04539515098395</v>
      </c>
      <c r="J33">
        <v>7.7045760000000003</v>
      </c>
      <c r="P33" t="s">
        <v>865</v>
      </c>
      <c r="Q33" t="s">
        <v>792</v>
      </c>
      <c r="R33">
        <v>900.741932185</v>
      </c>
      <c r="S33">
        <v>901.04125738100197</v>
      </c>
      <c r="T33">
        <v>7.3400319999999999</v>
      </c>
      <c r="AA33" t="s">
        <v>865</v>
      </c>
      <c r="AB33" t="s">
        <v>792</v>
      </c>
      <c r="AC33">
        <v>900.37790500000006</v>
      </c>
      <c r="AD33">
        <v>901.03484532600805</v>
      </c>
      <c r="AE33">
        <v>7.3891840000000002</v>
      </c>
    </row>
    <row r="34" spans="1:36" x14ac:dyDescent="0.2">
      <c r="A34">
        <v>400</v>
      </c>
      <c r="B34">
        <v>6</v>
      </c>
      <c r="C34" t="str">
        <f t="shared" si="0"/>
        <v>400-06</v>
      </c>
      <c r="F34" t="s">
        <v>866</v>
      </c>
      <c r="G34" t="s">
        <v>792</v>
      </c>
      <c r="H34">
        <v>901.01694426100005</v>
      </c>
      <c r="I34">
        <v>902.83892541099306</v>
      </c>
      <c r="J34">
        <v>159.428608</v>
      </c>
      <c r="L34">
        <v>78630549</v>
      </c>
      <c r="M34" s="1">
        <v>2.8542099999999998E-3</v>
      </c>
      <c r="N34" s="1">
        <v>1.19006E-11</v>
      </c>
      <c r="O34" s="1"/>
      <c r="P34" s="1" t="s">
        <v>866</v>
      </c>
      <c r="Q34" t="s">
        <v>792</v>
      </c>
      <c r="R34">
        <v>901.00057588699997</v>
      </c>
      <c r="S34">
        <v>902.953576727013</v>
      </c>
      <c r="T34">
        <v>8.2001919999999995</v>
      </c>
      <c r="V34">
        <v>78630549</v>
      </c>
      <c r="W34">
        <v>42.524299999999997</v>
      </c>
      <c r="X34" s="1">
        <v>1.3534500000000001E-11</v>
      </c>
      <c r="Y34" s="1"/>
      <c r="Z34" s="1"/>
      <c r="AA34" s="1" t="s">
        <v>866</v>
      </c>
      <c r="AB34" t="s">
        <v>792</v>
      </c>
      <c r="AC34">
        <v>901.00074585499999</v>
      </c>
      <c r="AD34">
        <v>902.57994807098203</v>
      </c>
      <c r="AE34">
        <v>8.3066879999999994</v>
      </c>
      <c r="AH34">
        <v>78630549</v>
      </c>
      <c r="AI34">
        <v>42.177700000000002</v>
      </c>
      <c r="AJ34" s="1">
        <v>1.3534500000000001E-11</v>
      </c>
    </row>
    <row r="35" spans="1:36" x14ac:dyDescent="0.2">
      <c r="A35">
        <v>400</v>
      </c>
      <c r="B35">
        <v>7</v>
      </c>
      <c r="C35" t="str">
        <f t="shared" si="0"/>
        <v>400-07</v>
      </c>
      <c r="F35" t="s">
        <v>867</v>
      </c>
      <c r="G35" t="s">
        <v>792</v>
      </c>
      <c r="H35">
        <v>900.44910126100001</v>
      </c>
      <c r="I35">
        <v>901.07064139799297</v>
      </c>
      <c r="J35">
        <v>312.52480000000003</v>
      </c>
      <c r="P35" t="s">
        <v>867</v>
      </c>
      <c r="Q35" t="s">
        <v>792</v>
      </c>
      <c r="R35">
        <v>900.69165591499996</v>
      </c>
      <c r="S35">
        <v>901.05715808001696</v>
      </c>
      <c r="T35">
        <v>8.4008959999999995</v>
      </c>
      <c r="AA35" t="s">
        <v>867</v>
      </c>
      <c r="AB35" t="s">
        <v>792</v>
      </c>
      <c r="AC35">
        <v>900.51190014899998</v>
      </c>
      <c r="AD35">
        <v>901.05500813500805</v>
      </c>
      <c r="AE35">
        <v>8.7080959999999994</v>
      </c>
    </row>
    <row r="36" spans="1:36" x14ac:dyDescent="0.2">
      <c r="A36">
        <v>400</v>
      </c>
      <c r="B36">
        <v>8</v>
      </c>
      <c r="C36" t="str">
        <f t="shared" si="0"/>
        <v>400-08</v>
      </c>
      <c r="F36" t="s">
        <v>868</v>
      </c>
      <c r="G36" t="s">
        <v>833</v>
      </c>
      <c r="H36">
        <v>101.949352749</v>
      </c>
      <c r="I36">
        <v>102.237358448997</v>
      </c>
      <c r="J36">
        <v>7.5202559999999998</v>
      </c>
      <c r="L36">
        <v>2568192</v>
      </c>
      <c r="M36" s="1">
        <v>1.6832000000000001E-5</v>
      </c>
      <c r="N36" s="1">
        <v>2.2481399999999999E-42</v>
      </c>
      <c r="O36" s="1"/>
      <c r="P36" s="1" t="s">
        <v>868</v>
      </c>
      <c r="Q36" t="s">
        <v>833</v>
      </c>
      <c r="R36">
        <v>104.875892791</v>
      </c>
      <c r="S36">
        <v>105.10933239001299</v>
      </c>
      <c r="T36">
        <v>7.5161600000000002</v>
      </c>
      <c r="V36">
        <v>2568192</v>
      </c>
      <c r="W36">
        <v>2.5417399999999998E-3</v>
      </c>
      <c r="X36" s="1">
        <v>3.74541E-42</v>
      </c>
      <c r="Y36" s="1"/>
      <c r="Z36" s="1"/>
      <c r="AA36" s="1" t="s">
        <v>868</v>
      </c>
      <c r="AB36" t="s">
        <v>833</v>
      </c>
      <c r="AC36">
        <v>103.669575352</v>
      </c>
      <c r="AD36">
        <v>104.070376188989</v>
      </c>
      <c r="AE36">
        <v>7.4670079999999999</v>
      </c>
      <c r="AH36">
        <v>2568192</v>
      </c>
      <c r="AI36">
        <v>0.94121600000000005</v>
      </c>
      <c r="AJ36" s="1">
        <v>3.74541E-42</v>
      </c>
    </row>
    <row r="37" spans="1:36" x14ac:dyDescent="0.2">
      <c r="A37">
        <v>400</v>
      </c>
      <c r="B37">
        <v>9</v>
      </c>
      <c r="C37" t="str">
        <f t="shared" si="0"/>
        <v>400-09</v>
      </c>
      <c r="F37" t="s">
        <v>869</v>
      </c>
      <c r="G37" t="s">
        <v>792</v>
      </c>
      <c r="H37">
        <v>900.36842554600003</v>
      </c>
      <c r="I37">
        <v>901.09234263500502</v>
      </c>
      <c r="J37">
        <v>123.379712</v>
      </c>
      <c r="L37">
        <v>625755882</v>
      </c>
      <c r="M37">
        <v>1.68906E-3</v>
      </c>
      <c r="N37" s="1">
        <v>3.1643899999999999E-6</v>
      </c>
      <c r="O37" s="1"/>
      <c r="P37" s="1" t="s">
        <v>869</v>
      </c>
      <c r="Q37" t="s">
        <v>792</v>
      </c>
      <c r="R37">
        <v>900.42206032399997</v>
      </c>
      <c r="S37">
        <v>901.041995142004</v>
      </c>
      <c r="T37">
        <v>7.9134719999999996</v>
      </c>
      <c r="AA37" s="1" t="s">
        <v>869</v>
      </c>
      <c r="AB37" t="s">
        <v>792</v>
      </c>
      <c r="AC37">
        <v>900.61249708499997</v>
      </c>
      <c r="AD37">
        <v>901.096251446986</v>
      </c>
      <c r="AE37">
        <v>7.9175680000000002</v>
      </c>
    </row>
    <row r="38" spans="1:36" x14ac:dyDescent="0.2">
      <c r="A38">
        <v>500</v>
      </c>
      <c r="B38">
        <v>5</v>
      </c>
      <c r="C38" t="str">
        <f t="shared" si="0"/>
        <v>500-05</v>
      </c>
      <c r="F38" t="s">
        <v>874</v>
      </c>
      <c r="G38" t="s">
        <v>792</v>
      </c>
      <c r="H38">
        <v>900.73680904599996</v>
      </c>
      <c r="I38">
        <v>901.19031963500299</v>
      </c>
      <c r="J38">
        <v>2067.1733760000002</v>
      </c>
      <c r="L38">
        <v>1143353525</v>
      </c>
      <c r="M38">
        <v>5.6353399999999998E-2</v>
      </c>
      <c r="N38" s="1">
        <v>1.40147E-13</v>
      </c>
      <c r="O38" s="1"/>
      <c r="P38" s="1" t="s">
        <v>874</v>
      </c>
      <c r="Q38" t="s">
        <v>792</v>
      </c>
      <c r="R38">
        <v>900.69834227499996</v>
      </c>
      <c r="S38">
        <v>901.04272729399895</v>
      </c>
      <c r="T38">
        <v>83.668992000000003</v>
      </c>
      <c r="AA38" s="1" t="s">
        <v>874</v>
      </c>
      <c r="AB38" t="s">
        <v>792</v>
      </c>
      <c r="AC38">
        <v>900.74183300899995</v>
      </c>
      <c r="AD38">
        <v>901.04592521401298</v>
      </c>
      <c r="AE38">
        <v>141.34067200000001</v>
      </c>
    </row>
    <row r="39" spans="1:36" x14ac:dyDescent="0.2">
      <c r="A39">
        <v>600</v>
      </c>
      <c r="B39">
        <v>1</v>
      </c>
      <c r="C39" t="str">
        <f t="shared" si="0"/>
        <v>600-01</v>
      </c>
      <c r="F39" t="s">
        <v>879</v>
      </c>
      <c r="G39" t="s">
        <v>792</v>
      </c>
      <c r="H39">
        <v>901.00476944499997</v>
      </c>
      <c r="I39">
        <v>902.05045646201995</v>
      </c>
      <c r="J39">
        <v>14.315519999999999</v>
      </c>
      <c r="L39">
        <v>375579200</v>
      </c>
      <c r="M39">
        <v>2.29185E-4</v>
      </c>
      <c r="N39" s="1">
        <v>1.8935799999999999E-28</v>
      </c>
      <c r="O39" s="1"/>
      <c r="P39" s="1" t="s">
        <v>879</v>
      </c>
      <c r="Q39" t="s">
        <v>792</v>
      </c>
      <c r="R39">
        <v>900.63798706900002</v>
      </c>
      <c r="S39">
        <v>901.04160461202196</v>
      </c>
      <c r="T39">
        <v>8.7080959999999994</v>
      </c>
      <c r="V39">
        <v>375579200</v>
      </c>
      <c r="W39">
        <v>237.86699999999999</v>
      </c>
      <c r="X39" s="1">
        <v>3.0026E-28</v>
      </c>
      <c r="Y39" s="1"/>
      <c r="Z39" s="1"/>
      <c r="AA39" s="1" t="s">
        <v>879</v>
      </c>
      <c r="AB39" t="s">
        <v>792</v>
      </c>
      <c r="AC39">
        <v>900.54030226299994</v>
      </c>
      <c r="AD39">
        <v>901.03772039202101</v>
      </c>
      <c r="AE39">
        <v>8.8391680000000008</v>
      </c>
      <c r="AH39">
        <v>375579200</v>
      </c>
      <c r="AI39">
        <v>236.27500000000001</v>
      </c>
      <c r="AJ39" s="1">
        <v>3.0026E-28</v>
      </c>
    </row>
    <row r="40" spans="1:36" ht="16" x14ac:dyDescent="0.2">
      <c r="A40">
        <v>600</v>
      </c>
      <c r="B40">
        <v>4</v>
      </c>
      <c r="C40" t="str">
        <f t="shared" si="0"/>
        <v>600-04</v>
      </c>
      <c r="F40" t="s">
        <v>882</v>
      </c>
      <c r="G40" t="s">
        <v>792</v>
      </c>
      <c r="H40">
        <v>900.561535456</v>
      </c>
      <c r="I40">
        <v>901.051271000003</v>
      </c>
      <c r="J40">
        <v>31.764479999999999</v>
      </c>
      <c r="L40" s="5">
        <v>1032780104</v>
      </c>
      <c r="M40">
        <v>5.5255400000000002E-4</v>
      </c>
      <c r="N40" s="1">
        <v>1.41742E-12</v>
      </c>
      <c r="O40" s="1"/>
      <c r="P40" s="1" t="s">
        <v>882</v>
      </c>
      <c r="Q40" t="s">
        <v>792</v>
      </c>
      <c r="R40">
        <v>900.73007248500005</v>
      </c>
      <c r="S40">
        <v>901.04252021797504</v>
      </c>
      <c r="T40">
        <v>9.0562559999999994</v>
      </c>
      <c r="AA40" s="1" t="s">
        <v>882</v>
      </c>
      <c r="AB40" t="s">
        <v>792</v>
      </c>
      <c r="AC40">
        <v>900.67804614500005</v>
      </c>
      <c r="AD40">
        <v>901.03847087197903</v>
      </c>
      <c r="AE40">
        <v>9.2282879999999992</v>
      </c>
    </row>
    <row r="41" spans="1:36" x14ac:dyDescent="0.2">
      <c r="A41">
        <v>600</v>
      </c>
      <c r="B41">
        <v>6</v>
      </c>
      <c r="C41" t="str">
        <f t="shared" si="0"/>
        <v>600-06</v>
      </c>
      <c r="F41" t="s">
        <v>884</v>
      </c>
      <c r="G41" t="s">
        <v>793</v>
      </c>
      <c r="H41">
        <v>267.69128387000001</v>
      </c>
      <c r="I41">
        <v>267.90343047899597</v>
      </c>
      <c r="J41">
        <v>16000</v>
      </c>
      <c r="P41" t="s">
        <v>884</v>
      </c>
      <c r="Q41" t="s">
        <v>792</v>
      </c>
      <c r="R41">
        <v>900.22800648199996</v>
      </c>
      <c r="S41">
        <v>901.039131161</v>
      </c>
      <c r="T41">
        <v>28.749824</v>
      </c>
      <c r="V41">
        <v>200863512</v>
      </c>
      <c r="X41" s="1">
        <v>4.5421999999999998E-17</v>
      </c>
      <c r="Y41" s="1"/>
      <c r="Z41" s="1"/>
      <c r="AA41" t="s">
        <v>884</v>
      </c>
      <c r="AB41" t="s">
        <v>792</v>
      </c>
      <c r="AC41">
        <v>901.01228915199999</v>
      </c>
      <c r="AD41">
        <v>902.10251768000296</v>
      </c>
      <c r="AE41">
        <v>106.217472</v>
      </c>
      <c r="AH41">
        <v>200863512</v>
      </c>
      <c r="AI41">
        <v>119.99</v>
      </c>
      <c r="AJ41" s="1">
        <v>4.5421999999999998E-17</v>
      </c>
    </row>
    <row r="42" spans="1:36" ht="16" x14ac:dyDescent="0.2">
      <c r="A42">
        <v>800</v>
      </c>
      <c r="B42">
        <v>4</v>
      </c>
      <c r="C42" t="str">
        <f t="shared" si="0"/>
        <v>800-04</v>
      </c>
      <c r="F42" t="s">
        <v>900</v>
      </c>
      <c r="G42" t="s">
        <v>792</v>
      </c>
      <c r="H42">
        <v>900.66301364499998</v>
      </c>
      <c r="I42">
        <v>901.22160377699697</v>
      </c>
      <c r="J42">
        <v>2636.0872960000002</v>
      </c>
      <c r="L42" s="5">
        <v>932521398</v>
      </c>
      <c r="M42">
        <v>5.0760600000000003E-2</v>
      </c>
      <c r="N42" s="1">
        <v>1.57131E-17</v>
      </c>
      <c r="O42" s="1"/>
      <c r="P42" s="1" t="s">
        <v>900</v>
      </c>
      <c r="Q42" t="s">
        <v>792</v>
      </c>
      <c r="R42">
        <v>900.52037272099994</v>
      </c>
      <c r="S42">
        <v>901.044924782007</v>
      </c>
      <c r="T42">
        <v>14.598144</v>
      </c>
      <c r="AA42" s="1" t="s">
        <v>900</v>
      </c>
      <c r="AB42" t="s">
        <v>792</v>
      </c>
      <c r="AC42">
        <v>900.56751756699998</v>
      </c>
      <c r="AD42">
        <v>901.040271224977</v>
      </c>
      <c r="AE42">
        <v>17.887232000000001</v>
      </c>
    </row>
    <row r="43" spans="1:36" x14ac:dyDescent="0.2">
      <c r="A43">
        <v>800</v>
      </c>
      <c r="B43">
        <v>7</v>
      </c>
      <c r="C43" t="str">
        <f t="shared" si="0"/>
        <v>800-07</v>
      </c>
      <c r="F43" t="s">
        <v>903</v>
      </c>
      <c r="G43" t="s">
        <v>793</v>
      </c>
      <c r="H43">
        <v>372.54315026699999</v>
      </c>
      <c r="I43">
        <v>372.85512069900801</v>
      </c>
      <c r="J43">
        <v>16000</v>
      </c>
      <c r="P43" t="s">
        <v>903</v>
      </c>
      <c r="Q43" t="s">
        <v>792</v>
      </c>
      <c r="R43">
        <v>900.19326328299996</v>
      </c>
      <c r="S43">
        <v>901.04503862099898</v>
      </c>
      <c r="T43">
        <v>65.736704000000003</v>
      </c>
      <c r="V43">
        <v>197335339</v>
      </c>
      <c r="W43">
        <v>189.358</v>
      </c>
      <c r="X43" s="1">
        <v>1.44159E-6</v>
      </c>
      <c r="Y43" s="1"/>
      <c r="Z43" s="1"/>
      <c r="AA43" t="s">
        <v>903</v>
      </c>
      <c r="AB43" t="s">
        <v>792</v>
      </c>
      <c r="AC43">
        <v>900.58493330700003</v>
      </c>
      <c r="AD43">
        <v>901.23331887999598</v>
      </c>
      <c r="AE43">
        <v>2277.56032</v>
      </c>
      <c r="AH43">
        <v>197335339</v>
      </c>
      <c r="AI43">
        <v>194.20699999999999</v>
      </c>
      <c r="AJ43" s="1">
        <v>1.44159E-6</v>
      </c>
    </row>
    <row r="44" spans="1:36" x14ac:dyDescent="0.2">
      <c r="A44">
        <v>900</v>
      </c>
      <c r="B44">
        <v>4</v>
      </c>
      <c r="C44" t="str">
        <f t="shared" si="0"/>
        <v>900-04</v>
      </c>
      <c r="F44" t="s">
        <v>909</v>
      </c>
      <c r="G44" t="s">
        <v>793</v>
      </c>
      <c r="H44">
        <v>388.22756268199998</v>
      </c>
      <c r="I44">
        <v>388.62621059000901</v>
      </c>
      <c r="J44">
        <v>16000</v>
      </c>
      <c r="P44" t="s">
        <v>909</v>
      </c>
      <c r="Q44" t="s">
        <v>792</v>
      </c>
      <c r="R44">
        <v>900.99737023099999</v>
      </c>
      <c r="S44">
        <v>902.19855399700396</v>
      </c>
      <c r="T44">
        <v>10.788864</v>
      </c>
      <c r="V44">
        <v>108921962</v>
      </c>
      <c r="W44">
        <v>82.971299999999999</v>
      </c>
      <c r="X44" s="1">
        <v>2.6896999999999999E-8</v>
      </c>
      <c r="Y44" s="1"/>
      <c r="Z44" s="1"/>
      <c r="AA44" t="s">
        <v>909</v>
      </c>
      <c r="AB44" t="s">
        <v>792</v>
      </c>
      <c r="AC44">
        <v>901.00127026200005</v>
      </c>
      <c r="AD44">
        <v>902.11120953998704</v>
      </c>
      <c r="AE44">
        <v>13.414400000000001</v>
      </c>
      <c r="AH44">
        <v>108921962</v>
      </c>
      <c r="AI44">
        <v>83.600899999999996</v>
      </c>
      <c r="AJ44" s="1">
        <v>2.6896999999999999E-8</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5C8B4-55D7-4D1E-81B5-C3E385F29519}">
  <dimension ref="A1:AE12"/>
  <sheetViews>
    <sheetView topLeftCell="X1" zoomScale="110" zoomScaleNormal="110" workbookViewId="0">
      <selection activeCell="L21" sqref="L21"/>
    </sheetView>
  </sheetViews>
  <sheetFormatPr baseColWidth="10" defaultColWidth="8.83203125" defaultRowHeight="15" x14ac:dyDescent="0.2"/>
  <cols>
    <col min="1" max="34" width="15.6640625" customWidth="1"/>
  </cols>
  <sheetData>
    <row r="1" spans="1:31" x14ac:dyDescent="0.2">
      <c r="A1" t="s">
        <v>1109</v>
      </c>
      <c r="B1" t="s">
        <v>785</v>
      </c>
      <c r="C1" t="s">
        <v>1015</v>
      </c>
      <c r="D1" t="s">
        <v>787</v>
      </c>
      <c r="E1" t="s">
        <v>1016</v>
      </c>
      <c r="G1" t="s">
        <v>824</v>
      </c>
      <c r="H1" t="s">
        <v>826</v>
      </c>
      <c r="M1" t="s">
        <v>785</v>
      </c>
      <c r="N1" t="s">
        <v>1017</v>
      </c>
      <c r="O1" t="s">
        <v>787</v>
      </c>
      <c r="P1" t="s">
        <v>830</v>
      </c>
      <c r="R1" t="s">
        <v>824</v>
      </c>
      <c r="S1" t="s">
        <v>826</v>
      </c>
      <c r="W1" t="s">
        <v>785</v>
      </c>
      <c r="X1" t="s">
        <v>831</v>
      </c>
      <c r="Y1" t="s">
        <v>787</v>
      </c>
      <c r="Z1" t="s">
        <v>1018</v>
      </c>
      <c r="AC1" t="s">
        <v>824</v>
      </c>
      <c r="AD1" t="s">
        <v>826</v>
      </c>
    </row>
    <row r="2" spans="1:31" x14ac:dyDescent="0.2">
      <c r="A2" t="s">
        <v>1019</v>
      </c>
      <c r="B2" t="s">
        <v>833</v>
      </c>
      <c r="C2">
        <v>0.112576778</v>
      </c>
      <c r="D2">
        <v>0.16292733798036299</v>
      </c>
      <c r="E2">
        <v>6.3283199999999997</v>
      </c>
      <c r="G2">
        <v>149</v>
      </c>
      <c r="H2">
        <v>5.908E-6</v>
      </c>
      <c r="I2">
        <v>1.19348E-6</v>
      </c>
      <c r="L2" t="s">
        <v>1019</v>
      </c>
      <c r="M2" t="s">
        <v>833</v>
      </c>
      <c r="N2">
        <v>0.11676247300000001</v>
      </c>
      <c r="O2">
        <v>0.153499485983047</v>
      </c>
      <c r="P2">
        <v>6.1972480000000001</v>
      </c>
      <c r="R2">
        <v>149</v>
      </c>
      <c r="S2">
        <v>3.6804000000000002E-5</v>
      </c>
      <c r="T2">
        <v>1.6006200000000001E-6</v>
      </c>
      <c r="V2" t="s">
        <v>1019</v>
      </c>
      <c r="W2" t="s">
        <v>833</v>
      </c>
      <c r="X2">
        <v>0.102610805</v>
      </c>
      <c r="Y2">
        <v>0.137297364010009</v>
      </c>
      <c r="Z2">
        <v>6.1931520000000004</v>
      </c>
      <c r="AC2">
        <v>149</v>
      </c>
      <c r="AD2">
        <v>3.1655000000000001E-5</v>
      </c>
      <c r="AE2">
        <v>1.6006200000000001E-6</v>
      </c>
    </row>
    <row r="3" spans="1:31" x14ac:dyDescent="0.2">
      <c r="A3" t="s">
        <v>1020</v>
      </c>
      <c r="B3" t="s">
        <v>833</v>
      </c>
      <c r="C3">
        <v>2.84156977</v>
      </c>
      <c r="D3">
        <v>2.8762176710006302</v>
      </c>
      <c r="E3">
        <v>6.6969599999999998</v>
      </c>
      <c r="G3">
        <v>135316</v>
      </c>
      <c r="H3">
        <v>1.8791E-5</v>
      </c>
      <c r="I3">
        <v>1.21642E-6</v>
      </c>
      <c r="L3" t="s">
        <v>1020</v>
      </c>
      <c r="M3" t="s">
        <v>833</v>
      </c>
      <c r="N3">
        <v>3.1006338119999999</v>
      </c>
      <c r="O3">
        <v>3.14356524700997</v>
      </c>
      <c r="P3">
        <v>6.5986560000000001</v>
      </c>
      <c r="R3">
        <v>135316</v>
      </c>
      <c r="S3">
        <v>1.6714400000000001E-2</v>
      </c>
      <c r="T3">
        <v>1.64337E-6</v>
      </c>
      <c r="V3" t="s">
        <v>1020</v>
      </c>
      <c r="W3" t="s">
        <v>833</v>
      </c>
      <c r="X3">
        <v>2.8968663480000001</v>
      </c>
      <c r="Y3">
        <v>2.9333124880213202</v>
      </c>
      <c r="Z3">
        <v>6.5617919999999996</v>
      </c>
      <c r="AC3">
        <v>135316</v>
      </c>
      <c r="AD3">
        <v>1.6710200000000001E-2</v>
      </c>
      <c r="AE3">
        <v>1.64337E-6</v>
      </c>
    </row>
    <row r="4" spans="1:31" x14ac:dyDescent="0.2">
      <c r="A4" t="s">
        <v>1021</v>
      </c>
      <c r="B4" t="s">
        <v>833</v>
      </c>
      <c r="C4">
        <v>48.333348209999997</v>
      </c>
      <c r="D4">
        <v>48.455456413008498</v>
      </c>
      <c r="E4">
        <v>6.9918719999999999</v>
      </c>
      <c r="G4">
        <v>2166912</v>
      </c>
      <c r="H4">
        <v>3.1235999999999997E-5</v>
      </c>
      <c r="I4">
        <v>2.3972000000000001E-6</v>
      </c>
      <c r="L4" t="s">
        <v>1021</v>
      </c>
      <c r="M4" t="s">
        <v>833</v>
      </c>
      <c r="N4">
        <v>49.136650009</v>
      </c>
      <c r="O4">
        <v>49.231419953022801</v>
      </c>
      <c r="P4">
        <v>6.8567039999999997</v>
      </c>
      <c r="R4">
        <v>2166912</v>
      </c>
      <c r="S4">
        <v>0.214925</v>
      </c>
      <c r="T4">
        <v>3.3368700000000002E-6</v>
      </c>
      <c r="V4" t="s">
        <v>1021</v>
      </c>
      <c r="W4" t="s">
        <v>833</v>
      </c>
      <c r="X4">
        <v>48.459245586999998</v>
      </c>
      <c r="Y4">
        <v>48.572062658000497</v>
      </c>
      <c r="Z4">
        <v>6.9017600000000003</v>
      </c>
      <c r="AC4">
        <v>2166912</v>
      </c>
      <c r="AD4">
        <v>0.213396</v>
      </c>
      <c r="AE4">
        <v>3.3368700000000002E-6</v>
      </c>
    </row>
    <row r="5" spans="1:31" x14ac:dyDescent="0.2">
      <c r="A5" t="s">
        <v>1022</v>
      </c>
      <c r="B5" t="s">
        <v>792</v>
      </c>
      <c r="C5">
        <v>901.00027503900003</v>
      </c>
      <c r="D5">
        <v>902.63264713500303</v>
      </c>
      <c r="E5">
        <v>7.3236480000000004</v>
      </c>
      <c r="G5">
        <v>138755072</v>
      </c>
      <c r="H5">
        <v>3.5781999999999997E-5</v>
      </c>
      <c r="I5">
        <v>1.39831E-5</v>
      </c>
      <c r="L5" t="s">
        <v>1022</v>
      </c>
      <c r="M5" t="s">
        <v>792</v>
      </c>
      <c r="N5">
        <v>901.00157390100003</v>
      </c>
      <c r="O5">
        <v>902.26208944199595</v>
      </c>
      <c r="P5">
        <v>7.254016</v>
      </c>
      <c r="R5">
        <v>138755072</v>
      </c>
      <c r="S5">
        <v>15.196999999999999</v>
      </c>
      <c r="T5">
        <v>1.95728E-5</v>
      </c>
      <c r="V5" t="s">
        <v>1022</v>
      </c>
      <c r="W5" t="s">
        <v>792</v>
      </c>
      <c r="X5">
        <v>901.002709106</v>
      </c>
      <c r="Y5">
        <v>902.52458547099297</v>
      </c>
      <c r="Z5">
        <v>7.254016</v>
      </c>
      <c r="AC5">
        <v>138755072</v>
      </c>
      <c r="AD5">
        <v>15.177099999999999</v>
      </c>
      <c r="AE5">
        <v>1.95728E-5</v>
      </c>
    </row>
    <row r="6" spans="1:31" x14ac:dyDescent="0.2">
      <c r="A6" t="s">
        <v>1023</v>
      </c>
      <c r="B6" t="s">
        <v>792</v>
      </c>
      <c r="C6">
        <v>901.00263383100003</v>
      </c>
      <c r="D6">
        <v>902.44799939001598</v>
      </c>
      <c r="E6">
        <v>7.9134719999999996</v>
      </c>
      <c r="G6">
        <v>139014144</v>
      </c>
      <c r="H6">
        <v>4.3599E-5</v>
      </c>
      <c r="I6">
        <v>1.4633200000000001E-5</v>
      </c>
      <c r="L6" t="s">
        <v>1023</v>
      </c>
      <c r="M6" t="s">
        <v>792</v>
      </c>
      <c r="N6">
        <v>901.00181766000003</v>
      </c>
      <c r="O6">
        <v>902.18585661900499</v>
      </c>
      <c r="P6">
        <v>7.5161600000000002</v>
      </c>
      <c r="R6">
        <v>139014144</v>
      </c>
      <c r="S6">
        <v>15.131600000000001</v>
      </c>
      <c r="T6">
        <v>2.10455E-5</v>
      </c>
      <c r="V6" t="s">
        <v>1023</v>
      </c>
      <c r="W6" t="s">
        <v>792</v>
      </c>
      <c r="X6">
        <v>900.99725093200004</v>
      </c>
      <c r="Y6">
        <v>902.22195341400197</v>
      </c>
      <c r="Z6">
        <v>7.5980800000000004</v>
      </c>
      <c r="AC6">
        <v>139014144</v>
      </c>
      <c r="AD6">
        <v>15.1676</v>
      </c>
      <c r="AE6">
        <v>2.10455E-5</v>
      </c>
    </row>
    <row r="7" spans="1:31" x14ac:dyDescent="0.2">
      <c r="A7" t="s">
        <v>1028</v>
      </c>
      <c r="B7" t="s">
        <v>833</v>
      </c>
      <c r="C7">
        <v>1.176530842</v>
      </c>
      <c r="D7">
        <v>1.2020970709854699</v>
      </c>
      <c r="E7">
        <v>7.2581119999999997</v>
      </c>
      <c r="G7">
        <v>38595</v>
      </c>
      <c r="H7">
        <v>1.9324999999999999E-5</v>
      </c>
      <c r="I7">
        <v>1.9808299999999999E-7</v>
      </c>
      <c r="L7" t="s">
        <v>1028</v>
      </c>
      <c r="M7" t="s">
        <v>833</v>
      </c>
      <c r="N7">
        <v>1.1896825529999999</v>
      </c>
      <c r="O7">
        <v>1.220803076023</v>
      </c>
      <c r="P7">
        <v>6.7215360000000004</v>
      </c>
      <c r="R7">
        <v>38595</v>
      </c>
      <c r="S7">
        <v>1.54573E-2</v>
      </c>
      <c r="T7">
        <v>2.57129E-7</v>
      </c>
      <c r="V7" t="s">
        <v>1028</v>
      </c>
      <c r="W7" t="s">
        <v>833</v>
      </c>
      <c r="X7">
        <v>1.153946672</v>
      </c>
      <c r="Y7">
        <v>1.1819323119998399</v>
      </c>
      <c r="Z7">
        <v>6.7624959999999996</v>
      </c>
      <c r="AC7">
        <v>38595</v>
      </c>
      <c r="AD7">
        <v>1.3857299999999999E-2</v>
      </c>
      <c r="AE7">
        <v>2.57129E-7</v>
      </c>
    </row>
    <row r="8" spans="1:31" x14ac:dyDescent="0.2">
      <c r="A8" t="s">
        <v>1029</v>
      </c>
      <c r="B8" t="s">
        <v>833</v>
      </c>
      <c r="C8">
        <v>16.807068467000001</v>
      </c>
      <c r="D8">
        <v>16.872276566980801</v>
      </c>
      <c r="E8">
        <v>13.021184</v>
      </c>
      <c r="G8">
        <v>590652</v>
      </c>
      <c r="H8">
        <v>2.7419199999999998E-4</v>
      </c>
      <c r="I8">
        <v>1.9826200000000001E-7</v>
      </c>
      <c r="L8" t="s">
        <v>1029</v>
      </c>
      <c r="M8" t="s">
        <v>833</v>
      </c>
      <c r="N8">
        <v>16.816384222</v>
      </c>
      <c r="O8">
        <v>16.875801084010099</v>
      </c>
      <c r="P8">
        <v>7.5161600000000002</v>
      </c>
      <c r="R8">
        <v>590652</v>
      </c>
      <c r="S8">
        <v>0.18981600000000001</v>
      </c>
      <c r="T8">
        <v>2.5761399999999999E-7</v>
      </c>
      <c r="V8" t="s">
        <v>1029</v>
      </c>
      <c r="W8" t="s">
        <v>833</v>
      </c>
      <c r="X8">
        <v>17.221681088</v>
      </c>
      <c r="Y8">
        <v>17.282802385976499</v>
      </c>
      <c r="Z8">
        <v>7.6513280000000004</v>
      </c>
      <c r="AC8">
        <v>590652</v>
      </c>
      <c r="AD8">
        <v>0.189526</v>
      </c>
      <c r="AE8">
        <v>2.5761399999999999E-7</v>
      </c>
    </row>
    <row r="9" spans="1:31" x14ac:dyDescent="0.2">
      <c r="A9" t="s">
        <v>1030</v>
      </c>
      <c r="B9" t="s">
        <v>833</v>
      </c>
      <c r="C9">
        <v>152.107668872</v>
      </c>
      <c r="D9">
        <v>152.433942621981</v>
      </c>
      <c r="E9">
        <v>78.917631999999998</v>
      </c>
      <c r="G9">
        <v>5124571</v>
      </c>
      <c r="H9">
        <v>2.1854999999999999E-3</v>
      </c>
      <c r="I9">
        <v>2.0233099999999999E-7</v>
      </c>
      <c r="L9" t="s">
        <v>1030</v>
      </c>
      <c r="M9" t="s">
        <v>833</v>
      </c>
      <c r="N9">
        <v>149.539492276</v>
      </c>
      <c r="O9">
        <v>149.85494801099401</v>
      </c>
      <c r="P9">
        <v>8.3025920000000006</v>
      </c>
      <c r="R9">
        <v>5124571</v>
      </c>
      <c r="S9">
        <v>1.50519</v>
      </c>
      <c r="T9">
        <v>2.6479700000000001E-7</v>
      </c>
      <c r="V9" t="s">
        <v>1030</v>
      </c>
      <c r="W9" t="s">
        <v>833</v>
      </c>
      <c r="X9">
        <v>149.64532529300001</v>
      </c>
      <c r="Y9">
        <v>149.949708386993</v>
      </c>
      <c r="Z9">
        <v>8.6958079999999995</v>
      </c>
      <c r="AC9">
        <v>5124571</v>
      </c>
      <c r="AD9">
        <v>1.51424</v>
      </c>
      <c r="AE9">
        <v>2.6479700000000001E-7</v>
      </c>
    </row>
    <row r="10" spans="1:31" x14ac:dyDescent="0.2">
      <c r="A10" t="s">
        <v>1031</v>
      </c>
      <c r="B10" t="s">
        <v>792</v>
      </c>
      <c r="C10">
        <v>901.01205639900002</v>
      </c>
      <c r="D10">
        <v>902.29802483000003</v>
      </c>
      <c r="E10">
        <v>101.76512</v>
      </c>
      <c r="G10">
        <v>630422619</v>
      </c>
      <c r="I10">
        <v>2.0233099999999999E-7</v>
      </c>
      <c r="L10" t="s">
        <v>1031</v>
      </c>
      <c r="M10" t="s">
        <v>792</v>
      </c>
      <c r="N10">
        <v>900.40765734199999</v>
      </c>
      <c r="O10">
        <v>901.039912736014</v>
      </c>
      <c r="P10">
        <v>9.3511679999999995</v>
      </c>
      <c r="R10">
        <v>630422619</v>
      </c>
      <c r="S10">
        <v>174.536</v>
      </c>
      <c r="T10">
        <v>2.6479700000000001E-7</v>
      </c>
      <c r="V10" t="s">
        <v>1031</v>
      </c>
      <c r="W10" t="s">
        <v>792</v>
      </c>
      <c r="X10">
        <v>900.45720542200002</v>
      </c>
      <c r="Y10">
        <v>901.04678218701099</v>
      </c>
      <c r="Z10">
        <v>9.4822399999999991</v>
      </c>
    </row>
    <row r="11" spans="1:31" x14ac:dyDescent="0.2">
      <c r="A11" t="s">
        <v>1037</v>
      </c>
      <c r="B11" t="s">
        <v>792</v>
      </c>
      <c r="C11">
        <v>901.023330418</v>
      </c>
      <c r="D11">
        <v>902.69682358999796</v>
      </c>
      <c r="E11">
        <v>274.08793600000001</v>
      </c>
      <c r="G11">
        <v>54057207</v>
      </c>
      <c r="H11">
        <v>6.8963799999999997E-3</v>
      </c>
      <c r="I11">
        <v>3.2000000000000003E-4</v>
      </c>
      <c r="L11" t="s">
        <v>1037</v>
      </c>
      <c r="M11" t="s">
        <v>792</v>
      </c>
      <c r="N11">
        <v>901.00434332299994</v>
      </c>
      <c r="O11">
        <v>902.57903287699401</v>
      </c>
      <c r="P11">
        <v>10.911744000000001</v>
      </c>
      <c r="R11">
        <v>54057207</v>
      </c>
      <c r="S11">
        <v>50.393500000000003</v>
      </c>
      <c r="T11">
        <v>3.3607199999999998E-4</v>
      </c>
      <c r="V11" t="s">
        <v>1037</v>
      </c>
      <c r="W11" t="s">
        <v>792</v>
      </c>
      <c r="X11">
        <v>901.00386247400002</v>
      </c>
      <c r="Y11">
        <v>902.51185347800401</v>
      </c>
      <c r="Z11">
        <v>12.767232</v>
      </c>
      <c r="AC11">
        <v>54057207</v>
      </c>
      <c r="AD11">
        <v>50.391599999999997</v>
      </c>
      <c r="AE11">
        <v>3.3607199999999998E-4</v>
      </c>
    </row>
    <row r="12" spans="1:31" x14ac:dyDescent="0.2">
      <c r="A12" t="s">
        <v>1038</v>
      </c>
      <c r="B12" t="s">
        <v>792</v>
      </c>
      <c r="C12">
        <v>900.55485027700001</v>
      </c>
      <c r="D12">
        <v>901.05095511200398</v>
      </c>
      <c r="E12">
        <v>275.95571200000001</v>
      </c>
      <c r="L12" t="s">
        <v>1038</v>
      </c>
      <c r="M12" t="s">
        <v>792</v>
      </c>
      <c r="N12">
        <v>900.488247935</v>
      </c>
      <c r="O12">
        <v>901.03923762499403</v>
      </c>
      <c r="P12">
        <v>11.321344</v>
      </c>
      <c r="V12" t="s">
        <v>1038</v>
      </c>
      <c r="W12" t="s">
        <v>792</v>
      </c>
      <c r="X12">
        <v>900.75656670000001</v>
      </c>
      <c r="Y12">
        <v>901.03468039201096</v>
      </c>
      <c r="Z12">
        <v>13.156352</v>
      </c>
      <c r="AC12">
        <v>630422619</v>
      </c>
      <c r="AD12">
        <v>175.34399999999999</v>
      </c>
      <c r="AE12">
        <v>2.6479700000000001E-7</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17B84-0B15-4653-98F4-39D55EE11A53}">
  <dimension ref="A1:N172"/>
  <sheetViews>
    <sheetView tabSelected="1" zoomScale="80" zoomScaleNormal="50" workbookViewId="0">
      <selection activeCell="S84" sqref="S84"/>
    </sheetView>
  </sheetViews>
  <sheetFormatPr baseColWidth="10" defaultColWidth="8.83203125" defaultRowHeight="15" x14ac:dyDescent="0.2"/>
  <cols>
    <col min="1" max="1" width="14" bestFit="1" customWidth="1"/>
    <col min="2" max="2" width="13" bestFit="1" customWidth="1"/>
    <col min="3" max="3" width="15.6640625" customWidth="1"/>
    <col min="4" max="4" width="13.6640625" bestFit="1" customWidth="1"/>
    <col min="9" max="9" width="14" bestFit="1" customWidth="1"/>
    <col min="10" max="11" width="15.6640625" customWidth="1"/>
    <col min="12" max="12" width="12.6640625" bestFit="1" customWidth="1"/>
    <col min="13" max="13" width="14.33203125" customWidth="1"/>
    <col min="14" max="14" width="13.33203125" customWidth="1"/>
  </cols>
  <sheetData>
    <row r="1" spans="1:14" x14ac:dyDescent="0.2">
      <c r="A1" t="s">
        <v>784</v>
      </c>
      <c r="B1" t="s">
        <v>1110</v>
      </c>
      <c r="C1" t="s">
        <v>1111</v>
      </c>
      <c r="D1" t="s">
        <v>1112</v>
      </c>
      <c r="E1" t="s">
        <v>1113</v>
      </c>
      <c r="F1" t="s">
        <v>1114</v>
      </c>
      <c r="I1" t="s">
        <v>784</v>
      </c>
      <c r="J1" t="s">
        <v>1115</v>
      </c>
      <c r="K1" t="s">
        <v>1116</v>
      </c>
      <c r="L1" t="s">
        <v>1117</v>
      </c>
      <c r="M1" t="s">
        <v>1118</v>
      </c>
      <c r="N1" t="s">
        <v>1119</v>
      </c>
    </row>
    <row r="2" spans="1:14" x14ac:dyDescent="0.2">
      <c r="A2" t="s">
        <v>834</v>
      </c>
      <c r="B2">
        <v>1.6953402999999999E-2</v>
      </c>
      <c r="C2">
        <v>0.71710586899999995</v>
      </c>
      <c r="D2">
        <v>0.11244756</v>
      </c>
      <c r="E2">
        <v>0.118721988</v>
      </c>
      <c r="F2">
        <v>0.113772972</v>
      </c>
      <c r="I2" t="s">
        <v>834</v>
      </c>
      <c r="J2">
        <v>2.0152320000000001</v>
      </c>
      <c r="K2">
        <v>4.0960000000000001</v>
      </c>
      <c r="L2">
        <v>6.3324160000000003</v>
      </c>
      <c r="M2">
        <v>6.2177280000000001</v>
      </c>
      <c r="N2">
        <v>6.2709760000000001</v>
      </c>
    </row>
    <row r="3" spans="1:14" x14ac:dyDescent="0.2">
      <c r="A3" t="s">
        <v>835</v>
      </c>
      <c r="B3">
        <v>4.5382770000000003E-2</v>
      </c>
      <c r="C3">
        <v>0.77282153899999995</v>
      </c>
      <c r="D3">
        <v>0.21960044500000001</v>
      </c>
      <c r="E3">
        <v>0.226832702</v>
      </c>
      <c r="F3">
        <v>0.221840754</v>
      </c>
      <c r="I3" t="s">
        <v>835</v>
      </c>
      <c r="J3">
        <v>2.1503999999999999</v>
      </c>
      <c r="K3">
        <v>4.4851200000000002</v>
      </c>
      <c r="L3">
        <v>6.303744</v>
      </c>
      <c r="M3">
        <v>6.2136319999999996</v>
      </c>
      <c r="N3">
        <v>6.1521920000000003</v>
      </c>
    </row>
    <row r="4" spans="1:14" x14ac:dyDescent="0.2">
      <c r="A4" t="s">
        <v>836</v>
      </c>
      <c r="B4">
        <v>1.2560768E-2</v>
      </c>
      <c r="C4">
        <v>0.69587020300000002</v>
      </c>
      <c r="D4">
        <v>9.7503664000000004E-2</v>
      </c>
      <c r="E4">
        <v>0.102652994</v>
      </c>
      <c r="F4">
        <v>0.100072827</v>
      </c>
      <c r="I4" t="s">
        <v>836</v>
      </c>
      <c r="J4">
        <v>2.011136</v>
      </c>
      <c r="K4">
        <v>4.0222720000000001</v>
      </c>
      <c r="L4">
        <v>6.2054400000000003</v>
      </c>
      <c r="M4">
        <v>6.1235200000000001</v>
      </c>
      <c r="N4">
        <v>6.0784640000000003</v>
      </c>
    </row>
    <row r="5" spans="1:14" x14ac:dyDescent="0.2">
      <c r="A5" t="s">
        <v>837</v>
      </c>
      <c r="B5">
        <v>1.3638323000000001E-2</v>
      </c>
      <c r="C5">
        <v>0.72679737099999997</v>
      </c>
      <c r="D5">
        <v>0.10509741</v>
      </c>
      <c r="E5">
        <v>0.110802336</v>
      </c>
      <c r="F5">
        <v>0.105313641</v>
      </c>
      <c r="I5" t="s">
        <v>837</v>
      </c>
      <c r="J5">
        <v>2.0152320000000001</v>
      </c>
      <c r="K5">
        <v>4.1451520000000004</v>
      </c>
      <c r="L5">
        <v>6.283264</v>
      </c>
      <c r="M5">
        <v>6.2095359999999999</v>
      </c>
      <c r="N5">
        <v>6.1685759999999998</v>
      </c>
    </row>
    <row r="6" spans="1:14" x14ac:dyDescent="0.2">
      <c r="A6" t="s">
        <v>838</v>
      </c>
      <c r="B6">
        <v>9.4328199999999997E-3</v>
      </c>
      <c r="C6">
        <v>0.69602752400000001</v>
      </c>
      <c r="D6">
        <v>9.4771300000000003E-2</v>
      </c>
      <c r="E6">
        <v>0.100050083</v>
      </c>
      <c r="F6">
        <v>9.5055674000000007E-2</v>
      </c>
      <c r="I6" t="s">
        <v>838</v>
      </c>
      <c r="J6">
        <v>2.2773759999999998</v>
      </c>
      <c r="K6">
        <v>4.0427520000000001</v>
      </c>
      <c r="L6">
        <v>6.0784640000000003</v>
      </c>
      <c r="M6">
        <v>6.0170240000000002</v>
      </c>
      <c r="N6">
        <v>5.9637760000000002</v>
      </c>
    </row>
    <row r="7" spans="1:14" x14ac:dyDescent="0.2">
      <c r="A7" t="s">
        <v>839</v>
      </c>
      <c r="B7">
        <v>1.6098626000000001E-2</v>
      </c>
      <c r="C7">
        <v>0.72603528500000003</v>
      </c>
      <c r="D7">
        <v>0.110762124</v>
      </c>
      <c r="E7">
        <v>0.118666935</v>
      </c>
      <c r="F7">
        <v>0.110468444</v>
      </c>
      <c r="I7" t="s">
        <v>839</v>
      </c>
      <c r="J7">
        <v>2.0152320000000001</v>
      </c>
      <c r="K7">
        <v>4.1041920000000003</v>
      </c>
      <c r="L7">
        <v>6.1890559999999999</v>
      </c>
      <c r="M7">
        <v>6.2095359999999999</v>
      </c>
      <c r="N7">
        <v>6.2136319999999996</v>
      </c>
    </row>
    <row r="8" spans="1:14" x14ac:dyDescent="0.2">
      <c r="A8" t="s">
        <v>840</v>
      </c>
      <c r="B8">
        <v>1.3807616E-2</v>
      </c>
      <c r="C8">
        <v>0.79731789200000003</v>
      </c>
      <c r="D8">
        <v>0.103812877</v>
      </c>
      <c r="E8">
        <v>0.10818058799999999</v>
      </c>
      <c r="F8">
        <v>0.10284903500000001</v>
      </c>
      <c r="I8" t="s">
        <v>840</v>
      </c>
      <c r="J8">
        <v>2.2773759999999998</v>
      </c>
      <c r="K8">
        <v>6.1276159999999997</v>
      </c>
      <c r="L8">
        <v>6.230016</v>
      </c>
      <c r="M8">
        <v>6.0743679999999998</v>
      </c>
      <c r="N8">
        <v>6.1685759999999998</v>
      </c>
    </row>
    <row r="9" spans="1:14" x14ac:dyDescent="0.2">
      <c r="A9" t="s">
        <v>841</v>
      </c>
      <c r="B9">
        <v>6.6142083000000004E-2</v>
      </c>
      <c r="C9">
        <v>2.0490610810000001</v>
      </c>
      <c r="D9">
        <v>0.221237831</v>
      </c>
      <c r="E9">
        <v>0.22956998200000001</v>
      </c>
      <c r="F9">
        <v>0.223540244</v>
      </c>
      <c r="I9" t="s">
        <v>841</v>
      </c>
      <c r="J9">
        <v>2.1872639999999999</v>
      </c>
      <c r="K9">
        <v>9.1422720000000002</v>
      </c>
      <c r="L9">
        <v>6.1849600000000002</v>
      </c>
      <c r="M9">
        <v>6.1235200000000001</v>
      </c>
      <c r="N9">
        <v>6.1890559999999999</v>
      </c>
    </row>
    <row r="10" spans="1:14" x14ac:dyDescent="0.2">
      <c r="A10" t="s">
        <v>842</v>
      </c>
      <c r="B10">
        <v>8.8852788000000002E-2</v>
      </c>
      <c r="C10">
        <v>1.100666763</v>
      </c>
      <c r="D10">
        <v>0.23065189999999999</v>
      </c>
      <c r="E10">
        <v>0.238241487</v>
      </c>
      <c r="F10">
        <v>0.233140597</v>
      </c>
      <c r="I10" t="s">
        <v>842</v>
      </c>
      <c r="J10">
        <v>2.2405119999999998</v>
      </c>
      <c r="K10">
        <v>5.2142080000000002</v>
      </c>
      <c r="L10">
        <v>6.3406079999999996</v>
      </c>
      <c r="M10">
        <v>6.3406079999999996</v>
      </c>
      <c r="N10">
        <v>6.2423039999999999</v>
      </c>
    </row>
    <row r="11" spans="1:14" x14ac:dyDescent="0.2">
      <c r="A11" t="s">
        <v>843</v>
      </c>
      <c r="B11">
        <v>2.2081136000000001E-2</v>
      </c>
      <c r="C11">
        <v>43.019294616000003</v>
      </c>
      <c r="D11">
        <v>0.133368608</v>
      </c>
      <c r="E11">
        <v>0.13105389100000001</v>
      </c>
      <c r="F11">
        <v>0.13125976</v>
      </c>
      <c r="I11" t="s">
        <v>843</v>
      </c>
      <c r="J11">
        <v>2.4248319999999999</v>
      </c>
      <c r="K11">
        <v>10.944512</v>
      </c>
      <c r="L11">
        <v>6.557696</v>
      </c>
      <c r="M11">
        <v>6.5863680000000002</v>
      </c>
      <c r="N11">
        <v>6.4757759999999998</v>
      </c>
    </row>
    <row r="12" spans="1:14" x14ac:dyDescent="0.2">
      <c r="A12" t="s">
        <v>844</v>
      </c>
      <c r="B12">
        <v>15.944227986</v>
      </c>
      <c r="C12">
        <v>3.372955159</v>
      </c>
      <c r="D12">
        <v>14.98442949</v>
      </c>
      <c r="E12">
        <v>15.169111383000001</v>
      </c>
      <c r="F12">
        <v>14.991968522000001</v>
      </c>
      <c r="I12" t="s">
        <v>844</v>
      </c>
      <c r="J12">
        <v>263.03283199999998</v>
      </c>
      <c r="K12">
        <v>10.846208000000001</v>
      </c>
      <c r="L12">
        <v>12.759040000000001</v>
      </c>
      <c r="M12">
        <v>7.8929919999999996</v>
      </c>
      <c r="N12">
        <v>8.1756159999999998</v>
      </c>
    </row>
    <row r="13" spans="1:14" x14ac:dyDescent="0.2">
      <c r="A13" t="s">
        <v>845</v>
      </c>
      <c r="B13">
        <v>0.74863363699999996</v>
      </c>
      <c r="C13">
        <v>1.090108571</v>
      </c>
      <c r="D13">
        <v>1.103876946</v>
      </c>
      <c r="E13">
        <v>1.1165375120000001</v>
      </c>
      <c r="F13">
        <v>1.110123379</v>
      </c>
      <c r="I13" t="s">
        <v>845</v>
      </c>
      <c r="J13">
        <v>10.530816</v>
      </c>
      <c r="K13">
        <v>7.528448</v>
      </c>
      <c r="L13">
        <v>6.8198400000000001</v>
      </c>
      <c r="M13">
        <v>6.7706879999999998</v>
      </c>
      <c r="N13">
        <v>6.7338240000000003</v>
      </c>
    </row>
    <row r="14" spans="1:14" x14ac:dyDescent="0.2">
      <c r="A14" t="s">
        <v>846</v>
      </c>
      <c r="B14">
        <v>1.3838523E-2</v>
      </c>
      <c r="C14">
        <v>5.9707260900000003</v>
      </c>
      <c r="D14">
        <v>0.103748514</v>
      </c>
      <c r="E14">
        <v>0.107384961</v>
      </c>
      <c r="F14">
        <v>0.10867394900000001</v>
      </c>
      <c r="I14" t="s">
        <v>846</v>
      </c>
      <c r="J14">
        <v>2.4043519999999998</v>
      </c>
      <c r="K14">
        <v>16.273408</v>
      </c>
      <c r="L14">
        <v>6.2545919999999997</v>
      </c>
      <c r="M14">
        <v>6.2668799999999996</v>
      </c>
      <c r="N14">
        <v>6.2054400000000003</v>
      </c>
    </row>
    <row r="15" spans="1:14" x14ac:dyDescent="0.2">
      <c r="A15" t="s">
        <v>847</v>
      </c>
      <c r="B15">
        <v>5.4173114000000001E-2</v>
      </c>
      <c r="C15">
        <v>1.5522600259999999</v>
      </c>
      <c r="D15">
        <v>0.221674606</v>
      </c>
      <c r="E15">
        <v>0.22412981400000001</v>
      </c>
      <c r="F15">
        <v>0.22820383899999999</v>
      </c>
      <c r="I15" t="s">
        <v>847</v>
      </c>
      <c r="J15">
        <v>2.53952</v>
      </c>
      <c r="K15">
        <v>9.1709440000000004</v>
      </c>
      <c r="L15">
        <v>6.4675840000000004</v>
      </c>
      <c r="M15">
        <v>6.4716800000000001</v>
      </c>
      <c r="N15">
        <v>6.4716800000000001</v>
      </c>
    </row>
    <row r="16" spans="1:14" x14ac:dyDescent="0.2">
      <c r="A16" t="s">
        <v>848</v>
      </c>
      <c r="B16">
        <v>0.23247991500000001</v>
      </c>
      <c r="C16">
        <v>3.8128432609999998</v>
      </c>
      <c r="D16">
        <v>2.024685963</v>
      </c>
      <c r="E16">
        <v>0.38593401300000002</v>
      </c>
      <c r="F16">
        <v>0.39378183500000002</v>
      </c>
      <c r="I16" t="s">
        <v>848</v>
      </c>
      <c r="J16">
        <v>4.9397760000000002</v>
      </c>
      <c r="K16">
        <v>10.911744000000001</v>
      </c>
      <c r="L16">
        <v>108.04428799999999</v>
      </c>
      <c r="M16">
        <v>8.3066879999999994</v>
      </c>
      <c r="N16">
        <v>9.8672640000000005</v>
      </c>
    </row>
    <row r="17" spans="1:14" x14ac:dyDescent="0.2">
      <c r="A17" t="s">
        <v>849</v>
      </c>
      <c r="B17">
        <v>12.300958882</v>
      </c>
      <c r="C17">
        <v>5.0076434150000004</v>
      </c>
      <c r="D17">
        <v>12.893044789999999</v>
      </c>
      <c r="E17">
        <v>13.077579808999999</v>
      </c>
      <c r="F17">
        <v>12.958363910999999</v>
      </c>
      <c r="I17" t="s">
        <v>849</v>
      </c>
      <c r="J17">
        <v>122.66291200000001</v>
      </c>
      <c r="K17">
        <v>11.20256</v>
      </c>
      <c r="L17">
        <v>8.8186879999999999</v>
      </c>
      <c r="M17">
        <v>6.9959680000000004</v>
      </c>
      <c r="N17">
        <v>8.6958079999999995</v>
      </c>
    </row>
    <row r="18" spans="1:14" x14ac:dyDescent="0.2">
      <c r="A18" t="s">
        <v>850</v>
      </c>
      <c r="B18">
        <v>0.63706424900000003</v>
      </c>
      <c r="C18">
        <v>77.954111585000007</v>
      </c>
      <c r="D18">
        <v>2.676052678</v>
      </c>
      <c r="E18">
        <v>0.74678053899999997</v>
      </c>
      <c r="F18">
        <v>0.74224239000000003</v>
      </c>
      <c r="I18" t="s">
        <v>850</v>
      </c>
      <c r="J18">
        <v>9.7648639999999993</v>
      </c>
      <c r="K18">
        <v>16.154623999999998</v>
      </c>
      <c r="L18">
        <v>116.744192</v>
      </c>
      <c r="M18">
        <v>6.9959680000000004</v>
      </c>
      <c r="N18">
        <v>9.7443840000000002</v>
      </c>
    </row>
    <row r="19" spans="1:14" x14ac:dyDescent="0.2">
      <c r="A19" t="s">
        <v>851</v>
      </c>
      <c r="B19">
        <v>36.293728373999997</v>
      </c>
      <c r="C19">
        <v>900.95939322699996</v>
      </c>
      <c r="D19">
        <v>34.973116781999998</v>
      </c>
      <c r="E19">
        <v>35.598312591999999</v>
      </c>
      <c r="F19">
        <v>35.772169886</v>
      </c>
      <c r="I19" t="s">
        <v>851</v>
      </c>
      <c r="J19">
        <v>362.70899200000002</v>
      </c>
      <c r="K19">
        <v>4.75136</v>
      </c>
      <c r="L19">
        <v>7.3564160000000003</v>
      </c>
      <c r="M19">
        <v>6.6437119999999998</v>
      </c>
      <c r="N19">
        <v>6.5986560000000001</v>
      </c>
    </row>
    <row r="20" spans="1:14" x14ac:dyDescent="0.2">
      <c r="A20" t="s">
        <v>852</v>
      </c>
      <c r="B20">
        <v>117.95127764999999</v>
      </c>
      <c r="C20">
        <v>386.46762659500001</v>
      </c>
      <c r="D20">
        <v>97.869962161999993</v>
      </c>
      <c r="E20">
        <v>98.121022095000001</v>
      </c>
      <c r="F20">
        <v>101.288234077</v>
      </c>
      <c r="I20" t="s">
        <v>852</v>
      </c>
      <c r="J20">
        <v>1480.6876159999999</v>
      </c>
      <c r="K20">
        <v>29.216767999999998</v>
      </c>
      <c r="L20">
        <v>8.9210879999999992</v>
      </c>
      <c r="M20">
        <v>7.4588159999999997</v>
      </c>
      <c r="N20">
        <v>7.6513280000000004</v>
      </c>
    </row>
    <row r="21" spans="1:14" x14ac:dyDescent="0.2">
      <c r="A21" t="s">
        <v>853</v>
      </c>
      <c r="B21">
        <v>0.47141182799999998</v>
      </c>
      <c r="C21">
        <v>17.868869549999999</v>
      </c>
      <c r="D21">
        <v>0.71975614899999996</v>
      </c>
      <c r="E21">
        <v>0.71364370399999999</v>
      </c>
      <c r="F21">
        <v>0.729909162</v>
      </c>
      <c r="I21" t="s">
        <v>853</v>
      </c>
      <c r="J21">
        <v>5.6688640000000001</v>
      </c>
      <c r="K21">
        <v>19.693567999999999</v>
      </c>
      <c r="L21">
        <v>7.708672</v>
      </c>
      <c r="M21">
        <v>7.12704</v>
      </c>
      <c r="N21">
        <v>7.1352320000000002</v>
      </c>
    </row>
    <row r="22" spans="1:14" x14ac:dyDescent="0.2">
      <c r="A22" t="s">
        <v>854</v>
      </c>
      <c r="B22">
        <v>47.073838033000001</v>
      </c>
      <c r="C22">
        <v>5.0072153869999996</v>
      </c>
      <c r="D22">
        <v>60.492957058999998</v>
      </c>
      <c r="E22">
        <v>58.751759880999998</v>
      </c>
      <c r="F22">
        <v>62.211099359999999</v>
      </c>
      <c r="I22" t="s">
        <v>854</v>
      </c>
      <c r="J22">
        <v>386.30195200000003</v>
      </c>
      <c r="K22">
        <v>18.571263999999999</v>
      </c>
      <c r="L22">
        <v>9.6501760000000001</v>
      </c>
      <c r="M22">
        <v>7.2704000000000004</v>
      </c>
      <c r="N22">
        <v>7.3482240000000001</v>
      </c>
    </row>
    <row r="23" spans="1:14" x14ac:dyDescent="0.2">
      <c r="A23" t="s">
        <v>855</v>
      </c>
      <c r="B23">
        <v>8.1267996379999996</v>
      </c>
      <c r="C23">
        <v>2.5518123130000001</v>
      </c>
      <c r="D23">
        <v>10.85593667</v>
      </c>
      <c r="E23">
        <v>11.095838485</v>
      </c>
      <c r="F23">
        <v>11.784253142000001</v>
      </c>
      <c r="I23" t="s">
        <v>855</v>
      </c>
      <c r="J23">
        <v>86.020095999999995</v>
      </c>
      <c r="K23">
        <v>17.465344000000002</v>
      </c>
      <c r="L23">
        <v>18.137087999999999</v>
      </c>
      <c r="M23">
        <v>7.7824</v>
      </c>
      <c r="N23">
        <v>7.909376</v>
      </c>
    </row>
    <row r="24" spans="1:14" x14ac:dyDescent="0.2">
      <c r="A24" t="s">
        <v>856</v>
      </c>
      <c r="B24">
        <v>291.82163716399998</v>
      </c>
      <c r="C24">
        <v>2.790646781</v>
      </c>
      <c r="D24">
        <v>218.84672197699999</v>
      </c>
      <c r="E24">
        <v>219.57988500299999</v>
      </c>
      <c r="F24">
        <v>224.09513117200001</v>
      </c>
      <c r="I24" t="s">
        <v>856</v>
      </c>
      <c r="J24">
        <v>1367.9288320000001</v>
      </c>
      <c r="K24">
        <v>18.251776</v>
      </c>
      <c r="L24">
        <v>17.739775999999999</v>
      </c>
      <c r="M24">
        <v>7.4301440000000003</v>
      </c>
      <c r="N24">
        <v>7.6472319999999998</v>
      </c>
    </row>
    <row r="25" spans="1:14" x14ac:dyDescent="0.2">
      <c r="A25" t="s">
        <v>857</v>
      </c>
      <c r="B25">
        <v>35.408349342999998</v>
      </c>
      <c r="C25">
        <v>2.9147318680000001</v>
      </c>
      <c r="D25">
        <v>39.990834282999998</v>
      </c>
      <c r="E25">
        <v>38.383026800000003</v>
      </c>
      <c r="F25">
        <v>41.355713903999998</v>
      </c>
      <c r="I25" t="s">
        <v>857</v>
      </c>
      <c r="J25">
        <v>325.43948799999998</v>
      </c>
      <c r="K25">
        <v>18.407423999999999</v>
      </c>
      <c r="L25">
        <v>9.7443840000000002</v>
      </c>
      <c r="M25">
        <v>7.4997759999999998</v>
      </c>
      <c r="N25">
        <v>7.708672</v>
      </c>
    </row>
    <row r="26" spans="1:14" x14ac:dyDescent="0.2">
      <c r="A26" t="s">
        <v>858</v>
      </c>
      <c r="B26">
        <v>901.00777381499995</v>
      </c>
      <c r="C26">
        <v>3.2738033849999999</v>
      </c>
      <c r="D26">
        <v>901.61510736599996</v>
      </c>
      <c r="E26">
        <v>900.06407556500005</v>
      </c>
      <c r="F26">
        <v>901.037127983</v>
      </c>
      <c r="I26" t="s">
        <v>858</v>
      </c>
      <c r="J26">
        <v>6557.7123840000004</v>
      </c>
      <c r="K26">
        <v>19.509247999999999</v>
      </c>
      <c r="L26">
        <v>9172.8814079999993</v>
      </c>
      <c r="M26">
        <v>84.119551999999999</v>
      </c>
      <c r="N26">
        <v>338.931712</v>
      </c>
    </row>
    <row r="27" spans="1:14" x14ac:dyDescent="0.2">
      <c r="A27" t="s">
        <v>859</v>
      </c>
      <c r="B27">
        <v>25.597309141</v>
      </c>
      <c r="C27">
        <v>3.6128492859999999</v>
      </c>
      <c r="D27">
        <v>28.092711954999999</v>
      </c>
      <c r="E27">
        <v>27.018760514</v>
      </c>
      <c r="F27">
        <v>29.181718298</v>
      </c>
      <c r="I27" t="s">
        <v>859</v>
      </c>
      <c r="J27">
        <v>209.42848000000001</v>
      </c>
      <c r="K27">
        <v>20.844543999999999</v>
      </c>
      <c r="L27">
        <v>7.0696960000000004</v>
      </c>
      <c r="M27">
        <v>7.0041599999999997</v>
      </c>
      <c r="N27">
        <v>6.9918719999999999</v>
      </c>
    </row>
    <row r="28" spans="1:14" x14ac:dyDescent="0.2">
      <c r="A28" t="s">
        <v>860</v>
      </c>
      <c r="B28">
        <v>900.92862049500002</v>
      </c>
      <c r="C28">
        <v>3.9170839059999998</v>
      </c>
      <c r="D28">
        <v>900.58322742300004</v>
      </c>
      <c r="E28">
        <v>900.55886227899998</v>
      </c>
      <c r="F28">
        <v>900.63898362500004</v>
      </c>
      <c r="I28" t="s">
        <v>860</v>
      </c>
      <c r="J28">
        <v>4540.2398720000001</v>
      </c>
      <c r="K28">
        <v>21.270527999999999</v>
      </c>
      <c r="L28">
        <v>80.785408000000004</v>
      </c>
      <c r="M28">
        <v>13.811712</v>
      </c>
      <c r="N28">
        <v>22.58944</v>
      </c>
    </row>
    <row r="29" spans="1:14" x14ac:dyDescent="0.2">
      <c r="A29" t="s">
        <v>861</v>
      </c>
      <c r="B29">
        <v>900.74834206699995</v>
      </c>
      <c r="C29">
        <v>0.75492707599999997</v>
      </c>
      <c r="D29">
        <v>588.20149731499998</v>
      </c>
      <c r="E29">
        <v>581.83965657199997</v>
      </c>
      <c r="F29">
        <v>579.47119474399994</v>
      </c>
      <c r="I29" t="s">
        <v>861</v>
      </c>
      <c r="J29">
        <v>539.00902399999995</v>
      </c>
      <c r="K29">
        <v>4.0837120000000002</v>
      </c>
      <c r="L29">
        <v>8.6958079999999995</v>
      </c>
      <c r="M29">
        <v>7.9134719999999996</v>
      </c>
      <c r="N29">
        <v>8.0363520000000008</v>
      </c>
    </row>
    <row r="30" spans="1:14" x14ac:dyDescent="0.2">
      <c r="A30" t="s">
        <v>862</v>
      </c>
      <c r="B30">
        <v>13.864054831000001</v>
      </c>
      <c r="C30">
        <v>3.3488716709999999</v>
      </c>
      <c r="D30">
        <v>18.724334727999999</v>
      </c>
      <c r="E30">
        <v>18.937684114</v>
      </c>
      <c r="F30">
        <v>18.884020980999999</v>
      </c>
      <c r="I30" t="s">
        <v>862</v>
      </c>
      <c r="J30">
        <v>158.347264</v>
      </c>
      <c r="K30">
        <v>9.3675519999999999</v>
      </c>
      <c r="L30">
        <v>7.5366400000000002</v>
      </c>
      <c r="M30">
        <v>7.327744</v>
      </c>
      <c r="N30">
        <v>7.2622080000000002</v>
      </c>
    </row>
    <row r="31" spans="1:14" x14ac:dyDescent="0.2">
      <c r="A31" t="s">
        <v>863</v>
      </c>
      <c r="B31">
        <v>407.01192831100002</v>
      </c>
      <c r="C31">
        <v>9.2423774989999998</v>
      </c>
      <c r="D31">
        <v>901.00444697399996</v>
      </c>
      <c r="E31">
        <v>900.50645831400004</v>
      </c>
      <c r="F31">
        <v>900.26928459700002</v>
      </c>
      <c r="I31" t="s">
        <v>863</v>
      </c>
      <c r="J31">
        <v>16000</v>
      </c>
      <c r="K31">
        <v>11.32544</v>
      </c>
      <c r="L31">
        <v>11.976704</v>
      </c>
      <c r="M31">
        <v>8.0609280000000005</v>
      </c>
      <c r="N31">
        <v>8.2534399999999994</v>
      </c>
    </row>
    <row r="32" spans="1:14" x14ac:dyDescent="0.2">
      <c r="A32" t="s">
        <v>864</v>
      </c>
      <c r="B32">
        <v>10.800777144</v>
      </c>
      <c r="C32">
        <v>0.73296014499999995</v>
      </c>
      <c r="D32">
        <v>7.1043324700000001</v>
      </c>
      <c r="E32">
        <v>7.654047813</v>
      </c>
      <c r="F32">
        <v>7.0912967929999997</v>
      </c>
      <c r="I32" t="s">
        <v>864</v>
      </c>
      <c r="J32">
        <v>77.750271999999995</v>
      </c>
      <c r="K32">
        <v>4.3171840000000001</v>
      </c>
      <c r="L32">
        <v>26.923007999999999</v>
      </c>
      <c r="M32">
        <v>7.7824</v>
      </c>
      <c r="N32">
        <v>8.0404479999999996</v>
      </c>
    </row>
    <row r="33" spans="1:14" x14ac:dyDescent="0.2">
      <c r="A33" t="s">
        <v>865</v>
      </c>
      <c r="B33">
        <v>901.13218284100003</v>
      </c>
      <c r="C33">
        <v>4.5841748420000004</v>
      </c>
      <c r="D33">
        <v>900.38726370300003</v>
      </c>
      <c r="E33">
        <v>900.741932185</v>
      </c>
      <c r="F33">
        <v>900.37790500000006</v>
      </c>
      <c r="I33" t="s">
        <v>865</v>
      </c>
      <c r="J33">
        <v>9012.6254079999999</v>
      </c>
      <c r="K33">
        <v>7.909376</v>
      </c>
      <c r="L33">
        <v>7.7045760000000003</v>
      </c>
      <c r="M33">
        <v>7.3400319999999999</v>
      </c>
      <c r="N33">
        <v>7.3891840000000002</v>
      </c>
    </row>
    <row r="34" spans="1:14" x14ac:dyDescent="0.2">
      <c r="A34" t="s">
        <v>866</v>
      </c>
      <c r="B34">
        <v>900.85202931100002</v>
      </c>
      <c r="C34">
        <v>10.315676890000001</v>
      </c>
      <c r="D34">
        <v>901.01694426100005</v>
      </c>
      <c r="E34">
        <v>901.00057588699997</v>
      </c>
      <c r="F34">
        <v>901.00074585499999</v>
      </c>
      <c r="I34" t="s">
        <v>866</v>
      </c>
      <c r="J34">
        <v>3262.7589119999998</v>
      </c>
      <c r="K34">
        <v>13.729792</v>
      </c>
      <c r="L34">
        <v>159.428608</v>
      </c>
      <c r="M34">
        <v>8.2001919999999995</v>
      </c>
      <c r="N34">
        <v>8.3066879999999994</v>
      </c>
    </row>
    <row r="35" spans="1:14" x14ac:dyDescent="0.2">
      <c r="A35" t="s">
        <v>867</v>
      </c>
      <c r="B35">
        <v>900.88687360500001</v>
      </c>
      <c r="C35">
        <v>4.1296645779999999</v>
      </c>
      <c r="D35">
        <v>900.44910126100001</v>
      </c>
      <c r="E35">
        <v>900.69165591499996</v>
      </c>
      <c r="F35">
        <v>900.51190014899998</v>
      </c>
      <c r="I35" t="s">
        <v>867</v>
      </c>
      <c r="J35">
        <v>3027.529728</v>
      </c>
      <c r="K35">
        <v>8.9374719999999996</v>
      </c>
      <c r="L35">
        <v>312.52480000000003</v>
      </c>
      <c r="M35">
        <v>8.4008959999999995</v>
      </c>
      <c r="N35">
        <v>8.7080959999999994</v>
      </c>
    </row>
    <row r="36" spans="1:14" x14ac:dyDescent="0.2">
      <c r="A36" t="s">
        <v>868</v>
      </c>
      <c r="B36">
        <v>93.173343153999994</v>
      </c>
      <c r="C36">
        <v>2.2318648830000001</v>
      </c>
      <c r="D36">
        <v>101.949352749</v>
      </c>
      <c r="E36">
        <v>104.875892791</v>
      </c>
      <c r="F36">
        <v>103.669575352</v>
      </c>
      <c r="I36" t="s">
        <v>868</v>
      </c>
      <c r="J36">
        <v>595.86559999999997</v>
      </c>
      <c r="K36">
        <v>8.8432639999999996</v>
      </c>
      <c r="L36">
        <v>7.5202559999999998</v>
      </c>
      <c r="M36">
        <v>7.5161600000000002</v>
      </c>
      <c r="N36">
        <v>7.4670079999999999</v>
      </c>
    </row>
    <row r="37" spans="1:14" x14ac:dyDescent="0.2">
      <c r="A37" t="s">
        <v>869</v>
      </c>
      <c r="B37">
        <v>900.82679099799998</v>
      </c>
      <c r="C37">
        <v>7.9006030770000004</v>
      </c>
      <c r="D37">
        <v>900.36842554600003</v>
      </c>
      <c r="E37">
        <v>900.42206032399997</v>
      </c>
      <c r="F37">
        <v>900.61249708499997</v>
      </c>
      <c r="I37" t="s">
        <v>869</v>
      </c>
      <c r="J37">
        <v>1548.3084799999999</v>
      </c>
      <c r="K37">
        <v>10.399744</v>
      </c>
      <c r="L37">
        <v>123.379712</v>
      </c>
      <c r="M37">
        <v>7.9134719999999996</v>
      </c>
      <c r="N37">
        <v>7.9175680000000002</v>
      </c>
    </row>
    <row r="38" spans="1:14" x14ac:dyDescent="0.2">
      <c r="A38" t="s">
        <v>870</v>
      </c>
      <c r="B38">
        <v>900.78059242799998</v>
      </c>
      <c r="C38">
        <v>901.00262236799995</v>
      </c>
      <c r="D38">
        <v>900.70740531299998</v>
      </c>
      <c r="E38">
        <v>900.62601442699997</v>
      </c>
      <c r="F38">
        <v>900.71484535299999</v>
      </c>
      <c r="I38" t="s">
        <v>870</v>
      </c>
      <c r="J38">
        <v>3.4611200000000002</v>
      </c>
      <c r="K38">
        <v>5.5418880000000001</v>
      </c>
      <c r="L38">
        <v>114.73715199999999</v>
      </c>
      <c r="M38">
        <v>34.082816000000001</v>
      </c>
      <c r="N38">
        <v>118.14502400000001</v>
      </c>
    </row>
    <row r="39" spans="1:14" x14ac:dyDescent="0.2">
      <c r="A39" t="s">
        <v>871</v>
      </c>
      <c r="B39">
        <v>901.37485943399997</v>
      </c>
      <c r="C39">
        <v>19.129095319000001</v>
      </c>
      <c r="D39">
        <v>284.23696863700002</v>
      </c>
      <c r="E39">
        <v>900.58179121700005</v>
      </c>
      <c r="F39">
        <v>900.75066494500004</v>
      </c>
      <c r="I39" t="s">
        <v>871</v>
      </c>
      <c r="J39">
        <v>15065.059327999999</v>
      </c>
      <c r="K39">
        <v>13.74208</v>
      </c>
      <c r="L39">
        <v>16000</v>
      </c>
      <c r="M39">
        <v>66.756608</v>
      </c>
      <c r="N39">
        <v>129.417216</v>
      </c>
    </row>
    <row r="40" spans="1:14" x14ac:dyDescent="0.2">
      <c r="A40" t="s">
        <v>872</v>
      </c>
      <c r="B40">
        <v>900.93878734400005</v>
      </c>
      <c r="C40">
        <v>8.5361171549999995</v>
      </c>
      <c r="D40">
        <v>512.98595976499996</v>
      </c>
      <c r="E40">
        <v>900.87519253300002</v>
      </c>
      <c r="F40">
        <v>300.68815876000002</v>
      </c>
      <c r="I40" t="s">
        <v>872</v>
      </c>
      <c r="J40">
        <v>6558.1015040000002</v>
      </c>
      <c r="K40">
        <v>11.784192000000001</v>
      </c>
      <c r="L40">
        <v>16000</v>
      </c>
      <c r="M40">
        <v>3886.1824000000001</v>
      </c>
      <c r="N40">
        <v>16000</v>
      </c>
    </row>
    <row r="41" spans="1:14" x14ac:dyDescent="0.2">
      <c r="A41" t="s">
        <v>873</v>
      </c>
      <c r="B41">
        <v>900.810939072</v>
      </c>
      <c r="C41">
        <v>3.4232178310000001</v>
      </c>
      <c r="D41">
        <v>900.39855015000001</v>
      </c>
      <c r="E41">
        <v>900.66302862299995</v>
      </c>
      <c r="F41">
        <v>900.70903568200004</v>
      </c>
      <c r="I41" t="s">
        <v>873</v>
      </c>
      <c r="J41">
        <v>774.89356799999996</v>
      </c>
      <c r="K41">
        <v>9.8877439999999996</v>
      </c>
      <c r="L41">
        <v>8.3025920000000006</v>
      </c>
      <c r="M41">
        <v>7.909376</v>
      </c>
      <c r="N41">
        <v>8.3025920000000006</v>
      </c>
    </row>
    <row r="42" spans="1:14" x14ac:dyDescent="0.2">
      <c r="A42" t="s">
        <v>874</v>
      </c>
      <c r="B42">
        <v>900.87189405100003</v>
      </c>
      <c r="C42">
        <v>36.860607317000003</v>
      </c>
      <c r="D42">
        <v>900.73680904599996</v>
      </c>
      <c r="E42">
        <v>900.69834227499996</v>
      </c>
      <c r="F42">
        <v>900.74183300899995</v>
      </c>
      <c r="I42" t="s">
        <v>874</v>
      </c>
      <c r="J42">
        <v>2893.3857280000002</v>
      </c>
      <c r="K42">
        <v>14.761984</v>
      </c>
      <c r="L42">
        <v>2067.1733760000002</v>
      </c>
      <c r="M42">
        <v>83.668992000000003</v>
      </c>
      <c r="N42">
        <v>141.34067200000001</v>
      </c>
    </row>
    <row r="43" spans="1:14" x14ac:dyDescent="0.2">
      <c r="A43" t="s">
        <v>875</v>
      </c>
      <c r="B43">
        <v>901.07793587599997</v>
      </c>
      <c r="C43">
        <v>6.6546814369999998</v>
      </c>
      <c r="D43">
        <v>900.94614853099995</v>
      </c>
      <c r="E43">
        <v>900.67368546700004</v>
      </c>
      <c r="F43">
        <v>900.73926895600005</v>
      </c>
      <c r="I43" t="s">
        <v>875</v>
      </c>
      <c r="J43">
        <v>7062.7573759999996</v>
      </c>
      <c r="K43">
        <v>10.014720000000001</v>
      </c>
      <c r="L43">
        <v>4929.6670720000002</v>
      </c>
      <c r="M43">
        <v>117.850112</v>
      </c>
      <c r="N43">
        <v>158.25305599999999</v>
      </c>
    </row>
    <row r="44" spans="1:14" x14ac:dyDescent="0.2">
      <c r="A44" t="s">
        <v>876</v>
      </c>
      <c r="B44">
        <v>900.95889763100001</v>
      </c>
      <c r="C44">
        <v>10.140750429000001</v>
      </c>
      <c r="D44">
        <v>441.01398707800001</v>
      </c>
      <c r="E44">
        <v>900.76833597899997</v>
      </c>
      <c r="F44">
        <v>900.81984434000003</v>
      </c>
      <c r="I44" t="s">
        <v>876</v>
      </c>
      <c r="J44">
        <v>5348.0325119999998</v>
      </c>
      <c r="K44">
        <v>11.948032</v>
      </c>
      <c r="L44">
        <v>16000</v>
      </c>
      <c r="M44">
        <v>912.69939199999999</v>
      </c>
      <c r="N44">
        <v>2162.60608</v>
      </c>
    </row>
    <row r="45" spans="1:14" x14ac:dyDescent="0.2">
      <c r="A45" t="s">
        <v>877</v>
      </c>
      <c r="B45">
        <v>901.00248387600004</v>
      </c>
      <c r="C45">
        <v>3.3104230970000001</v>
      </c>
      <c r="D45">
        <v>900.702252284</v>
      </c>
      <c r="E45">
        <v>900.62503227900004</v>
      </c>
      <c r="F45">
        <v>900.59683742200002</v>
      </c>
      <c r="I45" t="s">
        <v>877</v>
      </c>
      <c r="J45">
        <v>6054.2320639999998</v>
      </c>
      <c r="K45">
        <v>15.798272000000001</v>
      </c>
      <c r="L45">
        <v>533.90540799999997</v>
      </c>
      <c r="M45">
        <v>8.5729279999999992</v>
      </c>
      <c r="N45">
        <v>9.7443840000000002</v>
      </c>
    </row>
    <row r="46" spans="1:14" x14ac:dyDescent="0.2">
      <c r="A46" t="s">
        <v>878</v>
      </c>
      <c r="B46">
        <v>900.87773544000004</v>
      </c>
      <c r="C46">
        <v>1.4225499850000001</v>
      </c>
      <c r="D46">
        <v>900.66008242700002</v>
      </c>
      <c r="E46">
        <v>900.71990403799998</v>
      </c>
      <c r="F46">
        <v>900.61001479799995</v>
      </c>
      <c r="I46" t="s">
        <v>878</v>
      </c>
      <c r="J46">
        <v>3297.6117760000002</v>
      </c>
      <c r="K46">
        <v>9.0030079999999995</v>
      </c>
      <c r="L46">
        <v>20.774912</v>
      </c>
      <c r="M46">
        <v>10.006527999999999</v>
      </c>
      <c r="N46">
        <v>14.336</v>
      </c>
    </row>
    <row r="47" spans="1:14" x14ac:dyDescent="0.2">
      <c r="A47" t="s">
        <v>879</v>
      </c>
      <c r="B47">
        <v>331.165915606</v>
      </c>
      <c r="C47">
        <v>3.0625825660000001</v>
      </c>
      <c r="D47">
        <v>901.00476944499997</v>
      </c>
      <c r="E47">
        <v>900.63798706900002</v>
      </c>
      <c r="F47">
        <v>900.54030226299994</v>
      </c>
      <c r="I47" t="s">
        <v>879</v>
      </c>
      <c r="J47">
        <v>16000</v>
      </c>
      <c r="K47">
        <v>9.2200959999999998</v>
      </c>
      <c r="L47">
        <v>14.315519999999999</v>
      </c>
      <c r="M47">
        <v>8.7080959999999994</v>
      </c>
      <c r="N47">
        <v>8.8391680000000008</v>
      </c>
    </row>
    <row r="48" spans="1:14" x14ac:dyDescent="0.2">
      <c r="A48" t="s">
        <v>880</v>
      </c>
      <c r="B48">
        <v>900.81272400299997</v>
      </c>
      <c r="C48">
        <v>17.992092994</v>
      </c>
      <c r="D48">
        <v>408.48152690400002</v>
      </c>
      <c r="E48">
        <v>900.84312740200005</v>
      </c>
      <c r="F48">
        <v>291.886774559</v>
      </c>
      <c r="I48" t="s">
        <v>880</v>
      </c>
      <c r="J48">
        <v>539.80364799999995</v>
      </c>
      <c r="K48">
        <v>10.727423999999999</v>
      </c>
      <c r="L48">
        <v>16000</v>
      </c>
      <c r="M48">
        <v>898.67468799999995</v>
      </c>
      <c r="N48">
        <v>16000</v>
      </c>
    </row>
    <row r="49" spans="1:14" x14ac:dyDescent="0.2">
      <c r="A49" t="s">
        <v>881</v>
      </c>
      <c r="B49">
        <v>900.87768339700006</v>
      </c>
      <c r="C49">
        <v>4.2657254929999997</v>
      </c>
      <c r="D49">
        <v>900.43066589900002</v>
      </c>
      <c r="E49">
        <v>900.88179477400001</v>
      </c>
      <c r="F49">
        <v>900.67661845500004</v>
      </c>
      <c r="I49" t="s">
        <v>881</v>
      </c>
      <c r="J49">
        <v>3095.232512</v>
      </c>
      <c r="K49">
        <v>9.7361920000000008</v>
      </c>
      <c r="L49">
        <v>15.486976</v>
      </c>
      <c r="M49">
        <v>8.7367679999999996</v>
      </c>
      <c r="N49">
        <v>8.8064</v>
      </c>
    </row>
    <row r="50" spans="1:14" x14ac:dyDescent="0.2">
      <c r="A50" t="s">
        <v>882</v>
      </c>
      <c r="B50">
        <v>900.925563173</v>
      </c>
      <c r="C50">
        <v>19.000774070999999</v>
      </c>
      <c r="D50">
        <v>900.561535456</v>
      </c>
      <c r="E50">
        <v>900.73007248500005</v>
      </c>
      <c r="F50">
        <v>900.67804614500005</v>
      </c>
      <c r="I50" t="s">
        <v>882</v>
      </c>
      <c r="J50">
        <v>3767.7096959999999</v>
      </c>
      <c r="K50">
        <v>11.747328</v>
      </c>
      <c r="L50">
        <v>31.764479999999999</v>
      </c>
      <c r="M50">
        <v>9.0562559999999994</v>
      </c>
      <c r="N50">
        <v>9.2282879999999992</v>
      </c>
    </row>
    <row r="51" spans="1:14" x14ac:dyDescent="0.2">
      <c r="A51" t="s">
        <v>883</v>
      </c>
      <c r="B51">
        <v>901.15854377300002</v>
      </c>
      <c r="C51">
        <v>8.1565932839999995</v>
      </c>
      <c r="D51">
        <v>901.17603198100005</v>
      </c>
      <c r="E51">
        <v>900.70331985200005</v>
      </c>
      <c r="F51">
        <v>900.80257170499999</v>
      </c>
      <c r="I51" t="s">
        <v>883</v>
      </c>
      <c r="J51">
        <v>9584.8448000000008</v>
      </c>
      <c r="K51">
        <v>10.702847999999999</v>
      </c>
      <c r="L51">
        <v>9054.9493760000005</v>
      </c>
      <c r="M51">
        <v>20.23424</v>
      </c>
      <c r="N51">
        <v>54.439936000000003</v>
      </c>
    </row>
    <row r="52" spans="1:14" x14ac:dyDescent="0.2">
      <c r="A52" t="s">
        <v>884</v>
      </c>
      <c r="B52">
        <v>900.76827263300004</v>
      </c>
      <c r="C52">
        <v>2.3523423960000001</v>
      </c>
      <c r="D52">
        <v>267.69128387000001</v>
      </c>
      <c r="E52">
        <v>900.22800648199996</v>
      </c>
      <c r="F52">
        <v>901.01228915199999</v>
      </c>
      <c r="I52" t="s">
        <v>884</v>
      </c>
      <c r="J52">
        <v>102.924288</v>
      </c>
      <c r="K52">
        <v>12.091392000000001</v>
      </c>
      <c r="L52">
        <v>16000</v>
      </c>
      <c r="M52">
        <v>28.749824</v>
      </c>
      <c r="N52">
        <v>106.217472</v>
      </c>
    </row>
    <row r="53" spans="1:14" x14ac:dyDescent="0.2">
      <c r="A53" t="s">
        <v>885</v>
      </c>
      <c r="B53">
        <v>900.88072450899995</v>
      </c>
      <c r="C53">
        <v>10.08853263</v>
      </c>
      <c r="D53">
        <v>353.15547186499998</v>
      </c>
      <c r="E53">
        <v>900.80350098400004</v>
      </c>
      <c r="F53">
        <v>900.80656674299996</v>
      </c>
      <c r="I53" t="s">
        <v>885</v>
      </c>
      <c r="J53">
        <v>3162.9885439999998</v>
      </c>
      <c r="K53">
        <v>10.526719999999999</v>
      </c>
      <c r="L53">
        <v>16000</v>
      </c>
      <c r="M53">
        <v>288.42803199999997</v>
      </c>
      <c r="N53">
        <v>1264.898048</v>
      </c>
    </row>
    <row r="54" spans="1:14" x14ac:dyDescent="0.2">
      <c r="A54" t="s">
        <v>886</v>
      </c>
      <c r="B54">
        <v>901.18286816800003</v>
      </c>
      <c r="C54">
        <v>6.0342137999999998</v>
      </c>
      <c r="D54">
        <v>304.63777496900002</v>
      </c>
      <c r="E54">
        <v>900.80721770800005</v>
      </c>
      <c r="F54">
        <v>900.56225555799995</v>
      </c>
      <c r="I54" t="s">
        <v>886</v>
      </c>
      <c r="J54">
        <v>9887.7972480000008</v>
      </c>
      <c r="K54">
        <v>10.387456</v>
      </c>
      <c r="L54">
        <v>16000</v>
      </c>
      <c r="M54">
        <v>67.293183999999997</v>
      </c>
      <c r="N54">
        <v>141.47584000000001</v>
      </c>
    </row>
    <row r="55" spans="1:14" x14ac:dyDescent="0.2">
      <c r="A55" t="s">
        <v>887</v>
      </c>
      <c r="B55">
        <v>900.96823671200002</v>
      </c>
      <c r="C55">
        <v>9.54085362</v>
      </c>
      <c r="D55">
        <v>362.21633642299997</v>
      </c>
      <c r="E55">
        <v>901.07363602400005</v>
      </c>
      <c r="F55">
        <v>374.22668306600002</v>
      </c>
      <c r="I55" t="s">
        <v>887</v>
      </c>
      <c r="J55">
        <v>7064.0312320000003</v>
      </c>
      <c r="K55">
        <v>8.7244799999999998</v>
      </c>
      <c r="L55">
        <v>16000</v>
      </c>
      <c r="M55">
        <v>14957.645823999999</v>
      </c>
      <c r="N55">
        <v>16000</v>
      </c>
    </row>
    <row r="56" spans="1:14" x14ac:dyDescent="0.2">
      <c r="A56" t="s">
        <v>888</v>
      </c>
      <c r="B56">
        <v>900.79357258000005</v>
      </c>
      <c r="C56">
        <v>1.630637753</v>
      </c>
      <c r="D56">
        <v>900.44122453299997</v>
      </c>
      <c r="E56">
        <v>900.61743040800002</v>
      </c>
      <c r="F56">
        <v>900.63187374799998</v>
      </c>
      <c r="I56" t="s">
        <v>888</v>
      </c>
      <c r="J56">
        <v>573.730816</v>
      </c>
      <c r="K56">
        <v>11.206656000000001</v>
      </c>
      <c r="L56">
        <v>9.9983360000000001</v>
      </c>
      <c r="M56">
        <v>8.7777279999999998</v>
      </c>
      <c r="N56">
        <v>9.2979199999999995</v>
      </c>
    </row>
    <row r="57" spans="1:14" x14ac:dyDescent="0.2">
      <c r="A57" t="s">
        <v>889</v>
      </c>
      <c r="B57">
        <v>900.96843992599997</v>
      </c>
      <c r="C57">
        <v>249.778788058</v>
      </c>
      <c r="D57">
        <v>900.20509299000003</v>
      </c>
      <c r="E57">
        <v>900.61855696700002</v>
      </c>
      <c r="F57">
        <v>900.61639546499998</v>
      </c>
      <c r="I57" t="s">
        <v>889</v>
      </c>
      <c r="J57">
        <v>4743.1475200000004</v>
      </c>
      <c r="K57">
        <v>17.702912000000001</v>
      </c>
      <c r="L57">
        <v>13.021184</v>
      </c>
      <c r="M57">
        <v>8.9620479999999993</v>
      </c>
      <c r="N57">
        <v>11.862016000000001</v>
      </c>
    </row>
    <row r="58" spans="1:14" x14ac:dyDescent="0.2">
      <c r="A58" t="s">
        <v>890</v>
      </c>
      <c r="B58">
        <v>901.20484260600006</v>
      </c>
      <c r="C58">
        <v>901.00285766599995</v>
      </c>
      <c r="D58">
        <v>301.40909507700002</v>
      </c>
      <c r="E58">
        <v>900.72696442999995</v>
      </c>
      <c r="F58">
        <v>293.36675469599999</v>
      </c>
      <c r="I58" t="s">
        <v>890</v>
      </c>
      <c r="J58">
        <v>10055.835648</v>
      </c>
      <c r="K58">
        <v>26.750976000000001</v>
      </c>
      <c r="L58">
        <v>16000</v>
      </c>
      <c r="M58">
        <v>7481.135104</v>
      </c>
      <c r="N58">
        <v>16000</v>
      </c>
    </row>
    <row r="59" spans="1:14" x14ac:dyDescent="0.2">
      <c r="A59" t="s">
        <v>891</v>
      </c>
      <c r="B59">
        <v>900.77283309999996</v>
      </c>
      <c r="C59">
        <v>10.600816012999999</v>
      </c>
      <c r="D59">
        <v>245.078564148</v>
      </c>
      <c r="E59">
        <v>901.12117005100004</v>
      </c>
      <c r="F59">
        <v>299.48153785900001</v>
      </c>
      <c r="I59" t="s">
        <v>891</v>
      </c>
      <c r="J59">
        <v>69.636095999999995</v>
      </c>
      <c r="K59">
        <v>12.455935999999999</v>
      </c>
      <c r="L59">
        <v>16000</v>
      </c>
      <c r="M59">
        <v>14920.269824000001</v>
      </c>
      <c r="N59">
        <v>16000</v>
      </c>
    </row>
    <row r="60" spans="1:14" x14ac:dyDescent="0.2">
      <c r="A60" t="s">
        <v>892</v>
      </c>
      <c r="B60">
        <v>900.85022544599997</v>
      </c>
      <c r="C60">
        <v>379.573301485</v>
      </c>
      <c r="D60">
        <v>275.43281568700002</v>
      </c>
      <c r="E60">
        <v>900.59310218300004</v>
      </c>
      <c r="F60">
        <v>900.57180929799995</v>
      </c>
      <c r="I60" t="s">
        <v>892</v>
      </c>
      <c r="J60">
        <v>2557.6734719999999</v>
      </c>
      <c r="K60">
        <v>17.608703999999999</v>
      </c>
      <c r="L60">
        <v>16000</v>
      </c>
      <c r="M60">
        <v>4038.6396159999999</v>
      </c>
      <c r="N60">
        <v>4239.4378239999996</v>
      </c>
    </row>
    <row r="61" spans="1:14" x14ac:dyDescent="0.2">
      <c r="A61" t="s">
        <v>893</v>
      </c>
      <c r="B61">
        <v>900.93356704799999</v>
      </c>
      <c r="C61">
        <v>3.6487993150000002</v>
      </c>
      <c r="D61">
        <v>334.769823761</v>
      </c>
      <c r="E61">
        <v>900.87606576400003</v>
      </c>
      <c r="F61">
        <v>316.588640446</v>
      </c>
      <c r="I61" t="s">
        <v>893</v>
      </c>
      <c r="J61">
        <v>4407.2919039999997</v>
      </c>
      <c r="K61">
        <v>16.658432000000001</v>
      </c>
      <c r="L61">
        <v>16000</v>
      </c>
      <c r="M61">
        <v>10440.806399999999</v>
      </c>
      <c r="N61">
        <v>16000</v>
      </c>
    </row>
    <row r="62" spans="1:14" x14ac:dyDescent="0.2">
      <c r="A62" t="s">
        <v>894</v>
      </c>
      <c r="B62">
        <v>901.047992948</v>
      </c>
      <c r="C62">
        <v>175.91233641700001</v>
      </c>
      <c r="D62">
        <v>900.58257210299996</v>
      </c>
      <c r="E62">
        <v>900.56319834700003</v>
      </c>
      <c r="F62">
        <v>900.56790247599997</v>
      </c>
      <c r="I62" t="s">
        <v>894</v>
      </c>
      <c r="J62">
        <v>8139.8743039999999</v>
      </c>
      <c r="K62">
        <v>17.174527999999999</v>
      </c>
      <c r="L62">
        <v>8.8268799999999992</v>
      </c>
      <c r="M62">
        <v>8.8350720000000003</v>
      </c>
      <c r="N62">
        <v>8.8432639999999996</v>
      </c>
    </row>
    <row r="63" spans="1:14" x14ac:dyDescent="0.2">
      <c r="A63" t="s">
        <v>895</v>
      </c>
      <c r="B63">
        <v>901.16769831600004</v>
      </c>
      <c r="C63">
        <v>3.861547474</v>
      </c>
      <c r="D63">
        <v>374.39203918700002</v>
      </c>
      <c r="E63">
        <v>901.26092959599998</v>
      </c>
      <c r="F63">
        <v>808.36159149299999</v>
      </c>
      <c r="I63" t="s">
        <v>895</v>
      </c>
      <c r="J63">
        <v>9686.6631679999991</v>
      </c>
      <c r="K63">
        <v>14.897152</v>
      </c>
      <c r="L63">
        <v>16000</v>
      </c>
      <c r="M63">
        <v>15194.312704</v>
      </c>
      <c r="N63">
        <v>16000</v>
      </c>
    </row>
    <row r="64" spans="1:14" x14ac:dyDescent="0.2">
      <c r="A64" t="s">
        <v>896</v>
      </c>
      <c r="B64">
        <v>900.74243974199999</v>
      </c>
      <c r="C64">
        <v>1.652311088</v>
      </c>
      <c r="D64">
        <v>285.26687088199998</v>
      </c>
      <c r="E64">
        <v>900.92642051899998</v>
      </c>
      <c r="F64">
        <v>420.396835082</v>
      </c>
      <c r="I64" t="s">
        <v>896</v>
      </c>
      <c r="J64">
        <v>5.4026240000000003</v>
      </c>
      <c r="K64">
        <v>8.5196799999999993</v>
      </c>
      <c r="L64">
        <v>16000</v>
      </c>
      <c r="M64">
        <v>9631.8750720000007</v>
      </c>
      <c r="N64">
        <v>16000</v>
      </c>
    </row>
    <row r="65" spans="1:14" x14ac:dyDescent="0.2">
      <c r="A65" t="s">
        <v>897</v>
      </c>
      <c r="B65">
        <v>900.79568851399995</v>
      </c>
      <c r="C65">
        <v>1.6812013109999999</v>
      </c>
      <c r="D65">
        <v>900.59894763700004</v>
      </c>
      <c r="E65">
        <v>900.70924787000001</v>
      </c>
      <c r="F65">
        <v>326.96078279199997</v>
      </c>
      <c r="I65" t="s">
        <v>897</v>
      </c>
      <c r="J65">
        <v>439.53766400000001</v>
      </c>
      <c r="K65">
        <v>9.1996160000000007</v>
      </c>
      <c r="L65">
        <v>773.341184</v>
      </c>
      <c r="M65">
        <v>2270.2407680000001</v>
      </c>
      <c r="N65">
        <v>16000</v>
      </c>
    </row>
    <row r="66" spans="1:14" x14ac:dyDescent="0.2">
      <c r="A66" t="s">
        <v>898</v>
      </c>
      <c r="B66">
        <v>900.78341407899995</v>
      </c>
      <c r="C66">
        <v>4.0560213410000001</v>
      </c>
      <c r="D66">
        <v>900.29491190199997</v>
      </c>
      <c r="E66">
        <v>900.71652265700004</v>
      </c>
      <c r="F66">
        <v>900.69381047399997</v>
      </c>
      <c r="I66" t="s">
        <v>898</v>
      </c>
      <c r="J66">
        <v>4.5178880000000001</v>
      </c>
      <c r="K66">
        <v>10.633215999999999</v>
      </c>
      <c r="L66">
        <v>833.94969600000002</v>
      </c>
      <c r="M66">
        <v>21.54496</v>
      </c>
      <c r="N66">
        <v>43.040768</v>
      </c>
    </row>
    <row r="67" spans="1:14" x14ac:dyDescent="0.2">
      <c r="A67" t="s">
        <v>899</v>
      </c>
      <c r="B67">
        <v>900.77846428999999</v>
      </c>
      <c r="C67">
        <v>208.61064935600001</v>
      </c>
      <c r="D67">
        <v>359.24753006700001</v>
      </c>
      <c r="E67">
        <v>900.76153183400004</v>
      </c>
      <c r="F67">
        <v>900.752875668</v>
      </c>
      <c r="I67" t="s">
        <v>899</v>
      </c>
      <c r="J67">
        <v>137.16684799999999</v>
      </c>
      <c r="K67">
        <v>17.006592000000001</v>
      </c>
      <c r="L67">
        <v>16000</v>
      </c>
      <c r="M67">
        <v>304.75059199999998</v>
      </c>
      <c r="N67">
        <v>575.27910399999996</v>
      </c>
    </row>
    <row r="68" spans="1:14" x14ac:dyDescent="0.2">
      <c r="A68" t="s">
        <v>900</v>
      </c>
      <c r="B68">
        <v>901.072551223</v>
      </c>
      <c r="C68">
        <v>8.2636919239999997</v>
      </c>
      <c r="D68">
        <v>900.66301364499998</v>
      </c>
      <c r="E68">
        <v>900.52037272099994</v>
      </c>
      <c r="F68">
        <v>900.56751756699998</v>
      </c>
      <c r="I68" t="s">
        <v>900</v>
      </c>
      <c r="J68">
        <v>7131.0376960000003</v>
      </c>
      <c r="K68">
        <v>10.391552000000001</v>
      </c>
      <c r="L68">
        <v>2636.0872960000002</v>
      </c>
      <c r="M68">
        <v>14.598144</v>
      </c>
      <c r="N68">
        <v>17.887232000000001</v>
      </c>
    </row>
    <row r="69" spans="1:14" x14ac:dyDescent="0.2">
      <c r="A69" t="s">
        <v>901</v>
      </c>
      <c r="B69">
        <v>900.76594906900004</v>
      </c>
      <c r="C69">
        <v>22.167029886000002</v>
      </c>
      <c r="D69">
        <v>900.53138542600004</v>
      </c>
      <c r="E69">
        <v>900.62532965900004</v>
      </c>
      <c r="F69">
        <v>900.70315056799996</v>
      </c>
      <c r="I69" t="s">
        <v>901</v>
      </c>
      <c r="J69">
        <v>2087.3666560000001</v>
      </c>
      <c r="K69">
        <v>10.354687999999999</v>
      </c>
      <c r="L69">
        <v>219.52511999999999</v>
      </c>
      <c r="M69">
        <v>15.937536</v>
      </c>
      <c r="N69">
        <v>27.570176</v>
      </c>
    </row>
    <row r="70" spans="1:14" x14ac:dyDescent="0.2">
      <c r="A70" t="s">
        <v>902</v>
      </c>
      <c r="B70">
        <v>900.86959834200002</v>
      </c>
      <c r="C70">
        <v>23.186125045000001</v>
      </c>
      <c r="D70">
        <v>410.08142751999998</v>
      </c>
      <c r="E70">
        <v>900.97381410599996</v>
      </c>
      <c r="F70">
        <v>330.98709936</v>
      </c>
      <c r="I70" t="s">
        <v>902</v>
      </c>
      <c r="J70">
        <v>2659.106816</v>
      </c>
      <c r="K70">
        <v>9.2815359999999991</v>
      </c>
      <c r="L70">
        <v>16000</v>
      </c>
      <c r="M70">
        <v>7359.2872960000004</v>
      </c>
      <c r="N70">
        <v>16000</v>
      </c>
    </row>
    <row r="71" spans="1:14" x14ac:dyDescent="0.2">
      <c r="A71" t="s">
        <v>903</v>
      </c>
      <c r="B71">
        <v>900.78949112800001</v>
      </c>
      <c r="C71">
        <v>11.616902314000001</v>
      </c>
      <c r="D71">
        <v>372.54315026699999</v>
      </c>
      <c r="E71">
        <v>900.19326328299996</v>
      </c>
      <c r="F71">
        <v>900.58493330700003</v>
      </c>
      <c r="I71" t="s">
        <v>903</v>
      </c>
      <c r="J71">
        <v>238.465024</v>
      </c>
      <c r="K71">
        <v>9.1791359999999997</v>
      </c>
      <c r="L71">
        <v>16000</v>
      </c>
      <c r="M71">
        <v>65.736704000000003</v>
      </c>
      <c r="N71">
        <v>2277.56032</v>
      </c>
    </row>
    <row r="72" spans="1:14" x14ac:dyDescent="0.2">
      <c r="A72" t="s">
        <v>904</v>
      </c>
      <c r="B72">
        <v>900.81913199400003</v>
      </c>
      <c r="C72">
        <v>1.6724011860000001</v>
      </c>
      <c r="D72">
        <v>258.93554730199997</v>
      </c>
      <c r="E72">
        <v>900.73389185799999</v>
      </c>
      <c r="F72">
        <v>900.75519294200001</v>
      </c>
      <c r="I72" t="s">
        <v>904</v>
      </c>
      <c r="J72">
        <v>978.39923199999998</v>
      </c>
      <c r="K72">
        <v>10.993664000000001</v>
      </c>
      <c r="L72">
        <v>16000</v>
      </c>
      <c r="M72">
        <v>2062.0697599999999</v>
      </c>
      <c r="N72">
        <v>2515.02592</v>
      </c>
    </row>
    <row r="73" spans="1:14" x14ac:dyDescent="0.2">
      <c r="A73" t="s">
        <v>905</v>
      </c>
      <c r="B73">
        <v>900.97179104899999</v>
      </c>
      <c r="C73">
        <v>7.2030850439999998</v>
      </c>
      <c r="D73">
        <v>254.275946734</v>
      </c>
      <c r="E73">
        <v>900.49925293000001</v>
      </c>
      <c r="F73">
        <v>900.72834091799996</v>
      </c>
      <c r="I73" t="s">
        <v>905</v>
      </c>
      <c r="J73">
        <v>5618.7740160000003</v>
      </c>
      <c r="K73">
        <v>10.702847999999999</v>
      </c>
      <c r="L73">
        <v>16000</v>
      </c>
      <c r="M73">
        <v>1092.4236800000001</v>
      </c>
      <c r="N73">
        <v>2225.9712</v>
      </c>
    </row>
    <row r="74" spans="1:14" x14ac:dyDescent="0.2">
      <c r="A74" t="s">
        <v>906</v>
      </c>
      <c r="B74">
        <v>900.77038826700004</v>
      </c>
      <c r="C74">
        <v>27.915372466000001</v>
      </c>
      <c r="D74">
        <v>900.420728822</v>
      </c>
      <c r="E74">
        <v>900.20344078300002</v>
      </c>
      <c r="F74">
        <v>900.52688756600003</v>
      </c>
      <c r="I74" t="s">
        <v>906</v>
      </c>
      <c r="J74">
        <v>70.021119999999996</v>
      </c>
      <c r="K74">
        <v>14.52032</v>
      </c>
      <c r="L74">
        <v>32.694271999999998</v>
      </c>
      <c r="M74">
        <v>11.583487999999999</v>
      </c>
      <c r="N74">
        <v>20.275200000000002</v>
      </c>
    </row>
    <row r="75" spans="1:14" x14ac:dyDescent="0.2">
      <c r="A75" t="s">
        <v>907</v>
      </c>
      <c r="B75">
        <v>901.00912320199996</v>
      </c>
      <c r="C75">
        <v>1.8467849839999999</v>
      </c>
      <c r="D75">
        <v>674.48660142899996</v>
      </c>
      <c r="E75">
        <v>900.61311889299998</v>
      </c>
      <c r="F75">
        <v>900.959565097</v>
      </c>
      <c r="I75" t="s">
        <v>907</v>
      </c>
      <c r="J75">
        <v>5584.3717120000001</v>
      </c>
      <c r="K75">
        <v>15.42144</v>
      </c>
      <c r="L75">
        <v>16000</v>
      </c>
      <c r="M75">
        <v>4594.0654080000004</v>
      </c>
      <c r="N75">
        <v>9696.1126399999994</v>
      </c>
    </row>
    <row r="76" spans="1:14" x14ac:dyDescent="0.2">
      <c r="A76" t="s">
        <v>908</v>
      </c>
      <c r="B76">
        <v>900.75556908500005</v>
      </c>
      <c r="C76">
        <v>2.4202663910000002</v>
      </c>
      <c r="D76">
        <v>358.23981279600002</v>
      </c>
      <c r="E76">
        <v>901.16613682299999</v>
      </c>
      <c r="F76">
        <v>339.77320929799998</v>
      </c>
      <c r="I76" t="s">
        <v>908</v>
      </c>
      <c r="J76">
        <v>36.708351999999998</v>
      </c>
      <c r="K76">
        <v>13.234176</v>
      </c>
      <c r="L76">
        <v>16000</v>
      </c>
      <c r="M76">
        <v>14906.597376</v>
      </c>
      <c r="N76">
        <v>16000</v>
      </c>
    </row>
    <row r="77" spans="1:14" x14ac:dyDescent="0.2">
      <c r="A77" t="s">
        <v>909</v>
      </c>
      <c r="B77">
        <v>228.68153602300001</v>
      </c>
      <c r="C77">
        <v>57.051538630000003</v>
      </c>
      <c r="D77">
        <v>388.22756268199998</v>
      </c>
      <c r="E77">
        <v>900.99737023099999</v>
      </c>
      <c r="F77">
        <v>901.00127026200005</v>
      </c>
      <c r="I77" t="s">
        <v>909</v>
      </c>
      <c r="J77">
        <v>16000</v>
      </c>
      <c r="K77">
        <v>12.533759999999999</v>
      </c>
      <c r="L77">
        <v>16000</v>
      </c>
      <c r="M77">
        <v>10.788864</v>
      </c>
      <c r="N77">
        <v>13.414400000000001</v>
      </c>
    </row>
    <row r="78" spans="1:14" x14ac:dyDescent="0.2">
      <c r="A78" t="s">
        <v>910</v>
      </c>
      <c r="B78">
        <v>900.862476582</v>
      </c>
      <c r="C78">
        <v>103.149447127</v>
      </c>
      <c r="D78">
        <v>329.31005549000002</v>
      </c>
      <c r="E78">
        <v>901.65688570600003</v>
      </c>
      <c r="F78">
        <v>264.983251198</v>
      </c>
      <c r="I78" t="s">
        <v>910</v>
      </c>
      <c r="J78">
        <v>3668.0663039999999</v>
      </c>
      <c r="K78">
        <v>17.653759999999998</v>
      </c>
      <c r="L78">
        <v>16000</v>
      </c>
      <c r="M78">
        <v>15309.49632</v>
      </c>
      <c r="N78">
        <v>16000</v>
      </c>
    </row>
    <row r="79" spans="1:14" x14ac:dyDescent="0.2">
      <c r="A79" t="s">
        <v>911</v>
      </c>
      <c r="B79">
        <v>900.89595260299996</v>
      </c>
      <c r="C79">
        <v>111.55004038200001</v>
      </c>
      <c r="D79">
        <v>866.81160497999997</v>
      </c>
      <c r="E79">
        <v>900.57624852499998</v>
      </c>
      <c r="F79">
        <v>900.610461364</v>
      </c>
      <c r="I79" t="s">
        <v>911</v>
      </c>
      <c r="J79">
        <v>3399.1352320000001</v>
      </c>
      <c r="K79">
        <v>13.062144</v>
      </c>
      <c r="L79">
        <v>16000</v>
      </c>
      <c r="M79">
        <v>304.79155200000002</v>
      </c>
      <c r="N79">
        <v>504.79513600000001</v>
      </c>
    </row>
    <row r="80" spans="1:14" x14ac:dyDescent="0.2">
      <c r="A80" t="s">
        <v>912</v>
      </c>
      <c r="B80">
        <v>901.07092198500004</v>
      </c>
      <c r="C80">
        <v>24.044454780999999</v>
      </c>
      <c r="D80">
        <v>417.370231547</v>
      </c>
      <c r="E80">
        <v>901.29184270500002</v>
      </c>
      <c r="F80">
        <v>343.39237315899999</v>
      </c>
      <c r="I80" t="s">
        <v>912</v>
      </c>
      <c r="J80">
        <v>7333.5726080000004</v>
      </c>
      <c r="K80">
        <v>15.147008</v>
      </c>
      <c r="L80">
        <v>16000</v>
      </c>
      <c r="M80">
        <v>15830.695936</v>
      </c>
      <c r="N80">
        <v>16000</v>
      </c>
    </row>
    <row r="81" spans="1:14" x14ac:dyDescent="0.2">
      <c r="A81" t="s">
        <v>913</v>
      </c>
      <c r="B81">
        <v>900.85593919899998</v>
      </c>
      <c r="C81">
        <v>433.614890538</v>
      </c>
      <c r="D81">
        <v>292.96268531999999</v>
      </c>
      <c r="E81">
        <v>900.28142052400005</v>
      </c>
      <c r="F81">
        <v>900.62451302700003</v>
      </c>
      <c r="I81" t="s">
        <v>913</v>
      </c>
      <c r="J81">
        <v>3198.2100479999999</v>
      </c>
      <c r="K81">
        <v>22.020095999999999</v>
      </c>
      <c r="L81">
        <v>16000</v>
      </c>
      <c r="M81">
        <v>21.54496</v>
      </c>
      <c r="N81">
        <v>28.225536000000002</v>
      </c>
    </row>
    <row r="82" spans="1:14" x14ac:dyDescent="0.2">
      <c r="A82" t="s">
        <v>914</v>
      </c>
      <c r="B82">
        <v>901.02116360499997</v>
      </c>
      <c r="C82">
        <v>136.376746465</v>
      </c>
      <c r="D82">
        <v>264.60447728499997</v>
      </c>
      <c r="E82">
        <v>592.45020705900004</v>
      </c>
      <c r="F82">
        <v>314.53130529600003</v>
      </c>
      <c r="I82" t="s">
        <v>914</v>
      </c>
      <c r="J82">
        <v>5249.65888</v>
      </c>
      <c r="K82">
        <v>17.125375999999999</v>
      </c>
      <c r="L82">
        <v>16000</v>
      </c>
      <c r="M82">
        <v>16000</v>
      </c>
      <c r="N82">
        <v>16000</v>
      </c>
    </row>
    <row r="83" spans="1:14" x14ac:dyDescent="0.2">
      <c r="A83" t="s">
        <v>915</v>
      </c>
      <c r="B83">
        <v>901.00047115500001</v>
      </c>
      <c r="C83">
        <v>1.289960448</v>
      </c>
      <c r="D83">
        <v>454.91475658100001</v>
      </c>
      <c r="E83">
        <v>900.81580006800004</v>
      </c>
      <c r="F83">
        <v>315.54649961400003</v>
      </c>
      <c r="I83" t="s">
        <v>915</v>
      </c>
      <c r="J83">
        <v>6458.9905920000001</v>
      </c>
      <c r="K83">
        <v>7.4752000000000001</v>
      </c>
      <c r="L83">
        <v>16000</v>
      </c>
      <c r="M83">
        <v>9467.0766079999994</v>
      </c>
      <c r="N83">
        <v>16000</v>
      </c>
    </row>
    <row r="84" spans="1:14" x14ac:dyDescent="0.2">
      <c r="A84" t="s">
        <v>916</v>
      </c>
      <c r="B84">
        <v>900.83241027999998</v>
      </c>
      <c r="C84">
        <v>1.376424893</v>
      </c>
      <c r="D84">
        <v>301.25968962399998</v>
      </c>
      <c r="E84">
        <v>900.42025803700005</v>
      </c>
      <c r="F84">
        <v>900.56801208900004</v>
      </c>
      <c r="I84" t="s">
        <v>916</v>
      </c>
      <c r="J84">
        <v>1045.48352</v>
      </c>
      <c r="K84">
        <v>12.013567999999999</v>
      </c>
      <c r="L84">
        <v>16000</v>
      </c>
      <c r="M84">
        <v>943.23916799999995</v>
      </c>
      <c r="N84">
        <v>1172.226048</v>
      </c>
    </row>
    <row r="85" spans="1:14" x14ac:dyDescent="0.2">
      <c r="A85" t="s">
        <v>917</v>
      </c>
      <c r="B85">
        <v>900.77084453800001</v>
      </c>
      <c r="C85">
        <v>4.4116248149999997</v>
      </c>
      <c r="D85">
        <v>271.32480610300001</v>
      </c>
      <c r="E85">
        <v>782.29875594400005</v>
      </c>
      <c r="F85">
        <v>243.529617159</v>
      </c>
      <c r="I85" t="s">
        <v>917</v>
      </c>
      <c r="J85">
        <v>11.927552</v>
      </c>
      <c r="K85">
        <v>11.083776</v>
      </c>
      <c r="L85">
        <v>16000</v>
      </c>
      <c r="M85">
        <v>16000</v>
      </c>
      <c r="N85">
        <v>16000</v>
      </c>
    </row>
    <row r="86" spans="1:14" x14ac:dyDescent="0.2">
      <c r="A86" t="s">
        <v>918</v>
      </c>
      <c r="B86">
        <v>900.76551394099999</v>
      </c>
      <c r="C86">
        <v>464.110731719</v>
      </c>
      <c r="D86">
        <v>348.37115927100001</v>
      </c>
      <c r="E86">
        <v>900.74761833900004</v>
      </c>
      <c r="F86">
        <v>900.88740633600003</v>
      </c>
      <c r="I86" t="s">
        <v>918</v>
      </c>
      <c r="J86">
        <v>440.44697600000001</v>
      </c>
      <c r="K86">
        <v>19.456</v>
      </c>
      <c r="L86">
        <v>16000</v>
      </c>
      <c r="M86">
        <v>10332.061696000001</v>
      </c>
      <c r="N86">
        <v>15441.301503999999</v>
      </c>
    </row>
    <row r="87" spans="1:14" x14ac:dyDescent="0.2">
      <c r="A87" t="s">
        <v>919</v>
      </c>
      <c r="B87">
        <v>900.77851707100001</v>
      </c>
      <c r="C87">
        <v>8.4246327500000007</v>
      </c>
      <c r="D87">
        <v>274.56951914199999</v>
      </c>
      <c r="E87">
        <v>663.28898936500002</v>
      </c>
      <c r="F87">
        <v>323.44657573400002</v>
      </c>
      <c r="I87" t="s">
        <v>919</v>
      </c>
      <c r="J87">
        <v>5.554176</v>
      </c>
      <c r="K87">
        <v>10.887168000000001</v>
      </c>
      <c r="L87">
        <v>16000</v>
      </c>
      <c r="M87">
        <v>16000</v>
      </c>
      <c r="N87">
        <v>16000</v>
      </c>
    </row>
    <row r="88" spans="1:14" x14ac:dyDescent="0.2">
      <c r="A88" t="s">
        <v>920</v>
      </c>
      <c r="B88">
        <v>900.74012675500001</v>
      </c>
      <c r="C88">
        <v>15.632745253</v>
      </c>
      <c r="D88">
        <v>250.412556239</v>
      </c>
      <c r="E88">
        <v>900.36913307099996</v>
      </c>
      <c r="F88">
        <v>900.69767796500003</v>
      </c>
      <c r="I88" t="s">
        <v>920</v>
      </c>
      <c r="J88">
        <v>407.02771200000001</v>
      </c>
      <c r="K88">
        <v>12.345344000000001</v>
      </c>
      <c r="L88">
        <v>16000</v>
      </c>
      <c r="M88">
        <v>3666.0346880000002</v>
      </c>
      <c r="N88">
        <v>3724.7221760000002</v>
      </c>
    </row>
    <row r="89" spans="1:14" x14ac:dyDescent="0.2">
      <c r="A89" t="s">
        <v>921</v>
      </c>
      <c r="B89">
        <v>900.75913920100004</v>
      </c>
      <c r="C89">
        <v>35.124774643000002</v>
      </c>
      <c r="D89">
        <v>262.63546230899999</v>
      </c>
      <c r="E89">
        <v>704.30006337099996</v>
      </c>
      <c r="F89">
        <v>425.866931185</v>
      </c>
      <c r="I89" t="s">
        <v>921</v>
      </c>
      <c r="J89">
        <v>20.783104000000002</v>
      </c>
      <c r="K89">
        <v>10.719232</v>
      </c>
      <c r="L89">
        <v>16000</v>
      </c>
      <c r="M89">
        <v>16000</v>
      </c>
      <c r="N89">
        <v>16000</v>
      </c>
    </row>
    <row r="90" spans="1:14" x14ac:dyDescent="0.2">
      <c r="A90" t="s">
        <v>922</v>
      </c>
      <c r="B90">
        <v>900.82782379299999</v>
      </c>
      <c r="C90">
        <v>63.292857503</v>
      </c>
      <c r="D90">
        <v>290.33938035800003</v>
      </c>
      <c r="E90">
        <v>900.92998198800001</v>
      </c>
      <c r="F90">
        <v>294.09185460499998</v>
      </c>
      <c r="I90" t="s">
        <v>922</v>
      </c>
      <c r="J90">
        <v>2458.6977280000001</v>
      </c>
      <c r="K90">
        <v>12.070912</v>
      </c>
      <c r="L90">
        <v>16000</v>
      </c>
      <c r="M90">
        <v>10521.063424</v>
      </c>
      <c r="N90">
        <v>16000</v>
      </c>
    </row>
    <row r="91" spans="1:14" x14ac:dyDescent="0.2">
      <c r="A91" t="s">
        <v>923</v>
      </c>
      <c r="B91">
        <v>900.91810222300001</v>
      </c>
      <c r="C91">
        <v>13.503172579999999</v>
      </c>
      <c r="D91">
        <v>260.84487040300002</v>
      </c>
      <c r="E91">
        <v>900.65596497800004</v>
      </c>
      <c r="F91">
        <v>235.278147838</v>
      </c>
      <c r="I91" t="s">
        <v>923</v>
      </c>
      <c r="J91">
        <v>3703.5048959999999</v>
      </c>
      <c r="K91">
        <v>16.130047999999999</v>
      </c>
      <c r="L91">
        <v>16000</v>
      </c>
      <c r="M91">
        <v>7385.82528</v>
      </c>
      <c r="N91">
        <v>16000</v>
      </c>
    </row>
    <row r="92" spans="1:14" x14ac:dyDescent="0.2">
      <c r="A92" t="s">
        <v>924</v>
      </c>
      <c r="B92">
        <v>900.76220696799999</v>
      </c>
      <c r="C92">
        <v>2.597786696</v>
      </c>
      <c r="D92">
        <v>580.43816354600006</v>
      </c>
      <c r="E92">
        <v>900.45897315399998</v>
      </c>
      <c r="F92">
        <v>900.25743851899995</v>
      </c>
      <c r="I92" t="s">
        <v>924</v>
      </c>
      <c r="J92">
        <v>40.337408000000003</v>
      </c>
      <c r="K92">
        <v>12.43136</v>
      </c>
      <c r="L92">
        <v>16000</v>
      </c>
      <c r="M92">
        <v>30.457856</v>
      </c>
      <c r="N92">
        <v>42.647551999999997</v>
      </c>
    </row>
    <row r="93" spans="1:14" x14ac:dyDescent="0.2">
      <c r="A93" t="s">
        <v>925</v>
      </c>
      <c r="B93">
        <v>901.09820253600003</v>
      </c>
      <c r="C93">
        <v>22.303463553</v>
      </c>
      <c r="D93">
        <v>244.57435914300001</v>
      </c>
      <c r="E93">
        <v>900.71818734500005</v>
      </c>
      <c r="F93">
        <v>318.26600759399997</v>
      </c>
      <c r="I93" t="s">
        <v>925</v>
      </c>
      <c r="J93">
        <v>7874.6746880000001</v>
      </c>
      <c r="K93">
        <v>13.627392</v>
      </c>
      <c r="L93">
        <v>16000</v>
      </c>
      <c r="M93">
        <v>8522.3792639999992</v>
      </c>
      <c r="N93">
        <v>16000</v>
      </c>
    </row>
    <row r="94" spans="1:14" x14ac:dyDescent="0.2">
      <c r="A94" t="s">
        <v>926</v>
      </c>
      <c r="B94">
        <v>900.764314754</v>
      </c>
      <c r="C94">
        <v>1.6289573530000001</v>
      </c>
      <c r="D94">
        <v>314.65199078500001</v>
      </c>
      <c r="E94">
        <v>900.80344073200001</v>
      </c>
      <c r="F94">
        <v>667.359824688</v>
      </c>
      <c r="I94" t="s">
        <v>926</v>
      </c>
      <c r="J94">
        <v>74.366975999999994</v>
      </c>
      <c r="K94">
        <v>10.620927999999999</v>
      </c>
      <c r="L94">
        <v>16000</v>
      </c>
      <c r="M94">
        <v>7514.9352959999997</v>
      </c>
      <c r="N94">
        <v>16000</v>
      </c>
    </row>
    <row r="95" spans="1:14" x14ac:dyDescent="0.2">
      <c r="A95" t="s">
        <v>927</v>
      </c>
      <c r="B95">
        <v>900.84572386900004</v>
      </c>
      <c r="C95">
        <v>22.267642677000001</v>
      </c>
      <c r="D95">
        <v>249.62426269299999</v>
      </c>
      <c r="E95">
        <v>901.329464723</v>
      </c>
      <c r="F95">
        <v>310.288242287</v>
      </c>
      <c r="I95" t="s">
        <v>927</v>
      </c>
      <c r="J95">
        <v>2966.0487680000001</v>
      </c>
      <c r="K95">
        <v>14.266368</v>
      </c>
      <c r="L95">
        <v>16000</v>
      </c>
      <c r="M95">
        <v>14911.746048000001</v>
      </c>
      <c r="N95">
        <v>16000</v>
      </c>
    </row>
    <row r="96" spans="1:14" x14ac:dyDescent="0.2">
      <c r="A96" t="s">
        <v>928</v>
      </c>
      <c r="B96">
        <v>900.73264975799998</v>
      </c>
      <c r="C96">
        <v>4.940772173</v>
      </c>
      <c r="D96">
        <v>900.47565701200006</v>
      </c>
      <c r="E96">
        <v>900.63067360000002</v>
      </c>
      <c r="F96">
        <v>900.59843831199998</v>
      </c>
      <c r="I96" t="s">
        <v>928</v>
      </c>
      <c r="J96">
        <v>2092.3514879999998</v>
      </c>
      <c r="K96">
        <v>12.71808</v>
      </c>
      <c r="L96">
        <v>17.539072000000001</v>
      </c>
      <c r="M96">
        <v>14.635007999999999</v>
      </c>
      <c r="N96">
        <v>15.38048</v>
      </c>
    </row>
    <row r="97" spans="1:14" x14ac:dyDescent="0.2">
      <c r="A97" t="s">
        <v>929</v>
      </c>
      <c r="B97">
        <v>900.81637403100001</v>
      </c>
      <c r="C97">
        <v>3.6113394379999999</v>
      </c>
      <c r="D97">
        <v>314.24517816399998</v>
      </c>
      <c r="E97">
        <v>900.98780075800005</v>
      </c>
      <c r="F97">
        <v>495.25355326200003</v>
      </c>
      <c r="I97" t="s">
        <v>929</v>
      </c>
      <c r="J97">
        <v>1856.8970240000001</v>
      </c>
      <c r="K97">
        <v>14.704639999999999</v>
      </c>
      <c r="L97">
        <v>16000</v>
      </c>
      <c r="M97">
        <v>14905.683967999999</v>
      </c>
      <c r="N97">
        <v>16000</v>
      </c>
    </row>
    <row r="98" spans="1:14" x14ac:dyDescent="0.2">
      <c r="A98" t="s">
        <v>930</v>
      </c>
      <c r="B98">
        <v>900.93288090099998</v>
      </c>
      <c r="C98">
        <v>18.365164542999999</v>
      </c>
      <c r="D98">
        <v>260.58133175699999</v>
      </c>
      <c r="E98">
        <v>900.74241049600005</v>
      </c>
      <c r="F98">
        <v>233.588615465</v>
      </c>
      <c r="I98" t="s">
        <v>930</v>
      </c>
      <c r="J98">
        <v>4984.4551680000004</v>
      </c>
      <c r="K98">
        <v>15.847424</v>
      </c>
      <c r="L98">
        <v>16000</v>
      </c>
      <c r="M98">
        <v>8621.2157439999992</v>
      </c>
      <c r="N98">
        <v>16000</v>
      </c>
    </row>
    <row r="99" spans="1:14" x14ac:dyDescent="0.2">
      <c r="A99" t="s">
        <v>931</v>
      </c>
      <c r="B99">
        <v>900.9102901</v>
      </c>
      <c r="C99">
        <v>2.3857388880000001</v>
      </c>
      <c r="D99">
        <v>275.57270638099999</v>
      </c>
      <c r="E99">
        <v>871.35900070299999</v>
      </c>
      <c r="F99">
        <v>347.33163368700002</v>
      </c>
      <c r="I99" t="s">
        <v>931</v>
      </c>
      <c r="J99">
        <v>3976.6548480000001</v>
      </c>
      <c r="K99">
        <v>13.275136</v>
      </c>
      <c r="L99">
        <v>16000</v>
      </c>
      <c r="M99">
        <v>16000</v>
      </c>
      <c r="N99">
        <v>16000</v>
      </c>
    </row>
    <row r="100" spans="1:14" x14ac:dyDescent="0.2">
      <c r="A100" t="s">
        <v>932</v>
      </c>
      <c r="B100">
        <v>900.90533058200003</v>
      </c>
      <c r="C100">
        <v>2.729619005</v>
      </c>
      <c r="D100">
        <v>579.44181760499998</v>
      </c>
      <c r="E100">
        <v>901.000313914</v>
      </c>
      <c r="F100">
        <v>360.17948710100001</v>
      </c>
      <c r="I100" t="s">
        <v>932</v>
      </c>
      <c r="J100">
        <v>3944.0465920000001</v>
      </c>
      <c r="K100">
        <v>13.443072000000001</v>
      </c>
      <c r="L100">
        <v>16000</v>
      </c>
      <c r="M100">
        <v>14943.694847999999</v>
      </c>
      <c r="N100">
        <v>16000</v>
      </c>
    </row>
    <row r="101" spans="1:14" x14ac:dyDescent="0.2">
      <c r="A101" t="s">
        <v>933</v>
      </c>
      <c r="B101">
        <v>900.87108974199998</v>
      </c>
      <c r="C101">
        <v>62.037579116000003</v>
      </c>
      <c r="D101">
        <v>276.798249849</v>
      </c>
      <c r="E101">
        <v>901.19518481199998</v>
      </c>
      <c r="F101">
        <v>625.67023580099999</v>
      </c>
      <c r="I101" t="s">
        <v>933</v>
      </c>
      <c r="J101">
        <v>3305.3614080000002</v>
      </c>
      <c r="K101">
        <v>10.952704000000001</v>
      </c>
      <c r="L101">
        <v>16000</v>
      </c>
      <c r="M101">
        <v>15003.078656</v>
      </c>
      <c r="N101">
        <v>16000</v>
      </c>
    </row>
    <row r="102" spans="1:14" x14ac:dyDescent="0.2">
      <c r="A102" t="s">
        <v>934</v>
      </c>
      <c r="B102">
        <v>900.87863586499998</v>
      </c>
      <c r="C102">
        <v>3.1604067979999999</v>
      </c>
      <c r="D102">
        <v>283.46968845800001</v>
      </c>
      <c r="E102">
        <v>901.10289617900003</v>
      </c>
      <c r="F102">
        <v>274.973767603</v>
      </c>
      <c r="I102" t="s">
        <v>934</v>
      </c>
      <c r="J102">
        <v>3271.9994879999999</v>
      </c>
      <c r="K102">
        <v>10.399744</v>
      </c>
      <c r="L102">
        <v>16000</v>
      </c>
      <c r="M102">
        <v>10300.735488</v>
      </c>
      <c r="N102">
        <v>16000</v>
      </c>
    </row>
    <row r="103" spans="1:14" x14ac:dyDescent="0.2">
      <c r="A103" t="s">
        <v>935</v>
      </c>
      <c r="B103">
        <v>900.73504119799998</v>
      </c>
      <c r="C103">
        <v>4.6546636120000002</v>
      </c>
      <c r="D103">
        <v>240.79882419899999</v>
      </c>
      <c r="E103">
        <v>900.73601434600005</v>
      </c>
      <c r="F103">
        <v>378.66010631</v>
      </c>
      <c r="I103" t="s">
        <v>935</v>
      </c>
      <c r="J103">
        <v>1557.4466560000001</v>
      </c>
      <c r="K103">
        <v>10.551296000000001</v>
      </c>
      <c r="L103">
        <v>16000</v>
      </c>
      <c r="M103">
        <v>10185.46176</v>
      </c>
      <c r="N103">
        <v>16000</v>
      </c>
    </row>
    <row r="104" spans="1:14" x14ac:dyDescent="0.2">
      <c r="A104" t="s">
        <v>936</v>
      </c>
      <c r="B104">
        <v>900.85250902200005</v>
      </c>
      <c r="C104">
        <v>14.128008455</v>
      </c>
      <c r="D104">
        <v>269.47697736399999</v>
      </c>
      <c r="E104">
        <v>743.21841240900005</v>
      </c>
      <c r="F104">
        <v>224.29583413899999</v>
      </c>
      <c r="I104" t="s">
        <v>936</v>
      </c>
      <c r="J104">
        <v>2902.851584</v>
      </c>
      <c r="K104">
        <v>11.423743999999999</v>
      </c>
      <c r="L104">
        <v>16000</v>
      </c>
      <c r="M104">
        <v>16000</v>
      </c>
      <c r="N104">
        <v>16000</v>
      </c>
    </row>
    <row r="105" spans="1:14" x14ac:dyDescent="0.2">
      <c r="A105" t="s">
        <v>937</v>
      </c>
      <c r="B105">
        <v>900.81398503100002</v>
      </c>
      <c r="C105">
        <v>35.649955820999999</v>
      </c>
      <c r="D105">
        <v>337.81699579299999</v>
      </c>
      <c r="E105">
        <v>786.88196169599996</v>
      </c>
      <c r="F105">
        <v>317.85088365199999</v>
      </c>
      <c r="I105" t="s">
        <v>937</v>
      </c>
      <c r="J105">
        <v>2231.0625279999999</v>
      </c>
      <c r="K105">
        <v>16.969728</v>
      </c>
      <c r="L105">
        <v>16000</v>
      </c>
      <c r="M105">
        <v>16000</v>
      </c>
      <c r="N105">
        <v>16000</v>
      </c>
    </row>
    <row r="106" spans="1:14" x14ac:dyDescent="0.2">
      <c r="A106" t="s">
        <v>938</v>
      </c>
      <c r="B106">
        <v>900.94025027700002</v>
      </c>
      <c r="C106">
        <v>17.664125491</v>
      </c>
      <c r="D106">
        <v>267.942629275</v>
      </c>
      <c r="E106">
        <v>901.00845111399997</v>
      </c>
      <c r="F106">
        <v>458.920008741</v>
      </c>
      <c r="I106" t="s">
        <v>938</v>
      </c>
      <c r="J106">
        <v>4853.8460160000004</v>
      </c>
      <c r="K106">
        <v>12.427263999999999</v>
      </c>
      <c r="L106">
        <v>16000</v>
      </c>
      <c r="M106">
        <v>14924.554239999999</v>
      </c>
      <c r="N106">
        <v>16000</v>
      </c>
    </row>
    <row r="107" spans="1:14" x14ac:dyDescent="0.2">
      <c r="A107" t="s">
        <v>939</v>
      </c>
      <c r="B107">
        <v>900.85496887399995</v>
      </c>
      <c r="C107">
        <v>198.69364060699999</v>
      </c>
      <c r="D107">
        <v>343.37022203399999</v>
      </c>
      <c r="E107">
        <v>900.91634880599997</v>
      </c>
      <c r="F107">
        <v>253.841023331</v>
      </c>
      <c r="I107" t="s">
        <v>939</v>
      </c>
      <c r="J107">
        <v>3038.5233920000001</v>
      </c>
      <c r="K107">
        <v>10.67008</v>
      </c>
      <c r="L107">
        <v>16000</v>
      </c>
      <c r="M107">
        <v>8135.3400320000001</v>
      </c>
      <c r="N107">
        <v>16000</v>
      </c>
    </row>
    <row r="108" spans="1:14" x14ac:dyDescent="0.2">
      <c r="A108" t="s">
        <v>940</v>
      </c>
      <c r="B108">
        <v>900.891557326</v>
      </c>
      <c r="C108">
        <v>16.291076357000001</v>
      </c>
      <c r="D108">
        <v>328.44329129400001</v>
      </c>
      <c r="E108">
        <v>900.96021605600004</v>
      </c>
      <c r="F108">
        <v>314.91615663699997</v>
      </c>
      <c r="I108" t="s">
        <v>940</v>
      </c>
      <c r="J108">
        <v>3947.4872319999999</v>
      </c>
      <c r="K108">
        <v>16.019456000000002</v>
      </c>
      <c r="L108">
        <v>16000</v>
      </c>
      <c r="M108">
        <v>14971.211776</v>
      </c>
      <c r="N108">
        <v>16000</v>
      </c>
    </row>
    <row r="109" spans="1:14" x14ac:dyDescent="0.2">
      <c r="A109" t="s">
        <v>941</v>
      </c>
      <c r="B109">
        <v>900.90560273899996</v>
      </c>
      <c r="C109">
        <v>21.715078884</v>
      </c>
      <c r="D109">
        <v>304.29222677600001</v>
      </c>
      <c r="E109">
        <v>684.75595167200004</v>
      </c>
      <c r="F109">
        <v>341.88798187499998</v>
      </c>
      <c r="I109" t="s">
        <v>941</v>
      </c>
      <c r="J109">
        <v>3712.917504</v>
      </c>
      <c r="K109">
        <v>11.558911999999999</v>
      </c>
      <c r="L109">
        <v>16000</v>
      </c>
      <c r="M109">
        <v>16000</v>
      </c>
      <c r="N109">
        <v>16000</v>
      </c>
    </row>
    <row r="110" spans="1:14" x14ac:dyDescent="0.2">
      <c r="A110" t="s">
        <v>942</v>
      </c>
      <c r="B110">
        <v>900.74720129599996</v>
      </c>
      <c r="C110">
        <v>53.898992434999997</v>
      </c>
      <c r="D110">
        <v>234.739752428</v>
      </c>
      <c r="E110">
        <v>900.796229584</v>
      </c>
      <c r="F110">
        <v>643.863641164</v>
      </c>
      <c r="I110" t="s">
        <v>942</v>
      </c>
      <c r="J110">
        <v>15.486976</v>
      </c>
      <c r="K110">
        <v>14.467072</v>
      </c>
      <c r="L110">
        <v>16000</v>
      </c>
      <c r="M110">
        <v>7410.0613119999998</v>
      </c>
      <c r="N110">
        <v>16000</v>
      </c>
    </row>
    <row r="111" spans="1:14" x14ac:dyDescent="0.2">
      <c r="A111" t="s">
        <v>943</v>
      </c>
      <c r="B111">
        <v>900.91162946300005</v>
      </c>
      <c r="C111">
        <v>12.868860476</v>
      </c>
      <c r="D111">
        <v>248.36849641800001</v>
      </c>
      <c r="E111">
        <v>901.20382762199995</v>
      </c>
      <c r="F111">
        <v>687.99533256999996</v>
      </c>
      <c r="I111" t="s">
        <v>943</v>
      </c>
      <c r="J111">
        <v>3746.6726399999998</v>
      </c>
      <c r="K111">
        <v>15.40096</v>
      </c>
      <c r="L111">
        <v>16000</v>
      </c>
      <c r="M111">
        <v>14961.782784000001</v>
      </c>
      <c r="N111">
        <v>16000</v>
      </c>
    </row>
    <row r="112" spans="1:14" x14ac:dyDescent="0.2">
      <c r="A112" t="s">
        <v>944</v>
      </c>
      <c r="B112">
        <v>900.93204216399999</v>
      </c>
      <c r="C112">
        <v>900.44184959400002</v>
      </c>
      <c r="D112">
        <v>371.58849856099999</v>
      </c>
      <c r="E112">
        <v>901.01939975599998</v>
      </c>
      <c r="F112">
        <v>337.49577777299999</v>
      </c>
      <c r="I112" t="s">
        <v>944</v>
      </c>
      <c r="J112">
        <v>4217.6962560000002</v>
      </c>
      <c r="K112">
        <v>10.50624</v>
      </c>
      <c r="L112">
        <v>16000</v>
      </c>
      <c r="M112">
        <v>14905.962496</v>
      </c>
      <c r="N112">
        <v>16000</v>
      </c>
    </row>
    <row r="113" spans="1:14" x14ac:dyDescent="0.2">
      <c r="A113" t="s">
        <v>945</v>
      </c>
      <c r="B113">
        <v>900.91771075899999</v>
      </c>
      <c r="C113">
        <v>6.0397597459999997</v>
      </c>
      <c r="D113">
        <v>552.37968263699997</v>
      </c>
      <c r="E113">
        <v>900.94177709899998</v>
      </c>
      <c r="F113">
        <v>901.15080430499995</v>
      </c>
      <c r="I113" t="s">
        <v>945</v>
      </c>
      <c r="J113">
        <v>5327.7286400000003</v>
      </c>
      <c r="K113">
        <v>15.335424</v>
      </c>
      <c r="L113">
        <v>16000</v>
      </c>
      <c r="M113">
        <v>10020.491264</v>
      </c>
      <c r="N113">
        <v>12243.918847999999</v>
      </c>
    </row>
    <row r="114" spans="1:14" x14ac:dyDescent="0.2">
      <c r="A114" t="s">
        <v>946</v>
      </c>
      <c r="B114">
        <v>900.95683289600004</v>
      </c>
      <c r="C114">
        <v>140.63105129600001</v>
      </c>
      <c r="D114">
        <v>243.15779695500001</v>
      </c>
      <c r="E114">
        <v>900.87342429399996</v>
      </c>
      <c r="F114">
        <v>315.044307135</v>
      </c>
      <c r="I114" t="s">
        <v>946</v>
      </c>
      <c r="J114">
        <v>4252.3688959999999</v>
      </c>
      <c r="K114">
        <v>16.674816</v>
      </c>
      <c r="L114">
        <v>16000</v>
      </c>
      <c r="M114">
        <v>9184.8089600000003</v>
      </c>
      <c r="N114">
        <v>16000</v>
      </c>
    </row>
    <row r="115" spans="1:14" x14ac:dyDescent="0.2">
      <c r="A115" t="s">
        <v>947</v>
      </c>
      <c r="B115">
        <v>900.87879863299997</v>
      </c>
      <c r="C115">
        <v>14.773230993</v>
      </c>
      <c r="D115">
        <v>357.00022468600002</v>
      </c>
      <c r="E115">
        <v>901.05077969599995</v>
      </c>
      <c r="F115">
        <v>901.29869364700005</v>
      </c>
      <c r="I115" t="s">
        <v>947</v>
      </c>
      <c r="J115">
        <v>3076.2311679999998</v>
      </c>
      <c r="K115">
        <v>16.056319999999999</v>
      </c>
      <c r="L115">
        <v>16000</v>
      </c>
      <c r="M115">
        <v>15258.398719999999</v>
      </c>
      <c r="N115">
        <v>15414.505472000001</v>
      </c>
    </row>
    <row r="116" spans="1:14" x14ac:dyDescent="0.2">
      <c r="A116" t="s">
        <v>948</v>
      </c>
      <c r="B116">
        <v>900.77825263900002</v>
      </c>
      <c r="C116">
        <v>26.283063145</v>
      </c>
      <c r="D116">
        <v>231.61617044799999</v>
      </c>
      <c r="E116">
        <v>900.67826023400005</v>
      </c>
      <c r="F116">
        <v>333.38547047600002</v>
      </c>
      <c r="I116" t="s">
        <v>948</v>
      </c>
      <c r="J116">
        <v>84.107264000000001</v>
      </c>
      <c r="K116">
        <v>17.457152000000001</v>
      </c>
      <c r="L116">
        <v>16000</v>
      </c>
      <c r="M116">
        <v>7444.3980799999999</v>
      </c>
      <c r="N116">
        <v>16000</v>
      </c>
    </row>
    <row r="117" spans="1:14" x14ac:dyDescent="0.2">
      <c r="A117" t="s">
        <v>949</v>
      </c>
      <c r="B117">
        <v>900.99829753999995</v>
      </c>
      <c r="C117">
        <v>5.7478327159999996</v>
      </c>
      <c r="D117">
        <v>259.16878341</v>
      </c>
      <c r="E117">
        <v>901.05255565699997</v>
      </c>
      <c r="F117">
        <v>321.05283604900001</v>
      </c>
      <c r="I117" t="s">
        <v>949</v>
      </c>
      <c r="J117">
        <v>6641.9752959999996</v>
      </c>
      <c r="K117">
        <v>15.491072000000001</v>
      </c>
      <c r="L117">
        <v>16000</v>
      </c>
      <c r="M117">
        <v>9544.6958080000004</v>
      </c>
      <c r="N117">
        <v>16000</v>
      </c>
    </row>
    <row r="118" spans="1:14" x14ac:dyDescent="0.2">
      <c r="A118" t="s">
        <v>950</v>
      </c>
      <c r="B118">
        <v>900.74121887199999</v>
      </c>
      <c r="C118">
        <v>146.62841387700001</v>
      </c>
      <c r="D118">
        <v>243.76971373699999</v>
      </c>
      <c r="E118">
        <v>900.95453154500001</v>
      </c>
      <c r="F118">
        <v>363.76030083400002</v>
      </c>
      <c r="I118" t="s">
        <v>950</v>
      </c>
      <c r="J118">
        <v>1129.852928</v>
      </c>
      <c r="K118">
        <v>19.935231999999999</v>
      </c>
      <c r="L118">
        <v>16000</v>
      </c>
      <c r="M118">
        <v>7422.0298240000002</v>
      </c>
      <c r="N118">
        <v>16000</v>
      </c>
    </row>
    <row r="119" spans="1:14" x14ac:dyDescent="0.2">
      <c r="A119" t="s">
        <v>951</v>
      </c>
      <c r="B119">
        <v>900.77518786899998</v>
      </c>
      <c r="C119">
        <v>24.339470887000001</v>
      </c>
      <c r="D119">
        <v>258.32480092399999</v>
      </c>
      <c r="E119">
        <v>782.445824786</v>
      </c>
      <c r="F119">
        <v>378.569240304</v>
      </c>
      <c r="I119" t="s">
        <v>951</v>
      </c>
      <c r="J119">
        <v>2404.499456</v>
      </c>
      <c r="K119">
        <v>9.9942399999999996</v>
      </c>
      <c r="L119">
        <v>16000</v>
      </c>
      <c r="M119">
        <v>16000</v>
      </c>
      <c r="N119">
        <v>16000</v>
      </c>
    </row>
    <row r="120" spans="1:14" x14ac:dyDescent="0.2">
      <c r="A120" t="s">
        <v>952</v>
      </c>
      <c r="B120">
        <v>900.80298086100004</v>
      </c>
      <c r="C120">
        <v>2.8535741489999999</v>
      </c>
      <c r="D120">
        <v>285.222728335</v>
      </c>
      <c r="E120">
        <v>901.10427113399999</v>
      </c>
      <c r="F120">
        <v>308.859145227</v>
      </c>
      <c r="I120" t="s">
        <v>952</v>
      </c>
      <c r="J120">
        <v>1564.5655039999999</v>
      </c>
      <c r="K120">
        <v>10.752000000000001</v>
      </c>
      <c r="L120">
        <v>16000</v>
      </c>
      <c r="M120">
        <v>14914.207743999999</v>
      </c>
      <c r="N120">
        <v>16000</v>
      </c>
    </row>
    <row r="121" spans="1:14" x14ac:dyDescent="0.2">
      <c r="A121" t="s">
        <v>953</v>
      </c>
      <c r="B121">
        <v>900.94090768800004</v>
      </c>
      <c r="C121">
        <v>133.571838238</v>
      </c>
      <c r="D121">
        <v>318.10460129500001</v>
      </c>
      <c r="E121">
        <v>901.11981507500002</v>
      </c>
      <c r="F121">
        <v>310.61370849399998</v>
      </c>
      <c r="I121" t="s">
        <v>953</v>
      </c>
      <c r="J121">
        <v>4692.6274560000002</v>
      </c>
      <c r="K121">
        <v>11.567104</v>
      </c>
      <c r="L121">
        <v>16000</v>
      </c>
      <c r="M121">
        <v>14955.364352000001</v>
      </c>
      <c r="N121">
        <v>16000</v>
      </c>
    </row>
    <row r="122" spans="1:14" x14ac:dyDescent="0.2">
      <c r="A122" t="s">
        <v>954</v>
      </c>
      <c r="B122">
        <v>900.862031602</v>
      </c>
      <c r="C122">
        <v>1.359579461</v>
      </c>
      <c r="D122">
        <v>277.56154948599999</v>
      </c>
      <c r="E122">
        <v>737.48011999799996</v>
      </c>
      <c r="F122">
        <v>354.56063649100003</v>
      </c>
      <c r="I122" t="s">
        <v>954</v>
      </c>
      <c r="J122">
        <v>3582.6155520000002</v>
      </c>
      <c r="K122">
        <v>9.756672</v>
      </c>
      <c r="L122">
        <v>16000</v>
      </c>
      <c r="M122">
        <v>16000</v>
      </c>
      <c r="N122">
        <v>16000</v>
      </c>
    </row>
    <row r="123" spans="1:14" x14ac:dyDescent="0.2">
      <c r="A123" t="s">
        <v>955</v>
      </c>
      <c r="B123">
        <v>901.05185324399997</v>
      </c>
      <c r="C123">
        <v>43.585745586000002</v>
      </c>
      <c r="D123">
        <v>235.699196046</v>
      </c>
      <c r="E123">
        <v>749.01904489799995</v>
      </c>
      <c r="F123">
        <v>362.02640970900001</v>
      </c>
      <c r="I123" t="s">
        <v>955</v>
      </c>
      <c r="J123">
        <v>7315.8533120000002</v>
      </c>
      <c r="K123">
        <v>13.082623999999999</v>
      </c>
      <c r="L123">
        <v>16000</v>
      </c>
      <c r="M123">
        <v>16000</v>
      </c>
      <c r="N123">
        <v>16000</v>
      </c>
    </row>
    <row r="124" spans="1:14" x14ac:dyDescent="0.2">
      <c r="A124" t="s">
        <v>956</v>
      </c>
      <c r="B124">
        <v>901.00102486699996</v>
      </c>
      <c r="C124">
        <v>6.7601678649999997</v>
      </c>
      <c r="D124">
        <v>264.69390834000001</v>
      </c>
      <c r="E124">
        <v>901.037702846</v>
      </c>
      <c r="F124">
        <v>234.092200977</v>
      </c>
      <c r="I124" t="s">
        <v>956</v>
      </c>
      <c r="J124">
        <v>6307.9915520000004</v>
      </c>
      <c r="K124">
        <v>10.964992000000001</v>
      </c>
      <c r="L124">
        <v>16000</v>
      </c>
      <c r="M124">
        <v>14931.116032</v>
      </c>
      <c r="N124">
        <v>16000</v>
      </c>
    </row>
    <row r="125" spans="1:14" x14ac:dyDescent="0.2">
      <c r="A125" t="s">
        <v>957</v>
      </c>
      <c r="B125">
        <v>900.83618965699998</v>
      </c>
      <c r="C125">
        <v>3.047682451</v>
      </c>
      <c r="D125">
        <v>389.89451014799999</v>
      </c>
      <c r="E125">
        <v>900.759742254</v>
      </c>
      <c r="F125">
        <v>239.19009989400001</v>
      </c>
      <c r="I125" t="s">
        <v>957</v>
      </c>
      <c r="J125">
        <v>2980.37248</v>
      </c>
      <c r="K125">
        <v>13.512703999999999</v>
      </c>
      <c r="L125">
        <v>16000</v>
      </c>
      <c r="M125">
        <v>8517.5992320000005</v>
      </c>
      <c r="N125">
        <v>16000</v>
      </c>
    </row>
    <row r="126" spans="1:14" x14ac:dyDescent="0.2">
      <c r="A126" t="s">
        <v>958</v>
      </c>
      <c r="B126">
        <v>900.77204757000004</v>
      </c>
      <c r="C126">
        <v>3.8840626669999998</v>
      </c>
      <c r="D126">
        <v>335.482892064</v>
      </c>
      <c r="E126">
        <v>900.861964908</v>
      </c>
      <c r="F126">
        <v>901.34047057600003</v>
      </c>
      <c r="I126" t="s">
        <v>958</v>
      </c>
      <c r="J126">
        <v>1535.9385600000001</v>
      </c>
      <c r="K126">
        <v>12.054527999999999</v>
      </c>
      <c r="L126">
        <v>16000</v>
      </c>
      <c r="M126">
        <v>9655.4639360000001</v>
      </c>
      <c r="N126">
        <v>15150.600192</v>
      </c>
    </row>
    <row r="127" spans="1:14" x14ac:dyDescent="0.2">
      <c r="A127" t="s">
        <v>959</v>
      </c>
      <c r="B127">
        <v>900.81920304100004</v>
      </c>
      <c r="C127">
        <v>4.6231359830000001</v>
      </c>
      <c r="D127">
        <v>281.96022654500001</v>
      </c>
      <c r="E127">
        <v>889.46840442300004</v>
      </c>
      <c r="F127">
        <v>326.931436491</v>
      </c>
      <c r="I127" t="s">
        <v>959</v>
      </c>
      <c r="J127">
        <v>3890.7903999999999</v>
      </c>
      <c r="K127">
        <v>10.747904</v>
      </c>
      <c r="L127">
        <v>16000</v>
      </c>
      <c r="M127">
        <v>16000</v>
      </c>
      <c r="N127">
        <v>16000</v>
      </c>
    </row>
    <row r="128" spans="1:14" x14ac:dyDescent="0.2">
      <c r="A128" t="s">
        <v>960</v>
      </c>
      <c r="B128">
        <v>900.83901082099999</v>
      </c>
      <c r="C128">
        <v>23.815116099000001</v>
      </c>
      <c r="D128">
        <v>300.14612388799998</v>
      </c>
      <c r="E128">
        <v>900.80388904999995</v>
      </c>
      <c r="F128">
        <v>358.632021726</v>
      </c>
      <c r="I128" t="s">
        <v>960</v>
      </c>
      <c r="J128">
        <v>1870.319616</v>
      </c>
      <c r="K128">
        <v>16.285696000000002</v>
      </c>
      <c r="L128">
        <v>16000</v>
      </c>
      <c r="M128">
        <v>10394.300416</v>
      </c>
      <c r="N128">
        <v>16000</v>
      </c>
    </row>
    <row r="129" spans="1:14" x14ac:dyDescent="0.2">
      <c r="A129" t="s">
        <v>961</v>
      </c>
      <c r="B129">
        <v>900.82254214399995</v>
      </c>
      <c r="C129">
        <v>600.803342219</v>
      </c>
      <c r="D129">
        <v>289.84874341400001</v>
      </c>
      <c r="E129">
        <v>900.88279217100001</v>
      </c>
      <c r="F129">
        <v>900.80486848700002</v>
      </c>
      <c r="I129" t="s">
        <v>961</v>
      </c>
      <c r="J129">
        <v>1736.0281600000001</v>
      </c>
      <c r="K129">
        <v>28.85632</v>
      </c>
      <c r="L129">
        <v>16000</v>
      </c>
      <c r="M129">
        <v>15024.828416</v>
      </c>
      <c r="N129">
        <v>8577.7981440000003</v>
      </c>
    </row>
    <row r="130" spans="1:14" x14ac:dyDescent="0.2">
      <c r="A130" t="s">
        <v>962</v>
      </c>
      <c r="B130">
        <v>900.83335722599998</v>
      </c>
      <c r="C130">
        <v>10.592432832</v>
      </c>
      <c r="D130">
        <v>282.41454880399999</v>
      </c>
      <c r="E130">
        <v>900.74573001299996</v>
      </c>
      <c r="F130">
        <v>277.39041941900001</v>
      </c>
      <c r="I130" t="s">
        <v>962</v>
      </c>
      <c r="J130">
        <v>2342.3549440000002</v>
      </c>
      <c r="K130">
        <v>14.864383999999999</v>
      </c>
      <c r="L130">
        <v>16000</v>
      </c>
      <c r="M130">
        <v>10560.397311999999</v>
      </c>
      <c r="N130">
        <v>16000</v>
      </c>
    </row>
    <row r="131" spans="1:14" x14ac:dyDescent="0.2">
      <c r="A131" t="s">
        <v>963</v>
      </c>
      <c r="B131">
        <v>900.81639956000004</v>
      </c>
      <c r="C131">
        <v>901.003196452</v>
      </c>
      <c r="D131">
        <v>274.79770590800001</v>
      </c>
      <c r="E131">
        <v>808.56434757299996</v>
      </c>
      <c r="F131">
        <v>316.06534569399997</v>
      </c>
      <c r="I131" t="s">
        <v>963</v>
      </c>
      <c r="J131">
        <v>2007.9247359999999</v>
      </c>
      <c r="K131">
        <v>11.997184000000001</v>
      </c>
      <c r="L131">
        <v>16000</v>
      </c>
      <c r="M131">
        <v>16000</v>
      </c>
      <c r="N131">
        <v>16000</v>
      </c>
    </row>
    <row r="132" spans="1:14" x14ac:dyDescent="0.2">
      <c r="A132" t="s">
        <v>964</v>
      </c>
      <c r="B132">
        <v>900.98257803199999</v>
      </c>
      <c r="C132">
        <v>900.05046976899996</v>
      </c>
      <c r="D132">
        <v>283.02608759899999</v>
      </c>
      <c r="E132">
        <v>901.20853455199995</v>
      </c>
      <c r="F132">
        <v>371.42841855799998</v>
      </c>
      <c r="I132" t="s">
        <v>964</v>
      </c>
      <c r="J132">
        <v>5538.3736319999998</v>
      </c>
      <c r="K132">
        <v>12.34944</v>
      </c>
      <c r="L132">
        <v>16000</v>
      </c>
      <c r="M132">
        <v>14957.199360000001</v>
      </c>
      <c r="N132">
        <v>16000</v>
      </c>
    </row>
    <row r="133" spans="1:14" x14ac:dyDescent="0.2">
      <c r="A133" t="s">
        <v>965</v>
      </c>
      <c r="B133">
        <v>900.95274760999996</v>
      </c>
      <c r="C133">
        <v>4.4251481720000001</v>
      </c>
      <c r="D133">
        <v>264.491244849</v>
      </c>
      <c r="E133">
        <v>901.12133119199996</v>
      </c>
      <c r="F133">
        <v>314.09170927899999</v>
      </c>
      <c r="I133" t="s">
        <v>965</v>
      </c>
      <c r="J133">
        <v>4799.6231680000001</v>
      </c>
      <c r="K133">
        <v>16.73216</v>
      </c>
      <c r="L133">
        <v>16000</v>
      </c>
      <c r="M133">
        <v>15279.906816000001</v>
      </c>
      <c r="N133">
        <v>16000</v>
      </c>
    </row>
    <row r="134" spans="1:14" x14ac:dyDescent="0.2">
      <c r="A134" t="s">
        <v>966</v>
      </c>
      <c r="B134">
        <v>900.79449045399997</v>
      </c>
      <c r="C134">
        <v>901.00234471800002</v>
      </c>
      <c r="D134">
        <v>269.666747988</v>
      </c>
      <c r="E134">
        <v>794.39109446199996</v>
      </c>
      <c r="F134">
        <v>816.26279474399996</v>
      </c>
      <c r="I134" t="s">
        <v>966</v>
      </c>
      <c r="J134">
        <v>1572.245504</v>
      </c>
      <c r="K134">
        <v>12.787712000000001</v>
      </c>
      <c r="L134">
        <v>16000</v>
      </c>
      <c r="M134">
        <v>16000</v>
      </c>
      <c r="N134">
        <v>16000</v>
      </c>
    </row>
    <row r="135" spans="1:14" x14ac:dyDescent="0.2">
      <c r="A135" t="s">
        <v>967</v>
      </c>
      <c r="B135">
        <v>900.69775133600001</v>
      </c>
      <c r="C135">
        <v>901.00339124200002</v>
      </c>
      <c r="D135">
        <v>445.36496587699997</v>
      </c>
      <c r="E135">
        <v>901.35649847000002</v>
      </c>
      <c r="F135">
        <v>375.210583434</v>
      </c>
      <c r="I135" t="s">
        <v>967</v>
      </c>
      <c r="J135">
        <v>328.91289599999999</v>
      </c>
      <c r="K135">
        <v>13.684735999999999</v>
      </c>
      <c r="L135">
        <v>16000</v>
      </c>
      <c r="M135">
        <v>15172.99712</v>
      </c>
      <c r="N135">
        <v>16000</v>
      </c>
    </row>
    <row r="136" spans="1:14" x14ac:dyDescent="0.2">
      <c r="A136" t="s">
        <v>968</v>
      </c>
      <c r="B136">
        <v>900.90898924700002</v>
      </c>
      <c r="C136">
        <v>13.941323619</v>
      </c>
      <c r="D136">
        <v>247.78415055299999</v>
      </c>
      <c r="E136">
        <v>707.400409653</v>
      </c>
      <c r="F136">
        <v>685.27386797300005</v>
      </c>
      <c r="I136" t="s">
        <v>968</v>
      </c>
      <c r="J136">
        <v>3693.0109440000001</v>
      </c>
      <c r="K136">
        <v>17.047552</v>
      </c>
      <c r="L136">
        <v>16000</v>
      </c>
      <c r="M136">
        <v>16000</v>
      </c>
      <c r="N136">
        <v>16000</v>
      </c>
    </row>
    <row r="137" spans="1:14" x14ac:dyDescent="0.2">
      <c r="A137" t="s">
        <v>969</v>
      </c>
      <c r="B137">
        <v>900.94846311200001</v>
      </c>
      <c r="C137">
        <v>13.794756867</v>
      </c>
      <c r="D137">
        <v>313.86192082100001</v>
      </c>
      <c r="E137">
        <v>799.57869366499995</v>
      </c>
      <c r="F137">
        <v>655.70206682800006</v>
      </c>
      <c r="I137" t="s">
        <v>969</v>
      </c>
      <c r="J137">
        <v>4932.9438719999998</v>
      </c>
      <c r="K137">
        <v>10.964992000000001</v>
      </c>
      <c r="L137">
        <v>16000</v>
      </c>
      <c r="M137">
        <v>16000</v>
      </c>
      <c r="N137">
        <v>16000</v>
      </c>
    </row>
    <row r="138" spans="1:14" x14ac:dyDescent="0.2">
      <c r="A138" t="s">
        <v>970</v>
      </c>
      <c r="B138">
        <v>900.79068190700002</v>
      </c>
      <c r="C138">
        <v>30.972836892</v>
      </c>
      <c r="D138">
        <v>387.22107886499998</v>
      </c>
      <c r="E138">
        <v>817.53879359400003</v>
      </c>
      <c r="F138">
        <v>588.46509837400004</v>
      </c>
      <c r="I138" t="s">
        <v>970</v>
      </c>
      <c r="J138">
        <v>1538.1790719999999</v>
      </c>
      <c r="K138">
        <v>10.514431999999999</v>
      </c>
      <c r="L138">
        <v>16000</v>
      </c>
      <c r="M138">
        <v>16000</v>
      </c>
      <c r="N138">
        <v>16000</v>
      </c>
    </row>
    <row r="139" spans="1:14" x14ac:dyDescent="0.2">
      <c r="A139" t="s">
        <v>971</v>
      </c>
      <c r="B139">
        <v>900.79864279399999</v>
      </c>
      <c r="C139">
        <v>5.1756050079999998</v>
      </c>
      <c r="D139">
        <v>274.65657055600002</v>
      </c>
      <c r="E139">
        <v>900.83351148199995</v>
      </c>
      <c r="F139">
        <v>307.73059558800003</v>
      </c>
      <c r="I139" t="s">
        <v>971</v>
      </c>
      <c r="J139">
        <v>1874.5794559999999</v>
      </c>
      <c r="K139">
        <v>10.8544</v>
      </c>
      <c r="L139">
        <v>16000</v>
      </c>
      <c r="M139">
        <v>10145.280000000001</v>
      </c>
      <c r="N139">
        <v>16000</v>
      </c>
    </row>
    <row r="140" spans="1:14" x14ac:dyDescent="0.2">
      <c r="A140" t="s">
        <v>972</v>
      </c>
      <c r="B140">
        <v>900.90372567300005</v>
      </c>
      <c r="C140">
        <v>65.515282455999994</v>
      </c>
      <c r="D140">
        <v>276.39855823800002</v>
      </c>
      <c r="E140">
        <v>901.03639334699994</v>
      </c>
      <c r="F140">
        <v>480.17590314099999</v>
      </c>
      <c r="I140" t="s">
        <v>972</v>
      </c>
      <c r="J140">
        <v>4095.2299520000001</v>
      </c>
      <c r="K140">
        <v>12.337152</v>
      </c>
      <c r="L140">
        <v>16000</v>
      </c>
      <c r="M140">
        <v>15004.7744</v>
      </c>
      <c r="N140">
        <v>16000</v>
      </c>
    </row>
    <row r="141" spans="1:14" x14ac:dyDescent="0.2">
      <c r="A141" t="s">
        <v>973</v>
      </c>
      <c r="B141">
        <v>900.83429346599996</v>
      </c>
      <c r="C141">
        <v>6.0062686709999999</v>
      </c>
      <c r="D141">
        <v>318.03187783999999</v>
      </c>
      <c r="E141">
        <v>825.18769141400003</v>
      </c>
      <c r="F141">
        <v>488.02787016600001</v>
      </c>
      <c r="I141" t="s">
        <v>973</v>
      </c>
      <c r="J141">
        <v>2346.8974079999998</v>
      </c>
      <c r="K141">
        <v>10.928127999999999</v>
      </c>
      <c r="L141">
        <v>16000</v>
      </c>
      <c r="M141">
        <v>16000</v>
      </c>
      <c r="N141">
        <v>16000</v>
      </c>
    </row>
    <row r="142" spans="1:14" x14ac:dyDescent="0.2">
      <c r="A142" t="s">
        <v>974</v>
      </c>
      <c r="B142">
        <v>900.93028137299996</v>
      </c>
      <c r="C142">
        <v>3.7792813179999998</v>
      </c>
      <c r="D142">
        <v>234.46538080400001</v>
      </c>
      <c r="E142">
        <v>900.80964833400003</v>
      </c>
      <c r="F142">
        <v>860.82649957599995</v>
      </c>
      <c r="I142" t="s">
        <v>974</v>
      </c>
      <c r="J142">
        <v>5206.884352</v>
      </c>
      <c r="K142">
        <v>10.006527999999999</v>
      </c>
      <c r="L142">
        <v>16000</v>
      </c>
      <c r="M142">
        <v>8771.7601279999999</v>
      </c>
      <c r="N142">
        <v>16000</v>
      </c>
    </row>
    <row r="143" spans="1:14" x14ac:dyDescent="0.2">
      <c r="A143" t="s">
        <v>975</v>
      </c>
      <c r="B143">
        <v>900.77986779699995</v>
      </c>
      <c r="C143">
        <v>107.979159994</v>
      </c>
      <c r="D143">
        <v>258.46980444500002</v>
      </c>
      <c r="E143">
        <v>900.81326489800006</v>
      </c>
      <c r="F143">
        <v>471.00332027399998</v>
      </c>
      <c r="I143" t="s">
        <v>975</v>
      </c>
      <c r="J143">
        <v>231.31750400000001</v>
      </c>
      <c r="K143">
        <v>16.052223999999999</v>
      </c>
      <c r="L143">
        <v>16000</v>
      </c>
      <c r="M143">
        <v>8304.6973440000002</v>
      </c>
      <c r="N143">
        <v>16000</v>
      </c>
    </row>
    <row r="144" spans="1:14" x14ac:dyDescent="0.2">
      <c r="A144" t="s">
        <v>976</v>
      </c>
      <c r="B144">
        <v>900.81806850099997</v>
      </c>
      <c r="C144">
        <v>4.185578317</v>
      </c>
      <c r="D144">
        <v>235.786291006</v>
      </c>
      <c r="E144">
        <v>603.54956849799999</v>
      </c>
      <c r="F144">
        <v>360.51183251700002</v>
      </c>
      <c r="I144" t="s">
        <v>976</v>
      </c>
      <c r="J144">
        <v>2655.6211199999998</v>
      </c>
      <c r="K144">
        <v>10.0352</v>
      </c>
      <c r="L144">
        <v>16000</v>
      </c>
      <c r="M144">
        <v>16000</v>
      </c>
      <c r="N144">
        <v>16000</v>
      </c>
    </row>
    <row r="145" spans="1:14" x14ac:dyDescent="0.2">
      <c r="A145" t="s">
        <v>977</v>
      </c>
      <c r="B145">
        <v>900.99076471800004</v>
      </c>
      <c r="C145">
        <v>4.0805743440000004</v>
      </c>
      <c r="D145">
        <v>395.26628126200001</v>
      </c>
      <c r="E145">
        <v>589.68770482699995</v>
      </c>
      <c r="F145">
        <v>900.94627722099995</v>
      </c>
      <c r="I145" t="s">
        <v>977</v>
      </c>
      <c r="J145">
        <v>5917.2986879999999</v>
      </c>
      <c r="K145">
        <v>10.69056</v>
      </c>
      <c r="L145">
        <v>16000</v>
      </c>
      <c r="M145">
        <v>16000</v>
      </c>
      <c r="N145">
        <v>9157.9432959999995</v>
      </c>
    </row>
    <row r="146" spans="1:14" x14ac:dyDescent="0.2">
      <c r="A146" t="s">
        <v>978</v>
      </c>
      <c r="B146">
        <v>900.932645278</v>
      </c>
      <c r="C146">
        <v>6.2135849309999998</v>
      </c>
      <c r="D146">
        <v>251.63941311900001</v>
      </c>
      <c r="E146">
        <v>674.36812564399997</v>
      </c>
      <c r="F146">
        <v>900.97405518699998</v>
      </c>
      <c r="I146" t="s">
        <v>978</v>
      </c>
      <c r="J146">
        <v>4835.8891519999997</v>
      </c>
      <c r="K146">
        <v>16.588799999999999</v>
      </c>
      <c r="L146">
        <v>16000</v>
      </c>
      <c r="M146">
        <v>16000</v>
      </c>
      <c r="N146">
        <v>8666.5297919999994</v>
      </c>
    </row>
    <row r="147" spans="1:14" x14ac:dyDescent="0.2">
      <c r="A147" t="s">
        <v>979</v>
      </c>
      <c r="B147">
        <v>0.31415659299999998</v>
      </c>
      <c r="C147">
        <v>1.0427747030000001</v>
      </c>
      <c r="D147">
        <v>236.77150342900001</v>
      </c>
      <c r="E147">
        <v>782.20751877500004</v>
      </c>
      <c r="F147">
        <v>900.95746463</v>
      </c>
      <c r="I147" t="s">
        <v>979</v>
      </c>
      <c r="J147">
        <v>29.888511999999999</v>
      </c>
      <c r="K147">
        <v>7.4178559999999996</v>
      </c>
      <c r="L147">
        <v>16000</v>
      </c>
      <c r="M147">
        <v>16000</v>
      </c>
      <c r="N147">
        <v>9373.6714240000001</v>
      </c>
    </row>
    <row r="148" spans="1:14" x14ac:dyDescent="0.2">
      <c r="A148" t="s">
        <v>980</v>
      </c>
      <c r="B148">
        <v>0.33215772599999999</v>
      </c>
      <c r="C148">
        <v>1.0727561999999999</v>
      </c>
      <c r="D148">
        <v>306.68264920199999</v>
      </c>
      <c r="E148">
        <v>691.00651817100004</v>
      </c>
      <c r="F148">
        <v>241.36001009</v>
      </c>
      <c r="I148" t="s">
        <v>980</v>
      </c>
      <c r="J148">
        <v>31.117311999999998</v>
      </c>
      <c r="K148">
        <v>7.4178559999999996</v>
      </c>
      <c r="L148">
        <v>16000</v>
      </c>
      <c r="M148">
        <v>16000</v>
      </c>
      <c r="N148">
        <v>16000</v>
      </c>
    </row>
    <row r="149" spans="1:14" x14ac:dyDescent="0.2">
      <c r="A149" t="s">
        <v>981</v>
      </c>
      <c r="B149">
        <v>0.34687832800000001</v>
      </c>
      <c r="C149">
        <v>1.1369246820000001</v>
      </c>
      <c r="D149">
        <v>230.87440232200001</v>
      </c>
      <c r="E149">
        <v>901.13898750299995</v>
      </c>
      <c r="F149">
        <v>420.31236422000001</v>
      </c>
      <c r="I149" t="s">
        <v>981</v>
      </c>
      <c r="J149">
        <v>32.247807999999999</v>
      </c>
      <c r="K149">
        <v>7.4260479999999998</v>
      </c>
      <c r="L149">
        <v>16000</v>
      </c>
      <c r="M149">
        <v>14969.774079999999</v>
      </c>
      <c r="N149">
        <v>16000</v>
      </c>
    </row>
    <row r="150" spans="1:14" x14ac:dyDescent="0.2">
      <c r="A150" t="s">
        <v>983</v>
      </c>
      <c r="B150">
        <v>901.00079842299999</v>
      </c>
      <c r="C150">
        <v>1.0679179130000001</v>
      </c>
      <c r="D150">
        <v>286.46572742400002</v>
      </c>
      <c r="E150">
        <v>662.27781862300003</v>
      </c>
      <c r="F150">
        <v>269.81448065199999</v>
      </c>
      <c r="I150" t="s">
        <v>983</v>
      </c>
      <c r="J150">
        <v>6354.2067200000001</v>
      </c>
      <c r="K150">
        <v>7.507968</v>
      </c>
      <c r="L150">
        <v>16000</v>
      </c>
      <c r="M150">
        <v>16000</v>
      </c>
      <c r="N150">
        <v>16000</v>
      </c>
    </row>
    <row r="151" spans="1:14" x14ac:dyDescent="0.2">
      <c r="A151" t="s">
        <v>984</v>
      </c>
      <c r="B151">
        <v>900.98803011200005</v>
      </c>
      <c r="C151">
        <v>1.1455373950000001</v>
      </c>
      <c r="D151">
        <v>250.789363288</v>
      </c>
      <c r="E151">
        <v>900.77883559999998</v>
      </c>
      <c r="F151">
        <v>751.81305029500004</v>
      </c>
      <c r="I151" t="s">
        <v>984</v>
      </c>
      <c r="J151">
        <v>5347.5573759999997</v>
      </c>
      <c r="K151">
        <v>7.4711040000000004</v>
      </c>
      <c r="L151">
        <v>16000</v>
      </c>
      <c r="M151">
        <v>8776.1510400000006</v>
      </c>
      <c r="N151">
        <v>16000</v>
      </c>
    </row>
    <row r="152" spans="1:14" x14ac:dyDescent="0.2">
      <c r="A152" t="s">
        <v>985</v>
      </c>
      <c r="B152">
        <v>900.72392840400005</v>
      </c>
      <c r="C152">
        <v>1.145083085</v>
      </c>
      <c r="D152">
        <v>305.01056910199998</v>
      </c>
      <c r="E152">
        <v>901.08244443599995</v>
      </c>
      <c r="F152">
        <v>625.52228361000004</v>
      </c>
      <c r="I152" t="s">
        <v>985</v>
      </c>
      <c r="J152">
        <v>1853.407232</v>
      </c>
      <c r="K152">
        <v>7.5038720000000003</v>
      </c>
      <c r="L152">
        <v>16000</v>
      </c>
      <c r="M152">
        <v>14930.464768</v>
      </c>
      <c r="N152">
        <v>16000</v>
      </c>
    </row>
    <row r="153" spans="1:14" x14ac:dyDescent="0.2">
      <c r="A153" t="s">
        <v>986</v>
      </c>
      <c r="B153">
        <v>900.81777397200005</v>
      </c>
      <c r="C153">
        <v>1.2227891280000001</v>
      </c>
      <c r="D153">
        <v>345.69724319099998</v>
      </c>
      <c r="E153">
        <v>754.51687681500005</v>
      </c>
      <c r="F153">
        <v>329.61227969100003</v>
      </c>
      <c r="I153" t="s">
        <v>986</v>
      </c>
      <c r="J153">
        <v>1954.22208</v>
      </c>
      <c r="K153">
        <v>7.5120639999999996</v>
      </c>
      <c r="L153">
        <v>16000</v>
      </c>
      <c r="M153">
        <v>16000</v>
      </c>
      <c r="N153">
        <v>16000</v>
      </c>
    </row>
    <row r="154" spans="1:14" x14ac:dyDescent="0.2">
      <c r="A154" t="s">
        <v>987</v>
      </c>
      <c r="B154">
        <v>0.353304642</v>
      </c>
      <c r="C154">
        <v>1.2415517599999999</v>
      </c>
      <c r="D154">
        <v>358.51379549400002</v>
      </c>
      <c r="E154">
        <v>756.57567970699995</v>
      </c>
      <c r="F154">
        <v>331.45483824399997</v>
      </c>
      <c r="I154" t="s">
        <v>987</v>
      </c>
      <c r="J154">
        <v>33.189888000000003</v>
      </c>
      <c r="K154">
        <v>7.4997759999999998</v>
      </c>
      <c r="L154">
        <v>16000</v>
      </c>
      <c r="M154">
        <v>16000</v>
      </c>
      <c r="N154">
        <v>16000</v>
      </c>
    </row>
    <row r="155" spans="1:14" x14ac:dyDescent="0.2">
      <c r="A155" t="s">
        <v>988</v>
      </c>
      <c r="B155">
        <v>0.36328237499999999</v>
      </c>
      <c r="C155">
        <v>0.61179676900000002</v>
      </c>
      <c r="D155">
        <v>286.59009589599998</v>
      </c>
      <c r="E155">
        <v>900.73143060500001</v>
      </c>
      <c r="F155">
        <v>580.61234234300002</v>
      </c>
      <c r="I155" t="s">
        <v>988</v>
      </c>
      <c r="J155">
        <v>33.583103999999999</v>
      </c>
      <c r="K155">
        <v>3.1825920000000001</v>
      </c>
      <c r="L155">
        <v>16000</v>
      </c>
      <c r="M155">
        <v>7379.1242240000001</v>
      </c>
      <c r="N155">
        <v>16000</v>
      </c>
    </row>
    <row r="156" spans="1:14" x14ac:dyDescent="0.2">
      <c r="A156" t="s">
        <v>989</v>
      </c>
      <c r="B156">
        <v>0.38816826300000001</v>
      </c>
      <c r="C156">
        <v>0.59930124699999998</v>
      </c>
      <c r="D156">
        <v>334.15315001099998</v>
      </c>
      <c r="E156">
        <v>900.73565080100002</v>
      </c>
      <c r="F156">
        <v>576.83813253999995</v>
      </c>
      <c r="I156" t="s">
        <v>989</v>
      </c>
      <c r="J156">
        <v>34.578431999999999</v>
      </c>
      <c r="K156">
        <v>3.1866880000000002</v>
      </c>
      <c r="L156">
        <v>16000</v>
      </c>
      <c r="M156">
        <v>7430.2750720000004</v>
      </c>
      <c r="N156">
        <v>16000</v>
      </c>
    </row>
    <row r="157" spans="1:14" x14ac:dyDescent="0.2">
      <c r="A157" t="s">
        <v>990</v>
      </c>
      <c r="B157">
        <v>0.43550106700000002</v>
      </c>
      <c r="C157">
        <v>0.64983621199999997</v>
      </c>
      <c r="D157">
        <v>240.748013421</v>
      </c>
      <c r="E157">
        <v>865.81533198</v>
      </c>
      <c r="F157">
        <v>275.95552676599999</v>
      </c>
      <c r="I157" t="s">
        <v>990</v>
      </c>
      <c r="J157">
        <v>36.818944000000002</v>
      </c>
      <c r="K157">
        <v>3.1743999999999999</v>
      </c>
      <c r="L157">
        <v>16000</v>
      </c>
      <c r="M157">
        <v>16000</v>
      </c>
      <c r="N157">
        <v>16000</v>
      </c>
    </row>
    <row r="158" spans="1:14" x14ac:dyDescent="0.2">
      <c r="A158" t="s">
        <v>991</v>
      </c>
      <c r="B158">
        <v>0.4269194</v>
      </c>
      <c r="C158">
        <v>0.59855913299999997</v>
      </c>
      <c r="D158">
        <v>258.24059554199999</v>
      </c>
      <c r="E158">
        <v>901.11088607299996</v>
      </c>
      <c r="F158">
        <v>304.54295888799999</v>
      </c>
      <c r="I158" t="s">
        <v>991</v>
      </c>
      <c r="J158">
        <v>37.003264000000001</v>
      </c>
      <c r="K158">
        <v>3.1825920000000001</v>
      </c>
      <c r="L158">
        <v>16000</v>
      </c>
      <c r="M158">
        <v>14930.759679999999</v>
      </c>
      <c r="N158">
        <v>16000</v>
      </c>
    </row>
    <row r="159" spans="1:14" x14ac:dyDescent="0.2">
      <c r="A159" t="s">
        <v>992</v>
      </c>
      <c r="B159">
        <v>0.46312501499999997</v>
      </c>
      <c r="C159">
        <v>0.58014813799999998</v>
      </c>
      <c r="D159">
        <v>242.97418495100001</v>
      </c>
      <c r="E159">
        <v>897.86626549799996</v>
      </c>
      <c r="F159">
        <v>901.11610701200004</v>
      </c>
      <c r="I159" t="s">
        <v>992</v>
      </c>
      <c r="J159">
        <v>38.641663999999999</v>
      </c>
      <c r="K159">
        <v>3.1825920000000001</v>
      </c>
      <c r="L159">
        <v>16000</v>
      </c>
      <c r="M159">
        <v>16000</v>
      </c>
      <c r="N159">
        <v>11087.314944</v>
      </c>
    </row>
    <row r="160" spans="1:14" x14ac:dyDescent="0.2">
      <c r="A160" t="s">
        <v>993</v>
      </c>
      <c r="B160">
        <v>0.48315084899999999</v>
      </c>
      <c r="C160">
        <v>0.56506208400000002</v>
      </c>
      <c r="D160">
        <v>227.788611014</v>
      </c>
      <c r="E160">
        <v>901.12989532200004</v>
      </c>
      <c r="F160">
        <v>312.29015045</v>
      </c>
      <c r="I160" t="s">
        <v>993</v>
      </c>
      <c r="J160">
        <v>39.833599999999997</v>
      </c>
      <c r="K160">
        <v>3.162112</v>
      </c>
      <c r="L160">
        <v>16000</v>
      </c>
      <c r="M160">
        <v>14891.057151999999</v>
      </c>
      <c r="N160">
        <v>16000</v>
      </c>
    </row>
    <row r="161" spans="1:14" x14ac:dyDescent="0.2">
      <c r="A161" t="s">
        <v>994</v>
      </c>
      <c r="B161">
        <v>0.51285254300000005</v>
      </c>
      <c r="C161">
        <v>0.568825303</v>
      </c>
      <c r="D161">
        <v>256.34232049600001</v>
      </c>
      <c r="E161">
        <v>746.57821592000005</v>
      </c>
      <c r="F161">
        <v>859.38169605500002</v>
      </c>
      <c r="I161" t="s">
        <v>994</v>
      </c>
      <c r="J161">
        <v>41.725951999999999</v>
      </c>
      <c r="K161">
        <v>3.1580159999999999</v>
      </c>
      <c r="L161">
        <v>16000</v>
      </c>
      <c r="M161">
        <v>16000</v>
      </c>
      <c r="N161">
        <v>16000</v>
      </c>
    </row>
    <row r="162" spans="1:14" x14ac:dyDescent="0.2">
      <c r="A162" t="s">
        <v>995</v>
      </c>
      <c r="B162">
        <v>0.57100404800000004</v>
      </c>
      <c r="C162">
        <v>0.55977568700000002</v>
      </c>
      <c r="D162">
        <v>239.04418958900001</v>
      </c>
      <c r="E162">
        <v>570.86494316200003</v>
      </c>
      <c r="F162">
        <v>311.643517266</v>
      </c>
      <c r="I162" t="s">
        <v>995</v>
      </c>
      <c r="J162">
        <v>44.523519999999998</v>
      </c>
      <c r="K162">
        <v>3.1825920000000001</v>
      </c>
      <c r="L162">
        <v>16000</v>
      </c>
      <c r="M162">
        <v>16000</v>
      </c>
      <c r="N162">
        <v>16000</v>
      </c>
    </row>
    <row r="163" spans="1:14" x14ac:dyDescent="0.2">
      <c r="A163" t="s">
        <v>996</v>
      </c>
      <c r="B163">
        <v>0.39714550100000001</v>
      </c>
      <c r="C163">
        <v>0.65452885199999999</v>
      </c>
      <c r="D163">
        <v>239.28766783200001</v>
      </c>
      <c r="E163">
        <v>813.23098905100005</v>
      </c>
      <c r="F163">
        <v>328.82778323399998</v>
      </c>
      <c r="I163" t="s">
        <v>996</v>
      </c>
      <c r="J163">
        <v>36.626432000000001</v>
      </c>
      <c r="K163">
        <v>3.1662080000000001</v>
      </c>
      <c r="L163">
        <v>16000</v>
      </c>
      <c r="M163">
        <v>16000</v>
      </c>
      <c r="N163">
        <v>16000</v>
      </c>
    </row>
    <row r="164" spans="1:14" x14ac:dyDescent="0.2">
      <c r="A164" t="s">
        <v>997</v>
      </c>
      <c r="B164">
        <v>0.42563447300000001</v>
      </c>
      <c r="C164">
        <v>1.2533375659999999</v>
      </c>
      <c r="D164">
        <v>258.41481858700001</v>
      </c>
      <c r="E164">
        <v>901.03297192000002</v>
      </c>
      <c r="F164">
        <v>314.83853890500001</v>
      </c>
      <c r="I164" t="s">
        <v>997</v>
      </c>
      <c r="J164">
        <v>38.297600000000003</v>
      </c>
      <c r="K164">
        <v>8.0281599999999997</v>
      </c>
      <c r="L164">
        <v>16000</v>
      </c>
      <c r="M164">
        <v>14910.472191999999</v>
      </c>
      <c r="N164">
        <v>16000</v>
      </c>
    </row>
    <row r="165" spans="1:14" x14ac:dyDescent="0.2">
      <c r="A165" t="s">
        <v>998</v>
      </c>
      <c r="B165">
        <v>0.43349689899999999</v>
      </c>
      <c r="C165">
        <v>1.2205416280000001</v>
      </c>
      <c r="D165">
        <v>384.91719468100001</v>
      </c>
      <c r="E165">
        <v>828.50521643599996</v>
      </c>
      <c r="F165">
        <v>382.59614033899999</v>
      </c>
      <c r="I165" t="s">
        <v>998</v>
      </c>
      <c r="J165">
        <v>38.957056000000001</v>
      </c>
      <c r="K165">
        <v>7.9544319999999997</v>
      </c>
      <c r="L165">
        <v>16000</v>
      </c>
      <c r="M165">
        <v>16000</v>
      </c>
      <c r="N165">
        <v>16000</v>
      </c>
    </row>
    <row r="166" spans="1:14" x14ac:dyDescent="0.2">
      <c r="A166" t="s">
        <v>999</v>
      </c>
      <c r="B166">
        <v>0.45611652400000002</v>
      </c>
      <c r="C166">
        <v>1.2508747259999999</v>
      </c>
      <c r="D166">
        <v>385.39433057899998</v>
      </c>
      <c r="E166">
        <v>834.22791353100001</v>
      </c>
      <c r="F166">
        <v>361.34888046499998</v>
      </c>
      <c r="I166" t="s">
        <v>999</v>
      </c>
      <c r="J166">
        <v>39.510016</v>
      </c>
      <c r="K166">
        <v>8.0322560000000003</v>
      </c>
      <c r="L166">
        <v>16000</v>
      </c>
      <c r="M166">
        <v>16000</v>
      </c>
      <c r="N166">
        <v>16000</v>
      </c>
    </row>
    <row r="167" spans="1:14" x14ac:dyDescent="0.2">
      <c r="A167" t="s">
        <v>1000</v>
      </c>
      <c r="B167">
        <v>0.51318612799999996</v>
      </c>
      <c r="C167">
        <v>1.2764500759999999</v>
      </c>
      <c r="D167">
        <v>261.67438487099997</v>
      </c>
      <c r="E167">
        <v>519.21344740100005</v>
      </c>
      <c r="F167">
        <v>610.57680147899998</v>
      </c>
      <c r="I167" t="s">
        <v>1000</v>
      </c>
      <c r="J167">
        <v>42.975231999999998</v>
      </c>
      <c r="K167">
        <v>7.9994880000000004</v>
      </c>
      <c r="L167">
        <v>16000</v>
      </c>
      <c r="M167">
        <v>16000</v>
      </c>
      <c r="N167">
        <v>16000</v>
      </c>
    </row>
    <row r="168" spans="1:14" x14ac:dyDescent="0.2">
      <c r="A168" t="s">
        <v>1001</v>
      </c>
      <c r="B168">
        <v>0.51268309899999998</v>
      </c>
      <c r="C168">
        <v>1.260143163</v>
      </c>
      <c r="D168">
        <v>235.53142177199999</v>
      </c>
      <c r="E168">
        <v>900.90492355699996</v>
      </c>
      <c r="F168">
        <v>505.47076003000001</v>
      </c>
      <c r="I168" t="s">
        <v>1001</v>
      </c>
      <c r="J168">
        <v>42.20928</v>
      </c>
      <c r="K168">
        <v>8.0240639999999992</v>
      </c>
      <c r="L168">
        <v>16000</v>
      </c>
      <c r="M168">
        <v>9915.5435519999992</v>
      </c>
      <c r="N168">
        <v>16000</v>
      </c>
    </row>
    <row r="169" spans="1:14" x14ac:dyDescent="0.2">
      <c r="A169" t="s">
        <v>1002</v>
      </c>
      <c r="B169">
        <v>0.55771033299999995</v>
      </c>
      <c r="C169">
        <v>1.345610129</v>
      </c>
      <c r="D169">
        <v>292.54950083199998</v>
      </c>
      <c r="E169">
        <v>900.98597761799999</v>
      </c>
      <c r="F169">
        <v>900.77313423400005</v>
      </c>
      <c r="I169" t="s">
        <v>1002</v>
      </c>
      <c r="J169">
        <v>45.264896</v>
      </c>
      <c r="K169">
        <v>8.0281599999999997</v>
      </c>
      <c r="L169">
        <v>16000</v>
      </c>
      <c r="M169">
        <v>15330.816000000001</v>
      </c>
      <c r="N169">
        <v>10000.5888</v>
      </c>
    </row>
    <row r="170" spans="1:14" x14ac:dyDescent="0.2">
      <c r="A170" t="s">
        <v>1003</v>
      </c>
      <c r="B170">
        <v>0.61486386100000001</v>
      </c>
      <c r="C170">
        <v>1.3474661489999999</v>
      </c>
      <c r="D170">
        <v>259.89299405000003</v>
      </c>
      <c r="E170">
        <v>901.12883448399998</v>
      </c>
      <c r="F170">
        <v>725.29241300599995</v>
      </c>
      <c r="I170" t="s">
        <v>1003</v>
      </c>
      <c r="J170">
        <v>48.459775999999998</v>
      </c>
      <c r="K170">
        <v>8.0486400000000007</v>
      </c>
      <c r="L170">
        <v>16000</v>
      </c>
      <c r="M170">
        <v>15059.476479999999</v>
      </c>
      <c r="N170">
        <v>16000</v>
      </c>
    </row>
    <row r="171" spans="1:14" x14ac:dyDescent="0.2">
      <c r="A171" t="s">
        <v>1004</v>
      </c>
      <c r="B171">
        <v>0.64915046600000004</v>
      </c>
      <c r="C171">
        <v>3.3874837100000001</v>
      </c>
      <c r="D171">
        <v>275.90569621899999</v>
      </c>
      <c r="E171">
        <v>901.27909736900006</v>
      </c>
      <c r="F171">
        <v>306.87938292500002</v>
      </c>
      <c r="I171" t="s">
        <v>1004</v>
      </c>
      <c r="J171">
        <v>50.778112</v>
      </c>
      <c r="K171">
        <v>17.457152000000001</v>
      </c>
      <c r="L171">
        <v>16000</v>
      </c>
      <c r="M171">
        <v>15984.381952</v>
      </c>
      <c r="N171">
        <v>16000</v>
      </c>
    </row>
    <row r="172" spans="1:14" x14ac:dyDescent="0.2">
      <c r="C172">
        <v>3.3978079609999998</v>
      </c>
      <c r="D172">
        <v>297.64236547799999</v>
      </c>
      <c r="E172">
        <v>901.12417811399996</v>
      </c>
      <c r="F172">
        <v>816.742567947</v>
      </c>
      <c r="K172">
        <v>17.477632</v>
      </c>
      <c r="L172">
        <v>16000</v>
      </c>
      <c r="M172">
        <v>15057.567744</v>
      </c>
      <c r="N172">
        <v>16000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1D85-A802-4EF4-8203-BE433AB6F1C7}">
  <dimension ref="A1:O91"/>
  <sheetViews>
    <sheetView topLeftCell="I1" zoomScale="63" zoomScaleNormal="50" workbookViewId="0">
      <selection activeCell="AN25" sqref="AN25"/>
    </sheetView>
  </sheetViews>
  <sheetFormatPr baseColWidth="10" defaultColWidth="8.83203125" defaultRowHeight="15" x14ac:dyDescent="0.2"/>
  <cols>
    <col min="1" max="1" width="11.1640625" bestFit="1" customWidth="1"/>
    <col min="2" max="2" width="11.6640625" bestFit="1" customWidth="1"/>
    <col min="3" max="3" width="16" bestFit="1" customWidth="1"/>
    <col min="5" max="5" width="15.1640625" bestFit="1" customWidth="1"/>
    <col min="10" max="10" width="11.1640625" bestFit="1" customWidth="1"/>
    <col min="11" max="11" width="12.6640625" bestFit="1" customWidth="1"/>
    <col min="12" max="12" width="15.33203125" bestFit="1" customWidth="1"/>
    <col min="13" max="13" width="12" bestFit="1" customWidth="1"/>
    <col min="14" max="14" width="14.1640625" bestFit="1" customWidth="1"/>
    <col min="15" max="15" width="12.5" bestFit="1" customWidth="1"/>
  </cols>
  <sheetData>
    <row r="1" spans="1:15" x14ac:dyDescent="0.2">
      <c r="A1" t="s">
        <v>784</v>
      </c>
      <c r="B1" t="s">
        <v>1120</v>
      </c>
      <c r="C1" t="s">
        <v>1111</v>
      </c>
      <c r="D1" t="s">
        <v>1015</v>
      </c>
      <c r="E1" t="s">
        <v>1017</v>
      </c>
      <c r="F1" t="s">
        <v>831</v>
      </c>
      <c r="J1" t="s">
        <v>784</v>
      </c>
      <c r="K1" t="s">
        <v>1115</v>
      </c>
      <c r="L1" t="s">
        <v>1116</v>
      </c>
      <c r="M1" t="s">
        <v>1016</v>
      </c>
      <c r="N1" t="s">
        <v>830</v>
      </c>
      <c r="O1" t="s">
        <v>1018</v>
      </c>
    </row>
    <row r="2" spans="1:15" x14ac:dyDescent="0.2">
      <c r="A2" t="s">
        <v>1019</v>
      </c>
      <c r="B2">
        <v>3.6760888999999998E-2</v>
      </c>
      <c r="C2">
        <v>1.3500669970000001</v>
      </c>
      <c r="D2">
        <v>0.112576778</v>
      </c>
      <c r="E2">
        <v>0.11676247300000001</v>
      </c>
      <c r="F2">
        <v>0.102610805</v>
      </c>
      <c r="J2" t="s">
        <v>1019</v>
      </c>
      <c r="K2">
        <v>4.6284799999999997</v>
      </c>
      <c r="L2">
        <v>4.5219839999999998</v>
      </c>
      <c r="M2">
        <v>6.3283199999999997</v>
      </c>
      <c r="N2">
        <v>6.1972480000000001</v>
      </c>
      <c r="O2">
        <v>6.1931520000000004</v>
      </c>
    </row>
    <row r="3" spans="1:15" x14ac:dyDescent="0.2">
      <c r="A3" t="s">
        <v>1020</v>
      </c>
      <c r="B3">
        <v>2.8130930780000001</v>
      </c>
      <c r="C3">
        <v>0.69035540699999998</v>
      </c>
      <c r="D3">
        <v>2.84156977</v>
      </c>
      <c r="E3">
        <v>3.1006338119999999</v>
      </c>
      <c r="F3">
        <v>2.8968663480000001</v>
      </c>
      <c r="J3" t="s">
        <v>1020</v>
      </c>
      <c r="K3">
        <v>45.707264000000002</v>
      </c>
      <c r="L3">
        <v>4.0304640000000003</v>
      </c>
      <c r="M3">
        <v>6.6969599999999998</v>
      </c>
      <c r="N3">
        <v>6.5986560000000001</v>
      </c>
      <c r="O3">
        <v>6.5617919999999996</v>
      </c>
    </row>
    <row r="4" spans="1:15" x14ac:dyDescent="0.2">
      <c r="A4" t="s">
        <v>1021</v>
      </c>
      <c r="B4">
        <v>47.590023115999998</v>
      </c>
      <c r="C4">
        <v>0.69037317499999995</v>
      </c>
      <c r="D4">
        <v>48.333348209999997</v>
      </c>
      <c r="E4">
        <v>49.136650009</v>
      </c>
      <c r="F4">
        <v>48.459245586999998</v>
      </c>
      <c r="J4" t="s">
        <v>1021</v>
      </c>
      <c r="K4">
        <v>415.62521600000002</v>
      </c>
      <c r="L4">
        <v>4.0960000000000001</v>
      </c>
      <c r="M4">
        <v>6.9918719999999999</v>
      </c>
      <c r="N4">
        <v>6.8567039999999997</v>
      </c>
      <c r="O4">
        <v>6.9017600000000003</v>
      </c>
    </row>
    <row r="5" spans="1:15" x14ac:dyDescent="0.2">
      <c r="A5" t="s">
        <v>1022</v>
      </c>
      <c r="B5">
        <v>900.96818929000005</v>
      </c>
      <c r="C5">
        <v>0.69506425599999999</v>
      </c>
      <c r="D5">
        <v>901.00027503900003</v>
      </c>
      <c r="E5">
        <v>901.00157390100003</v>
      </c>
      <c r="F5">
        <v>901.002709106</v>
      </c>
      <c r="J5" t="s">
        <v>1022</v>
      </c>
      <c r="K5">
        <v>5828.9233919999997</v>
      </c>
      <c r="L5">
        <v>4.0222720000000001</v>
      </c>
      <c r="M5">
        <v>7.3236480000000004</v>
      </c>
      <c r="N5">
        <v>7.254016</v>
      </c>
      <c r="O5">
        <v>7.254016</v>
      </c>
    </row>
    <row r="6" spans="1:15" x14ac:dyDescent="0.2">
      <c r="A6" t="s">
        <v>1023</v>
      </c>
      <c r="B6">
        <v>901.00209502099995</v>
      </c>
      <c r="C6">
        <v>0.69999036800000003</v>
      </c>
      <c r="D6">
        <v>901.00263383100003</v>
      </c>
      <c r="E6">
        <v>901.00181766000003</v>
      </c>
      <c r="F6">
        <v>900.99725093200004</v>
      </c>
      <c r="J6" t="s">
        <v>1023</v>
      </c>
      <c r="K6">
        <v>4755.5993600000002</v>
      </c>
      <c r="L6">
        <v>4.0386559999999996</v>
      </c>
      <c r="M6">
        <v>7.9134719999999996</v>
      </c>
      <c r="N6">
        <v>7.5161600000000002</v>
      </c>
      <c r="O6">
        <v>7.5980800000000004</v>
      </c>
    </row>
    <row r="7" spans="1:15" x14ac:dyDescent="0.2">
      <c r="A7" t="s">
        <v>1024</v>
      </c>
      <c r="B7">
        <v>900.90026603900003</v>
      </c>
      <c r="C7">
        <v>0.69704843900000002</v>
      </c>
      <c r="D7">
        <v>900.46385791399996</v>
      </c>
      <c r="E7">
        <v>900.606204617</v>
      </c>
      <c r="F7">
        <v>900.62724787299999</v>
      </c>
      <c r="J7" t="s">
        <v>1024</v>
      </c>
      <c r="K7">
        <v>4926.8244480000003</v>
      </c>
      <c r="L7">
        <v>4.1615359999999999</v>
      </c>
      <c r="M7">
        <v>8.3722239999999992</v>
      </c>
      <c r="N7">
        <v>7.9175680000000002</v>
      </c>
      <c r="O7">
        <v>7.9134719999999996</v>
      </c>
    </row>
    <row r="8" spans="1:15" x14ac:dyDescent="0.2">
      <c r="A8" t="s">
        <v>1025</v>
      </c>
      <c r="B8">
        <v>900.91762509700004</v>
      </c>
      <c r="C8">
        <v>0.68926343999999995</v>
      </c>
      <c r="D8">
        <v>900.317365827</v>
      </c>
      <c r="E8">
        <v>900.57390462900003</v>
      </c>
      <c r="F8">
        <v>900.587552964</v>
      </c>
      <c r="J8" t="s">
        <v>1025</v>
      </c>
      <c r="K8">
        <v>4829.175808</v>
      </c>
      <c r="L8">
        <v>4.0345599999999999</v>
      </c>
      <c r="M8">
        <v>8.8268799999999992</v>
      </c>
      <c r="N8">
        <v>8.4746240000000004</v>
      </c>
      <c r="O8">
        <v>8.5278720000000003</v>
      </c>
    </row>
    <row r="9" spans="1:15" x14ac:dyDescent="0.2">
      <c r="A9" t="s">
        <v>1026</v>
      </c>
      <c r="B9">
        <v>900.85239782899998</v>
      </c>
      <c r="C9">
        <v>0.69785540800000001</v>
      </c>
      <c r="D9">
        <v>900.56415408700002</v>
      </c>
      <c r="E9">
        <v>900.55980494400001</v>
      </c>
      <c r="F9">
        <v>900.593005221</v>
      </c>
      <c r="J9" t="s">
        <v>1026</v>
      </c>
      <c r="K9">
        <v>3386.6752000000001</v>
      </c>
      <c r="L9">
        <v>4.1123839999999996</v>
      </c>
      <c r="M9">
        <v>10.018815999999999</v>
      </c>
      <c r="N9">
        <v>8.8268799999999992</v>
      </c>
      <c r="O9">
        <v>8.9620479999999993</v>
      </c>
    </row>
    <row r="10" spans="1:15" x14ac:dyDescent="0.2">
      <c r="A10" t="s">
        <v>1027</v>
      </c>
      <c r="B10">
        <v>900.69757861899996</v>
      </c>
      <c r="C10">
        <v>0.69706136100000005</v>
      </c>
      <c r="D10">
        <v>900.49929923900004</v>
      </c>
      <c r="E10">
        <v>900.48886139900003</v>
      </c>
      <c r="F10">
        <v>900.62511521900001</v>
      </c>
      <c r="J10" t="s">
        <v>1027</v>
      </c>
      <c r="K10">
        <v>29.409279999999999</v>
      </c>
      <c r="L10">
        <v>4.0263679999999997</v>
      </c>
      <c r="M10">
        <v>9.6256000000000004</v>
      </c>
      <c r="N10">
        <v>9.2241920000000004</v>
      </c>
      <c r="O10">
        <v>9.2405760000000008</v>
      </c>
    </row>
    <row r="11" spans="1:15" x14ac:dyDescent="0.2">
      <c r="A11" t="s">
        <v>1028</v>
      </c>
      <c r="B11">
        <v>1.4992862360000001</v>
      </c>
      <c r="C11">
        <v>5.2055731280000002</v>
      </c>
      <c r="D11">
        <v>1.176530842</v>
      </c>
      <c r="E11">
        <v>1.1896825529999999</v>
      </c>
      <c r="F11">
        <v>1.153946672</v>
      </c>
      <c r="J11" t="s">
        <v>1028</v>
      </c>
      <c r="K11">
        <v>13.348864000000001</v>
      </c>
      <c r="L11">
        <v>7.8151679999999999</v>
      </c>
      <c r="M11">
        <v>7.2581119999999997</v>
      </c>
      <c r="N11">
        <v>6.7215360000000004</v>
      </c>
      <c r="O11">
        <v>6.7624959999999996</v>
      </c>
    </row>
    <row r="12" spans="1:15" x14ac:dyDescent="0.2">
      <c r="A12" t="s">
        <v>1029</v>
      </c>
      <c r="B12">
        <v>23.549590503000001</v>
      </c>
      <c r="C12">
        <v>4.505479759</v>
      </c>
      <c r="D12">
        <v>16.807068467000001</v>
      </c>
      <c r="E12">
        <v>16.816384222</v>
      </c>
      <c r="F12">
        <v>17.221681088</v>
      </c>
      <c r="J12" t="s">
        <v>1029</v>
      </c>
      <c r="K12">
        <v>168.78796800000001</v>
      </c>
      <c r="L12">
        <v>7.8397439999999996</v>
      </c>
      <c r="M12">
        <v>13.021184</v>
      </c>
      <c r="N12">
        <v>7.5161600000000002</v>
      </c>
      <c r="O12">
        <v>7.6513280000000004</v>
      </c>
    </row>
    <row r="13" spans="1:15" x14ac:dyDescent="0.2">
      <c r="A13" t="s">
        <v>1030</v>
      </c>
      <c r="B13">
        <v>213.71024798400001</v>
      </c>
      <c r="C13">
        <v>4.1700678900000003</v>
      </c>
      <c r="D13">
        <v>152.107668872</v>
      </c>
      <c r="E13">
        <v>149.539492276</v>
      </c>
      <c r="F13">
        <v>149.64532529300001</v>
      </c>
      <c r="J13" t="s">
        <v>1030</v>
      </c>
      <c r="K13">
        <v>1129.6890880000001</v>
      </c>
      <c r="L13">
        <v>7.6595199999999997</v>
      </c>
      <c r="M13">
        <v>78.917631999999998</v>
      </c>
      <c r="N13">
        <v>8.3025920000000006</v>
      </c>
      <c r="O13">
        <v>8.6958079999999995</v>
      </c>
    </row>
    <row r="14" spans="1:15" x14ac:dyDescent="0.2">
      <c r="A14" t="s">
        <v>1031</v>
      </c>
      <c r="B14">
        <v>900.72650018100001</v>
      </c>
      <c r="C14">
        <v>4.3989832780000002</v>
      </c>
      <c r="D14">
        <v>901.01205639900002</v>
      </c>
      <c r="E14">
        <v>900.40765734199999</v>
      </c>
      <c r="F14">
        <v>900.45720542200002</v>
      </c>
      <c r="J14" t="s">
        <v>1031</v>
      </c>
      <c r="K14">
        <v>79.495168000000007</v>
      </c>
      <c r="L14">
        <v>7.4874879999999999</v>
      </c>
      <c r="M14">
        <v>101.76512</v>
      </c>
      <c r="N14">
        <v>9.3511679999999995</v>
      </c>
      <c r="O14">
        <v>9.4822399999999991</v>
      </c>
    </row>
    <row r="15" spans="1:15" x14ac:dyDescent="0.2">
      <c r="A15" t="s">
        <v>1032</v>
      </c>
      <c r="B15">
        <v>900.75089162699999</v>
      </c>
      <c r="C15">
        <v>5.3829933179999996</v>
      </c>
      <c r="D15">
        <v>900.49836832599999</v>
      </c>
      <c r="E15">
        <v>900.55780081299997</v>
      </c>
      <c r="F15">
        <v>900.33519087100001</v>
      </c>
      <c r="J15" t="s">
        <v>1032</v>
      </c>
      <c r="K15">
        <v>116.363264</v>
      </c>
      <c r="L15">
        <v>7.7701120000000001</v>
      </c>
      <c r="M15">
        <v>31.772672</v>
      </c>
      <c r="N15">
        <v>9.4453759999999996</v>
      </c>
      <c r="O15">
        <v>12.763135999999999</v>
      </c>
    </row>
    <row r="16" spans="1:15" x14ac:dyDescent="0.2">
      <c r="A16" t="s">
        <v>1033</v>
      </c>
      <c r="B16">
        <v>900.75763968399997</v>
      </c>
      <c r="C16">
        <v>2.3162434890000001</v>
      </c>
      <c r="D16">
        <v>900.64608491599995</v>
      </c>
      <c r="E16">
        <v>900.57493953699998</v>
      </c>
      <c r="F16">
        <v>900.55694487799997</v>
      </c>
      <c r="J16" t="s">
        <v>1033</v>
      </c>
      <c r="K16">
        <v>1262.6862080000001</v>
      </c>
      <c r="L16">
        <v>7.3646079999999996</v>
      </c>
      <c r="M16">
        <v>51.163136000000002</v>
      </c>
      <c r="N16">
        <v>12.402687999999999</v>
      </c>
      <c r="O16">
        <v>38.412287999999997</v>
      </c>
    </row>
    <row r="17" spans="1:15" x14ac:dyDescent="0.2">
      <c r="A17" t="s">
        <v>1034</v>
      </c>
      <c r="B17">
        <v>900.75233026800004</v>
      </c>
      <c r="C17">
        <v>0.84457325900000002</v>
      </c>
      <c r="D17">
        <v>900.65055078900002</v>
      </c>
      <c r="E17">
        <v>900.28162654000005</v>
      </c>
      <c r="F17">
        <v>900.28867023199996</v>
      </c>
      <c r="J17" t="s">
        <v>1034</v>
      </c>
      <c r="K17">
        <v>761.33990400000005</v>
      </c>
      <c r="L17">
        <v>5.6238080000000004</v>
      </c>
      <c r="M17">
        <v>421.04831999999999</v>
      </c>
      <c r="N17">
        <v>17.334271999999999</v>
      </c>
      <c r="O17">
        <v>59.817984000000003</v>
      </c>
    </row>
    <row r="18" spans="1:15" x14ac:dyDescent="0.2">
      <c r="A18" t="s">
        <v>1035</v>
      </c>
      <c r="B18">
        <v>900.69345829400004</v>
      </c>
      <c r="C18">
        <v>0.82696074200000003</v>
      </c>
      <c r="D18">
        <v>900.94669834299998</v>
      </c>
      <c r="E18">
        <v>900.51202771999999</v>
      </c>
      <c r="F18">
        <v>900.60726083300005</v>
      </c>
      <c r="J18" t="s">
        <v>1035</v>
      </c>
      <c r="K18">
        <v>26.296320000000001</v>
      </c>
      <c r="L18">
        <v>9.0112000000000005</v>
      </c>
      <c r="M18">
        <v>7845.7528320000001</v>
      </c>
      <c r="N18">
        <v>76.333055999999999</v>
      </c>
      <c r="O18">
        <v>707.04742399999998</v>
      </c>
    </row>
    <row r="19" spans="1:15" x14ac:dyDescent="0.2">
      <c r="A19" t="s">
        <v>1036</v>
      </c>
      <c r="B19">
        <v>900.78652858299995</v>
      </c>
      <c r="C19">
        <v>0.72581151300000002</v>
      </c>
      <c r="D19">
        <v>900.42187422400002</v>
      </c>
      <c r="E19">
        <v>900.43999998899994</v>
      </c>
      <c r="F19">
        <v>900.63986642899999</v>
      </c>
      <c r="J19" t="s">
        <v>1036</v>
      </c>
      <c r="K19">
        <v>1808.8714239999999</v>
      </c>
      <c r="L19">
        <v>4.2311680000000003</v>
      </c>
      <c r="M19">
        <v>725.40569600000003</v>
      </c>
      <c r="N19">
        <v>33.501184000000002</v>
      </c>
      <c r="O19">
        <v>397.54547200000002</v>
      </c>
    </row>
    <row r="20" spans="1:15" x14ac:dyDescent="0.2">
      <c r="A20" t="s">
        <v>1037</v>
      </c>
      <c r="B20">
        <v>900.77013510100005</v>
      </c>
      <c r="C20">
        <v>10.465808414</v>
      </c>
      <c r="D20">
        <v>901.023330418</v>
      </c>
      <c r="E20">
        <v>901.00434332299994</v>
      </c>
      <c r="F20">
        <v>901.00386247400002</v>
      </c>
      <c r="J20" t="s">
        <v>1037</v>
      </c>
      <c r="K20">
        <v>105.435136</v>
      </c>
      <c r="L20">
        <v>10.829824</v>
      </c>
      <c r="M20">
        <v>274.08793600000001</v>
      </c>
      <c r="N20">
        <v>10.911744000000001</v>
      </c>
      <c r="O20">
        <v>12.767232</v>
      </c>
    </row>
    <row r="21" spans="1:15" x14ac:dyDescent="0.2">
      <c r="A21" t="s">
        <v>1038</v>
      </c>
      <c r="B21">
        <v>900.74977125400005</v>
      </c>
      <c r="C21">
        <v>237.321831116</v>
      </c>
      <c r="D21">
        <v>900.55485027700001</v>
      </c>
      <c r="E21">
        <v>900.488247935</v>
      </c>
      <c r="F21">
        <v>900.75656670000001</v>
      </c>
      <c r="J21" t="s">
        <v>1038</v>
      </c>
      <c r="K21">
        <v>41.365504000000001</v>
      </c>
      <c r="L21">
        <v>20.787199999999999</v>
      </c>
      <c r="M21">
        <v>275.95571200000001</v>
      </c>
      <c r="N21">
        <v>11.321344</v>
      </c>
      <c r="O21">
        <v>13.156352</v>
      </c>
    </row>
    <row r="22" spans="1:15" x14ac:dyDescent="0.2">
      <c r="A22" t="s">
        <v>1039</v>
      </c>
      <c r="B22">
        <v>900.54074981999997</v>
      </c>
      <c r="C22">
        <v>22.431120881999998</v>
      </c>
      <c r="D22">
        <v>900.60671619100003</v>
      </c>
      <c r="E22">
        <v>900.45866372199998</v>
      </c>
      <c r="F22">
        <v>900.72519436000005</v>
      </c>
      <c r="J22" t="s">
        <v>1039</v>
      </c>
      <c r="K22">
        <v>12.47232</v>
      </c>
      <c r="L22">
        <v>10.563584000000001</v>
      </c>
      <c r="M22">
        <v>1038.3482879999999</v>
      </c>
      <c r="N22">
        <v>20.889600000000002</v>
      </c>
      <c r="O22">
        <v>27.967487999999999</v>
      </c>
    </row>
    <row r="23" spans="1:15" x14ac:dyDescent="0.2">
      <c r="A23" t="s">
        <v>1040</v>
      </c>
      <c r="B23">
        <v>900.769289007</v>
      </c>
      <c r="C23">
        <v>7.9663161999999996</v>
      </c>
      <c r="D23">
        <v>352.25189193099999</v>
      </c>
      <c r="E23">
        <v>900.54871417000004</v>
      </c>
      <c r="F23">
        <v>900.77032449499995</v>
      </c>
      <c r="J23" t="s">
        <v>1040</v>
      </c>
      <c r="K23">
        <v>15.736832</v>
      </c>
      <c r="L23">
        <v>10.6496</v>
      </c>
      <c r="M23">
        <v>16000</v>
      </c>
      <c r="N23">
        <v>1352.183808</v>
      </c>
      <c r="O23">
        <v>2248.7162880000001</v>
      </c>
    </row>
    <row r="24" spans="1:15" x14ac:dyDescent="0.2">
      <c r="A24" t="s">
        <v>1041</v>
      </c>
      <c r="B24">
        <v>900.78168913699994</v>
      </c>
      <c r="C24">
        <v>8.2008451979999997</v>
      </c>
      <c r="D24">
        <v>363.07352179399999</v>
      </c>
      <c r="E24">
        <v>900.72441632000005</v>
      </c>
      <c r="F24">
        <v>900.702116553</v>
      </c>
      <c r="J24" t="s">
        <v>1041</v>
      </c>
      <c r="K24">
        <v>18.325503999999999</v>
      </c>
      <c r="L24">
        <v>10.645504000000001</v>
      </c>
      <c r="M24">
        <v>16000</v>
      </c>
      <c r="N24">
        <v>1870.3155200000001</v>
      </c>
      <c r="O24">
        <v>2290.2702079999999</v>
      </c>
    </row>
    <row r="25" spans="1:15" x14ac:dyDescent="0.2">
      <c r="A25" t="s">
        <v>1042</v>
      </c>
      <c r="B25">
        <v>900.76334058700002</v>
      </c>
      <c r="C25">
        <v>8.9767814169999998</v>
      </c>
      <c r="D25">
        <v>504.89603783799998</v>
      </c>
      <c r="E25">
        <v>900.88287345499998</v>
      </c>
      <c r="F25">
        <v>901.32678059499995</v>
      </c>
      <c r="J25" t="s">
        <v>1042</v>
      </c>
      <c r="K25">
        <v>20.631551999999999</v>
      </c>
      <c r="L25">
        <v>9.3757439999999992</v>
      </c>
      <c r="M25">
        <v>16000</v>
      </c>
      <c r="N25">
        <v>7639.2488960000001</v>
      </c>
      <c r="O25">
        <v>15190.368256</v>
      </c>
    </row>
    <row r="26" spans="1:15" x14ac:dyDescent="0.2">
      <c r="A26" t="s">
        <v>1043</v>
      </c>
      <c r="B26">
        <v>900.70047884600001</v>
      </c>
      <c r="C26">
        <v>2.6882832919999999</v>
      </c>
      <c r="D26">
        <v>341.68712385399999</v>
      </c>
      <c r="E26">
        <v>623.10625450800001</v>
      </c>
      <c r="F26">
        <v>230.39695430500001</v>
      </c>
      <c r="J26" t="s">
        <v>1043</v>
      </c>
      <c r="K26">
        <v>23.670784000000001</v>
      </c>
      <c r="L26">
        <v>9.4986239999999995</v>
      </c>
      <c r="M26">
        <v>16000</v>
      </c>
      <c r="N26">
        <v>16000</v>
      </c>
      <c r="O26">
        <v>16000</v>
      </c>
    </row>
    <row r="27" spans="1:15" x14ac:dyDescent="0.2">
      <c r="A27" t="s">
        <v>1044</v>
      </c>
      <c r="B27">
        <v>900.74569722800004</v>
      </c>
      <c r="C27">
        <v>2.7828299150000002</v>
      </c>
      <c r="D27">
        <v>269.39371121300002</v>
      </c>
      <c r="E27">
        <v>727.03524810800002</v>
      </c>
      <c r="F27">
        <v>238.99841170100001</v>
      </c>
      <c r="J27" t="s">
        <v>1044</v>
      </c>
      <c r="K27">
        <v>26.271744000000002</v>
      </c>
      <c r="L27">
        <v>9.5518719999999995</v>
      </c>
      <c r="M27">
        <v>16000</v>
      </c>
      <c r="N27">
        <v>16000</v>
      </c>
      <c r="O27">
        <v>16000</v>
      </c>
    </row>
    <row r="28" spans="1:15" x14ac:dyDescent="0.2">
      <c r="A28" t="s">
        <v>1045</v>
      </c>
      <c r="B28">
        <v>900.75200207800003</v>
      </c>
      <c r="C28">
        <v>4.4427802920000001</v>
      </c>
      <c r="D28">
        <v>316.08627189200001</v>
      </c>
      <c r="E28">
        <v>408.10758049600003</v>
      </c>
      <c r="F28">
        <v>257.44440100399999</v>
      </c>
      <c r="J28" t="s">
        <v>1045</v>
      </c>
      <c r="K28">
        <v>128.67583999999999</v>
      </c>
      <c r="L28">
        <v>10.534912</v>
      </c>
      <c r="M28">
        <v>16000</v>
      </c>
      <c r="N28">
        <v>16000</v>
      </c>
      <c r="O28">
        <v>16000</v>
      </c>
    </row>
    <row r="29" spans="1:15" x14ac:dyDescent="0.2">
      <c r="A29" t="s">
        <v>1046</v>
      </c>
      <c r="B29">
        <v>900.83711838099998</v>
      </c>
      <c r="C29">
        <v>23.950073409000002</v>
      </c>
      <c r="D29">
        <v>900.66514474200005</v>
      </c>
      <c r="E29">
        <v>900.72005330000002</v>
      </c>
      <c r="F29">
        <v>900.71965971199995</v>
      </c>
      <c r="J29" t="s">
        <v>1046</v>
      </c>
      <c r="K29">
        <v>2492.7846399999999</v>
      </c>
      <c r="L29">
        <v>10.379263999999999</v>
      </c>
      <c r="M29">
        <v>33.943551999999997</v>
      </c>
      <c r="N29">
        <v>23.90016</v>
      </c>
      <c r="O29">
        <v>60.211199999999998</v>
      </c>
    </row>
    <row r="30" spans="1:15" x14ac:dyDescent="0.2">
      <c r="A30" t="s">
        <v>1047</v>
      </c>
      <c r="B30">
        <v>900.76873198600003</v>
      </c>
      <c r="C30">
        <v>7.1756226920000001</v>
      </c>
      <c r="D30">
        <v>900.76302212999997</v>
      </c>
      <c r="E30">
        <v>900.74158389399997</v>
      </c>
      <c r="F30">
        <v>900.41648357500003</v>
      </c>
      <c r="J30" t="s">
        <v>1047</v>
      </c>
      <c r="K30">
        <v>478.36364800000001</v>
      </c>
      <c r="L30">
        <v>9.1791359999999997</v>
      </c>
      <c r="M30">
        <v>561.29535999999996</v>
      </c>
      <c r="N30">
        <v>281.45663999999999</v>
      </c>
      <c r="O30">
        <v>768.10239999999999</v>
      </c>
    </row>
    <row r="31" spans="1:15" x14ac:dyDescent="0.2">
      <c r="A31" t="s">
        <v>1048</v>
      </c>
      <c r="B31">
        <v>900.73436756000001</v>
      </c>
      <c r="C31">
        <v>2.7962630819999998</v>
      </c>
      <c r="D31">
        <v>900.67187615700004</v>
      </c>
      <c r="E31">
        <v>900.62656542299999</v>
      </c>
      <c r="F31">
        <v>901.083921369</v>
      </c>
      <c r="J31" t="s">
        <v>1048</v>
      </c>
      <c r="K31">
        <v>1893.597184</v>
      </c>
      <c r="L31">
        <v>8.7818240000000003</v>
      </c>
      <c r="M31">
        <v>2480.3246079999999</v>
      </c>
      <c r="N31">
        <v>2054.5986560000001</v>
      </c>
      <c r="O31">
        <v>9165.8526720000009</v>
      </c>
    </row>
    <row r="32" spans="1:15" x14ac:dyDescent="0.2">
      <c r="A32" t="s">
        <v>1049</v>
      </c>
      <c r="B32">
        <v>900.757429462</v>
      </c>
      <c r="C32">
        <v>3.0994193619999999</v>
      </c>
      <c r="D32">
        <v>901.01818298000001</v>
      </c>
      <c r="E32">
        <v>900.67174980100003</v>
      </c>
      <c r="F32">
        <v>901.27995832700003</v>
      </c>
      <c r="J32" t="s">
        <v>1049</v>
      </c>
      <c r="K32">
        <v>1829.1507200000001</v>
      </c>
      <c r="L32">
        <v>8.8637440000000005</v>
      </c>
      <c r="M32">
        <v>8407.7936640000007</v>
      </c>
      <c r="N32">
        <v>2128.1341440000001</v>
      </c>
      <c r="O32">
        <v>10449.317888</v>
      </c>
    </row>
    <row r="33" spans="1:15" x14ac:dyDescent="0.2">
      <c r="A33" t="s">
        <v>1050</v>
      </c>
      <c r="B33">
        <v>900.79090684400001</v>
      </c>
      <c r="C33">
        <v>394.12494129200002</v>
      </c>
      <c r="D33">
        <v>900.95290756700001</v>
      </c>
      <c r="E33">
        <v>900.692187343</v>
      </c>
      <c r="F33">
        <v>901.082885584</v>
      </c>
      <c r="J33" t="s">
        <v>1050</v>
      </c>
      <c r="K33">
        <v>2269.2126720000001</v>
      </c>
      <c r="L33">
        <v>19.460096</v>
      </c>
      <c r="M33">
        <v>8426.7950079999991</v>
      </c>
      <c r="N33">
        <v>2066.9235199999998</v>
      </c>
      <c r="O33">
        <v>10101.583871999999</v>
      </c>
    </row>
    <row r="34" spans="1:15" x14ac:dyDescent="0.2">
      <c r="A34" t="s">
        <v>1051</v>
      </c>
      <c r="B34">
        <v>900.78473819199996</v>
      </c>
      <c r="C34">
        <v>1.820336612</v>
      </c>
      <c r="D34">
        <v>266.272871834</v>
      </c>
      <c r="E34">
        <v>668.34748224400005</v>
      </c>
      <c r="F34">
        <v>256.78763682300001</v>
      </c>
      <c r="J34" t="s">
        <v>1051</v>
      </c>
      <c r="K34">
        <v>1834.4427519999999</v>
      </c>
      <c r="L34">
        <v>8.6958079999999995</v>
      </c>
      <c r="M34">
        <v>16000</v>
      </c>
      <c r="N34">
        <v>16000</v>
      </c>
      <c r="O34">
        <v>16000</v>
      </c>
    </row>
    <row r="35" spans="1:15" x14ac:dyDescent="0.2">
      <c r="A35" t="s">
        <v>1052</v>
      </c>
      <c r="B35">
        <v>900.77610190500002</v>
      </c>
      <c r="C35">
        <v>1.0951011070000001</v>
      </c>
      <c r="D35">
        <v>307.44254313200003</v>
      </c>
      <c r="E35">
        <v>654.71062634099997</v>
      </c>
      <c r="F35">
        <v>285.33420842300001</v>
      </c>
      <c r="J35" t="s">
        <v>1052</v>
      </c>
      <c r="K35">
        <v>1702.3754240000001</v>
      </c>
      <c r="L35">
        <v>7.5939839999999998</v>
      </c>
      <c r="M35">
        <v>16000</v>
      </c>
      <c r="N35">
        <v>16000</v>
      </c>
      <c r="O35">
        <v>16000</v>
      </c>
    </row>
    <row r="36" spans="1:15" x14ac:dyDescent="0.2">
      <c r="A36" t="s">
        <v>1053</v>
      </c>
      <c r="B36">
        <v>900.75868876699997</v>
      </c>
      <c r="C36">
        <v>1.146465979</v>
      </c>
      <c r="D36">
        <v>334.28958532199999</v>
      </c>
      <c r="E36">
        <v>592.18702674500003</v>
      </c>
      <c r="F36">
        <v>267.27299018899998</v>
      </c>
      <c r="J36" t="s">
        <v>1053</v>
      </c>
      <c r="K36">
        <v>1604.8660480000001</v>
      </c>
      <c r="L36">
        <v>7.7987840000000004</v>
      </c>
      <c r="M36">
        <v>16000</v>
      </c>
      <c r="N36">
        <v>16000</v>
      </c>
      <c r="O36">
        <v>16000</v>
      </c>
    </row>
    <row r="37" spans="1:15" x14ac:dyDescent="0.2">
      <c r="A37" t="s">
        <v>1054</v>
      </c>
      <c r="B37">
        <v>900.98376791999999</v>
      </c>
      <c r="C37">
        <v>1.2266385310000001</v>
      </c>
      <c r="D37">
        <v>466.617252501</v>
      </c>
      <c r="E37">
        <v>803.98657676799996</v>
      </c>
      <c r="F37">
        <v>247.22610993000001</v>
      </c>
      <c r="J37" t="s">
        <v>1054</v>
      </c>
      <c r="K37">
        <v>5507.7928959999999</v>
      </c>
      <c r="L37">
        <v>7.7660159999999996</v>
      </c>
      <c r="M37">
        <v>16000</v>
      </c>
      <c r="N37">
        <v>16000</v>
      </c>
      <c r="O37">
        <v>16000</v>
      </c>
    </row>
    <row r="38" spans="1:15" x14ac:dyDescent="0.2">
      <c r="A38" t="s">
        <v>1055</v>
      </c>
      <c r="B38">
        <v>900.80650474699996</v>
      </c>
      <c r="C38">
        <v>2.5971272179999998</v>
      </c>
      <c r="D38">
        <v>490.56377439800002</v>
      </c>
      <c r="E38">
        <v>900.64535636000005</v>
      </c>
      <c r="F38">
        <v>900.72024278100002</v>
      </c>
      <c r="J38" t="s">
        <v>1055</v>
      </c>
      <c r="K38">
        <v>441.64710400000001</v>
      </c>
      <c r="L38">
        <v>10.752000000000001</v>
      </c>
      <c r="M38">
        <v>16000</v>
      </c>
      <c r="N38">
        <v>1022.09536</v>
      </c>
      <c r="O38">
        <v>1198.280704</v>
      </c>
    </row>
    <row r="39" spans="1:15" x14ac:dyDescent="0.2">
      <c r="A39" t="s">
        <v>1056</v>
      </c>
      <c r="B39">
        <v>900.62386793799999</v>
      </c>
      <c r="C39">
        <v>1.9241600599999999</v>
      </c>
      <c r="D39">
        <v>900.51390483900002</v>
      </c>
      <c r="E39">
        <v>900.71610469699999</v>
      </c>
      <c r="F39">
        <v>900.69569900900001</v>
      </c>
      <c r="J39" t="s">
        <v>1056</v>
      </c>
      <c r="K39">
        <v>2562.7484159999999</v>
      </c>
      <c r="L39">
        <v>10.752000000000001</v>
      </c>
      <c r="M39">
        <v>621.98169600000006</v>
      </c>
      <c r="N39">
        <v>76.353536000000005</v>
      </c>
      <c r="O39">
        <v>145.01888</v>
      </c>
    </row>
    <row r="40" spans="1:15" x14ac:dyDescent="0.2">
      <c r="A40" t="s">
        <v>1057</v>
      </c>
      <c r="B40">
        <v>900.84085813299998</v>
      </c>
      <c r="C40">
        <v>12.335172748</v>
      </c>
      <c r="D40">
        <v>712.81715030099997</v>
      </c>
      <c r="E40">
        <v>900.72809303400004</v>
      </c>
      <c r="F40">
        <v>900.64698202299996</v>
      </c>
      <c r="J40" t="s">
        <v>1057</v>
      </c>
      <c r="K40">
        <v>2767.2371199999998</v>
      </c>
      <c r="L40">
        <v>11.263999999999999</v>
      </c>
      <c r="M40">
        <v>16000</v>
      </c>
      <c r="N40">
        <v>3702.4358400000001</v>
      </c>
      <c r="O40">
        <v>3783.180288</v>
      </c>
    </row>
    <row r="41" spans="1:15" x14ac:dyDescent="0.2">
      <c r="A41" t="s">
        <v>1058</v>
      </c>
      <c r="B41">
        <v>901.01944450999997</v>
      </c>
      <c r="C41">
        <v>21.613704549000001</v>
      </c>
      <c r="D41">
        <v>296.79090823400003</v>
      </c>
      <c r="E41">
        <v>479.18724326699999</v>
      </c>
      <c r="F41">
        <v>337.84640346399999</v>
      </c>
      <c r="J41" t="s">
        <v>1058</v>
      </c>
      <c r="K41">
        <v>6738.0674559999998</v>
      </c>
      <c r="L41">
        <v>13.299712</v>
      </c>
      <c r="M41">
        <v>16000</v>
      </c>
      <c r="N41">
        <v>16000</v>
      </c>
      <c r="O41">
        <v>16000</v>
      </c>
    </row>
    <row r="42" spans="1:15" x14ac:dyDescent="0.2">
      <c r="A42" t="s">
        <v>1059</v>
      </c>
      <c r="B42">
        <v>900.81091344000004</v>
      </c>
      <c r="C42">
        <v>22.382690664999998</v>
      </c>
      <c r="D42">
        <v>328.85356646499997</v>
      </c>
      <c r="E42">
        <v>900.88055774400004</v>
      </c>
      <c r="F42">
        <v>901.32596099600005</v>
      </c>
      <c r="J42" t="s">
        <v>1059</v>
      </c>
      <c r="K42">
        <v>1058.4227840000001</v>
      </c>
      <c r="L42">
        <v>16.859135999999999</v>
      </c>
      <c r="M42">
        <v>16000</v>
      </c>
      <c r="N42">
        <v>9062.5597440000001</v>
      </c>
      <c r="O42">
        <v>15237.4272</v>
      </c>
    </row>
    <row r="43" spans="1:15" x14ac:dyDescent="0.2">
      <c r="A43" t="s">
        <v>1060</v>
      </c>
      <c r="B43">
        <v>900.855011666</v>
      </c>
      <c r="C43">
        <v>42.038208922999999</v>
      </c>
      <c r="D43">
        <v>257.00031512300001</v>
      </c>
      <c r="E43">
        <v>901.256588964</v>
      </c>
      <c r="F43">
        <v>314.08582267100002</v>
      </c>
      <c r="J43" t="s">
        <v>1060</v>
      </c>
      <c r="K43">
        <v>4087.7588479999999</v>
      </c>
      <c r="L43">
        <v>17.231871999999999</v>
      </c>
      <c r="M43">
        <v>16000</v>
      </c>
      <c r="N43">
        <v>14989.443072</v>
      </c>
      <c r="O43">
        <v>16000</v>
      </c>
    </row>
    <row r="44" spans="1:15" x14ac:dyDescent="0.2">
      <c r="A44" t="s">
        <v>1061</v>
      </c>
      <c r="B44">
        <v>900.95517601200004</v>
      </c>
      <c r="C44">
        <v>42.485472497000004</v>
      </c>
      <c r="D44">
        <v>294.535845241</v>
      </c>
      <c r="E44">
        <v>900.97958470900005</v>
      </c>
      <c r="F44">
        <v>319.30130795000002</v>
      </c>
      <c r="J44" t="s">
        <v>1061</v>
      </c>
      <c r="K44">
        <v>4594.921472</v>
      </c>
      <c r="L44">
        <v>17.334271999999999</v>
      </c>
      <c r="M44">
        <v>16000</v>
      </c>
      <c r="N44">
        <v>15025.561600000001</v>
      </c>
      <c r="O44">
        <v>16000</v>
      </c>
    </row>
    <row r="45" spans="1:15" x14ac:dyDescent="0.2">
      <c r="A45" t="s">
        <v>1062</v>
      </c>
      <c r="B45">
        <v>900.91927556500002</v>
      </c>
      <c r="C45">
        <v>42.251910942999999</v>
      </c>
      <c r="D45">
        <v>331.31139919200001</v>
      </c>
      <c r="E45">
        <v>900.96560698799999</v>
      </c>
      <c r="F45">
        <v>312.20783092400001</v>
      </c>
      <c r="J45" t="s">
        <v>1062</v>
      </c>
      <c r="K45">
        <v>4396.2122239999999</v>
      </c>
      <c r="L45">
        <v>17.34656</v>
      </c>
      <c r="M45">
        <v>16000</v>
      </c>
      <c r="N45">
        <v>9435.7913599999993</v>
      </c>
      <c r="O45">
        <v>16000</v>
      </c>
    </row>
    <row r="46" spans="1:15" x14ac:dyDescent="0.2">
      <c r="A46" t="s">
        <v>1063</v>
      </c>
      <c r="B46">
        <v>900.79674105100003</v>
      </c>
      <c r="C46">
        <v>50.481164560000003</v>
      </c>
      <c r="D46">
        <v>250.72438263199999</v>
      </c>
      <c r="E46">
        <v>617.85073844600004</v>
      </c>
      <c r="F46">
        <v>310.91431795300002</v>
      </c>
      <c r="J46" t="s">
        <v>1063</v>
      </c>
      <c r="K46">
        <v>801.652736</v>
      </c>
      <c r="L46">
        <v>12.775423999999999</v>
      </c>
      <c r="M46">
        <v>16000</v>
      </c>
      <c r="N46">
        <v>16000</v>
      </c>
      <c r="O46">
        <v>16000</v>
      </c>
    </row>
    <row r="47" spans="1:15" x14ac:dyDescent="0.2">
      <c r="A47" t="s">
        <v>1064</v>
      </c>
      <c r="B47">
        <v>900.70903408499998</v>
      </c>
      <c r="C47">
        <v>38.828188828000002</v>
      </c>
      <c r="D47">
        <v>342.52406618499998</v>
      </c>
      <c r="E47">
        <v>900.71906323899998</v>
      </c>
      <c r="F47">
        <v>900.76394856399997</v>
      </c>
      <c r="J47" t="s">
        <v>1064</v>
      </c>
      <c r="K47">
        <v>5082.2840319999996</v>
      </c>
      <c r="L47">
        <v>18.7392</v>
      </c>
      <c r="M47">
        <v>16000</v>
      </c>
      <c r="N47">
        <v>98.705408000000006</v>
      </c>
      <c r="O47">
        <v>325.75897600000002</v>
      </c>
    </row>
    <row r="48" spans="1:15" x14ac:dyDescent="0.2">
      <c r="A48" t="s">
        <v>1065</v>
      </c>
      <c r="B48">
        <v>900.88492541899996</v>
      </c>
      <c r="C48">
        <v>6.912212426</v>
      </c>
      <c r="D48">
        <v>471.00320042599998</v>
      </c>
      <c r="E48">
        <v>900.64149188199997</v>
      </c>
      <c r="F48">
        <v>901.31878277099997</v>
      </c>
      <c r="J48" t="s">
        <v>1065</v>
      </c>
      <c r="K48">
        <v>4345.7699839999996</v>
      </c>
      <c r="L48">
        <v>10.862591999999999</v>
      </c>
      <c r="M48">
        <v>16000</v>
      </c>
      <c r="N48">
        <v>3908.5137920000002</v>
      </c>
      <c r="O48">
        <v>14566.998016</v>
      </c>
    </row>
    <row r="49" spans="1:15" x14ac:dyDescent="0.2">
      <c r="A49" t="s">
        <v>1066</v>
      </c>
      <c r="B49">
        <v>900.84600819000002</v>
      </c>
      <c r="C49">
        <v>4.5376078240000002</v>
      </c>
      <c r="D49">
        <v>243.255597913</v>
      </c>
      <c r="E49">
        <v>900.88669275500001</v>
      </c>
      <c r="F49">
        <v>254.812579943</v>
      </c>
      <c r="J49" t="s">
        <v>1066</v>
      </c>
      <c r="K49">
        <v>4045.963264</v>
      </c>
      <c r="L49">
        <v>10.645504000000001</v>
      </c>
      <c r="M49">
        <v>16000</v>
      </c>
      <c r="N49">
        <v>8457.6993280000006</v>
      </c>
      <c r="O49">
        <v>16000</v>
      </c>
    </row>
    <row r="50" spans="1:15" x14ac:dyDescent="0.2">
      <c r="A50" t="s">
        <v>1067</v>
      </c>
      <c r="B50">
        <v>900.834447125</v>
      </c>
      <c r="C50">
        <v>4.611081671</v>
      </c>
      <c r="D50">
        <v>251.46731956799999</v>
      </c>
      <c r="E50">
        <v>901.34783365800001</v>
      </c>
      <c r="F50">
        <v>262.10746786800001</v>
      </c>
      <c r="J50" t="s">
        <v>1067</v>
      </c>
      <c r="K50">
        <v>2535.5960319999999</v>
      </c>
      <c r="L50">
        <v>10.702847999999999</v>
      </c>
      <c r="M50">
        <v>16000</v>
      </c>
      <c r="N50">
        <v>15177.928704</v>
      </c>
      <c r="O50">
        <v>16000</v>
      </c>
    </row>
    <row r="51" spans="1:15" x14ac:dyDescent="0.2">
      <c r="A51" t="s">
        <v>1068</v>
      </c>
      <c r="B51">
        <v>900.805864681</v>
      </c>
      <c r="C51">
        <v>5.5514072829999996</v>
      </c>
      <c r="D51">
        <v>266.97374978699997</v>
      </c>
      <c r="E51">
        <v>900.90840958800004</v>
      </c>
      <c r="F51">
        <v>283.349060114</v>
      </c>
      <c r="J51" t="s">
        <v>1068</v>
      </c>
      <c r="K51">
        <v>3009.0649600000002</v>
      </c>
      <c r="L51">
        <v>10.821631999999999</v>
      </c>
      <c r="M51">
        <v>16000</v>
      </c>
      <c r="N51">
        <v>10642.460671999999</v>
      </c>
      <c r="O51">
        <v>16000</v>
      </c>
    </row>
    <row r="52" spans="1:15" x14ac:dyDescent="0.2">
      <c r="A52" t="s">
        <v>1069</v>
      </c>
      <c r="B52">
        <v>900.94947806300002</v>
      </c>
      <c r="C52">
        <v>5.5454174490000003</v>
      </c>
      <c r="D52">
        <v>266.99391716299999</v>
      </c>
      <c r="E52">
        <v>901.01250177099996</v>
      </c>
      <c r="F52">
        <v>363.61319399600001</v>
      </c>
      <c r="J52" t="s">
        <v>1069</v>
      </c>
      <c r="K52">
        <v>5466.2758400000002</v>
      </c>
      <c r="L52">
        <v>10.809343999999999</v>
      </c>
      <c r="M52">
        <v>16000</v>
      </c>
      <c r="N52">
        <v>15242.67008</v>
      </c>
      <c r="O52">
        <v>16000</v>
      </c>
    </row>
    <row r="53" spans="1:15" x14ac:dyDescent="0.2">
      <c r="A53" t="s">
        <v>1070</v>
      </c>
      <c r="B53">
        <v>900.94304416199998</v>
      </c>
      <c r="C53">
        <v>7.5289793129999998</v>
      </c>
      <c r="D53">
        <v>356.90721315899998</v>
      </c>
      <c r="E53">
        <v>862.44701335599996</v>
      </c>
      <c r="F53">
        <v>472.68406186700003</v>
      </c>
      <c r="J53" t="s">
        <v>1070</v>
      </c>
      <c r="K53">
        <v>5503.1070719999998</v>
      </c>
      <c r="L53">
        <v>10.81344</v>
      </c>
      <c r="M53">
        <v>16000</v>
      </c>
      <c r="N53">
        <v>16000</v>
      </c>
      <c r="O53">
        <v>16000</v>
      </c>
    </row>
    <row r="54" spans="1:15" x14ac:dyDescent="0.2">
      <c r="A54" t="s">
        <v>1071</v>
      </c>
      <c r="B54">
        <v>900.88539872900003</v>
      </c>
      <c r="C54">
        <v>9.2376000190000003</v>
      </c>
      <c r="D54">
        <v>261.43500637699998</v>
      </c>
      <c r="E54">
        <v>901.217523594</v>
      </c>
      <c r="F54">
        <v>338.11076025300002</v>
      </c>
      <c r="J54" t="s">
        <v>1071</v>
      </c>
      <c r="K54">
        <v>4496.9205760000004</v>
      </c>
      <c r="L54">
        <v>10.973184</v>
      </c>
      <c r="M54">
        <v>16000</v>
      </c>
      <c r="N54">
        <v>15205.388288</v>
      </c>
      <c r="O54">
        <v>16000</v>
      </c>
    </row>
    <row r="55" spans="1:15" x14ac:dyDescent="0.2">
      <c r="A55" t="s">
        <v>1072</v>
      </c>
      <c r="B55">
        <v>900.76256523500001</v>
      </c>
      <c r="C55">
        <v>51.214838632000003</v>
      </c>
      <c r="D55">
        <v>287.66383600900002</v>
      </c>
      <c r="E55">
        <v>725.231264528</v>
      </c>
      <c r="F55">
        <v>258.91102145600001</v>
      </c>
      <c r="J55" t="s">
        <v>1072</v>
      </c>
      <c r="K55">
        <v>94.613504000000006</v>
      </c>
      <c r="L55">
        <v>13.33248</v>
      </c>
      <c r="M55">
        <v>16000</v>
      </c>
      <c r="N55">
        <v>16000</v>
      </c>
      <c r="O55">
        <v>16000</v>
      </c>
    </row>
    <row r="56" spans="1:15" x14ac:dyDescent="0.2">
      <c r="A56" t="s">
        <v>1073</v>
      </c>
      <c r="B56">
        <v>900.867815769</v>
      </c>
      <c r="C56">
        <v>50.399141475999997</v>
      </c>
      <c r="D56">
        <v>278.68518135599999</v>
      </c>
      <c r="E56">
        <v>900.90000783999994</v>
      </c>
      <c r="F56">
        <v>519.07757447200004</v>
      </c>
      <c r="J56" t="s">
        <v>1073</v>
      </c>
      <c r="K56">
        <v>2291.8635519999998</v>
      </c>
      <c r="L56">
        <v>13.365247999999999</v>
      </c>
      <c r="M56">
        <v>16000</v>
      </c>
      <c r="N56">
        <v>10475.364352000001</v>
      </c>
      <c r="O56">
        <v>16000</v>
      </c>
    </row>
    <row r="57" spans="1:15" x14ac:dyDescent="0.2">
      <c r="A57" t="s">
        <v>1074</v>
      </c>
      <c r="B57">
        <v>900.84368534299995</v>
      </c>
      <c r="C57">
        <v>77.210103330999999</v>
      </c>
      <c r="D57">
        <v>270.873135838</v>
      </c>
      <c r="E57">
        <v>900.94933401499998</v>
      </c>
      <c r="F57">
        <v>464.69782447699998</v>
      </c>
      <c r="J57" t="s">
        <v>1074</v>
      </c>
      <c r="K57">
        <v>2261.2664319999999</v>
      </c>
      <c r="L57">
        <v>14.008319999999999</v>
      </c>
      <c r="M57">
        <v>16000</v>
      </c>
      <c r="N57">
        <v>8886.2023680000002</v>
      </c>
      <c r="O57">
        <v>16000</v>
      </c>
    </row>
    <row r="58" spans="1:15" x14ac:dyDescent="0.2">
      <c r="A58" t="s">
        <v>1075</v>
      </c>
      <c r="B58">
        <v>900.83690600099999</v>
      </c>
      <c r="C58">
        <v>77.044158796999994</v>
      </c>
      <c r="D58">
        <v>287.843376154</v>
      </c>
      <c r="E58">
        <v>901.29002294099996</v>
      </c>
      <c r="F58">
        <v>212.691106636</v>
      </c>
      <c r="J58" t="s">
        <v>1075</v>
      </c>
      <c r="K58">
        <v>1893.9166720000001</v>
      </c>
      <c r="L58">
        <v>13.901824</v>
      </c>
      <c r="M58">
        <v>16000</v>
      </c>
      <c r="N58">
        <v>15393.263616</v>
      </c>
      <c r="O58">
        <v>16000</v>
      </c>
    </row>
    <row r="59" spans="1:15" x14ac:dyDescent="0.2">
      <c r="A59" t="s">
        <v>1076</v>
      </c>
      <c r="B59">
        <v>900.825601216</v>
      </c>
      <c r="C59">
        <v>92.537275596000001</v>
      </c>
      <c r="D59">
        <v>333.97865297499999</v>
      </c>
      <c r="E59">
        <v>901.23950296199996</v>
      </c>
      <c r="F59">
        <v>214.80258224900001</v>
      </c>
      <c r="J59" t="s">
        <v>1076</v>
      </c>
      <c r="K59">
        <v>1930.391552</v>
      </c>
      <c r="L59">
        <v>14.409727999999999</v>
      </c>
      <c r="M59">
        <v>16000</v>
      </c>
      <c r="N59">
        <v>14962.64704</v>
      </c>
      <c r="O59">
        <v>16000</v>
      </c>
    </row>
    <row r="60" spans="1:15" x14ac:dyDescent="0.2">
      <c r="A60" t="s">
        <v>1077</v>
      </c>
      <c r="B60">
        <v>900.87022650400002</v>
      </c>
      <c r="C60">
        <v>98.781555151000006</v>
      </c>
      <c r="D60">
        <v>410.31732945599998</v>
      </c>
      <c r="E60">
        <v>901.31750307300001</v>
      </c>
      <c r="F60">
        <v>219.961516725</v>
      </c>
      <c r="J60" t="s">
        <v>1077</v>
      </c>
      <c r="K60">
        <v>2403.5532800000001</v>
      </c>
      <c r="L60">
        <v>14.385152</v>
      </c>
      <c r="M60">
        <v>16000</v>
      </c>
      <c r="N60">
        <v>15203.602432</v>
      </c>
      <c r="O60">
        <v>16000</v>
      </c>
    </row>
    <row r="61" spans="1:15" x14ac:dyDescent="0.2">
      <c r="A61" t="s">
        <v>1078</v>
      </c>
      <c r="B61">
        <v>900.84096275000002</v>
      </c>
      <c r="C61">
        <v>103.653996487</v>
      </c>
      <c r="D61">
        <v>336.01508636599999</v>
      </c>
      <c r="E61">
        <v>901.05161878800004</v>
      </c>
      <c r="F61">
        <v>233.11989704000001</v>
      </c>
      <c r="J61" t="s">
        <v>1078</v>
      </c>
      <c r="K61">
        <v>2372.6243840000002</v>
      </c>
      <c r="L61">
        <v>14.52032</v>
      </c>
      <c r="M61">
        <v>16000</v>
      </c>
      <c r="N61">
        <v>15032.041472000001</v>
      </c>
      <c r="O61">
        <v>16000</v>
      </c>
    </row>
    <row r="62" spans="1:15" x14ac:dyDescent="0.2">
      <c r="A62" t="s">
        <v>1079</v>
      </c>
      <c r="B62">
        <v>900.865200792</v>
      </c>
      <c r="C62">
        <v>113.14174282499999</v>
      </c>
      <c r="D62">
        <v>250.43410346100001</v>
      </c>
      <c r="E62">
        <v>720.23445894099996</v>
      </c>
      <c r="F62">
        <v>258.47990010400002</v>
      </c>
      <c r="J62" t="s">
        <v>1079</v>
      </c>
      <c r="K62">
        <v>2778.7796480000002</v>
      </c>
      <c r="L62">
        <v>14.548992</v>
      </c>
      <c r="M62">
        <v>16000</v>
      </c>
      <c r="N62">
        <v>16000</v>
      </c>
      <c r="O62">
        <v>16000</v>
      </c>
    </row>
    <row r="63" spans="1:15" x14ac:dyDescent="0.2">
      <c r="A63" t="s">
        <v>1080</v>
      </c>
      <c r="B63">
        <v>900.870136065</v>
      </c>
      <c r="C63">
        <v>115.955700725</v>
      </c>
      <c r="D63">
        <v>251.79880013499999</v>
      </c>
      <c r="E63">
        <v>785.90134233100002</v>
      </c>
      <c r="F63">
        <v>266.15969293299997</v>
      </c>
      <c r="J63" t="s">
        <v>1080</v>
      </c>
      <c r="K63">
        <v>2747.5599360000001</v>
      </c>
      <c r="L63">
        <v>14.536704</v>
      </c>
      <c r="M63">
        <v>16000</v>
      </c>
      <c r="N63">
        <v>16000</v>
      </c>
      <c r="O63">
        <v>16000</v>
      </c>
    </row>
    <row r="64" spans="1:15" x14ac:dyDescent="0.2">
      <c r="A64" t="s">
        <v>1081</v>
      </c>
      <c r="B64">
        <v>900.82957704499995</v>
      </c>
      <c r="C64">
        <v>5.9463646160000003</v>
      </c>
      <c r="D64">
        <v>258.181924256</v>
      </c>
      <c r="E64">
        <v>900.62184962000003</v>
      </c>
      <c r="F64">
        <v>319.37863121599997</v>
      </c>
      <c r="J64" t="s">
        <v>1081</v>
      </c>
      <c r="K64">
        <v>2951.5571199999999</v>
      </c>
      <c r="L64">
        <v>10.891264</v>
      </c>
      <c r="M64">
        <v>16000</v>
      </c>
      <c r="N64">
        <v>10296.008704</v>
      </c>
      <c r="O64">
        <v>16000</v>
      </c>
    </row>
    <row r="65" spans="1:15" x14ac:dyDescent="0.2">
      <c r="A65" t="s">
        <v>1082</v>
      </c>
      <c r="B65">
        <v>900.75879034000002</v>
      </c>
      <c r="C65">
        <v>14.646586884</v>
      </c>
      <c r="D65">
        <v>900.62072193500001</v>
      </c>
      <c r="E65">
        <v>900.63051771599999</v>
      </c>
      <c r="F65">
        <v>900.64234058600005</v>
      </c>
      <c r="J65" t="s">
        <v>1082</v>
      </c>
      <c r="K65">
        <v>2191.085568</v>
      </c>
      <c r="L65">
        <v>11.567104</v>
      </c>
      <c r="M65">
        <v>731.87737600000003</v>
      </c>
      <c r="N65">
        <v>48.021504</v>
      </c>
      <c r="O65">
        <v>154.33318399999999</v>
      </c>
    </row>
    <row r="66" spans="1:15" x14ac:dyDescent="0.2">
      <c r="A66" t="s">
        <v>1083</v>
      </c>
      <c r="B66">
        <v>900.80690316799996</v>
      </c>
      <c r="C66">
        <v>13.721919348</v>
      </c>
      <c r="D66">
        <v>901.09629545799999</v>
      </c>
      <c r="E66">
        <v>900.737510563</v>
      </c>
      <c r="F66">
        <v>900.78778300299996</v>
      </c>
      <c r="J66" t="s">
        <v>1083</v>
      </c>
      <c r="K66">
        <v>2193.4981120000002</v>
      </c>
      <c r="L66">
        <v>11.370495999999999</v>
      </c>
      <c r="M66">
        <v>8639.5453440000001</v>
      </c>
      <c r="N66">
        <v>478.30630400000001</v>
      </c>
      <c r="O66">
        <v>1472.2498559999999</v>
      </c>
    </row>
    <row r="67" spans="1:15" x14ac:dyDescent="0.2">
      <c r="A67" t="s">
        <v>1084</v>
      </c>
      <c r="B67">
        <v>900.817414106</v>
      </c>
      <c r="C67">
        <v>13.760245812000001</v>
      </c>
      <c r="D67">
        <v>431.28230180700001</v>
      </c>
      <c r="E67">
        <v>901.017874474</v>
      </c>
      <c r="F67">
        <v>226.50635929200001</v>
      </c>
      <c r="J67" t="s">
        <v>1084</v>
      </c>
      <c r="K67">
        <v>1860.3786239999999</v>
      </c>
      <c r="L67">
        <v>11.390976</v>
      </c>
      <c r="M67">
        <v>16000</v>
      </c>
      <c r="N67">
        <v>9994.0884480000004</v>
      </c>
      <c r="O67">
        <v>16000</v>
      </c>
    </row>
    <row r="68" spans="1:15" x14ac:dyDescent="0.2">
      <c r="A68" t="s">
        <v>1085</v>
      </c>
      <c r="B68">
        <v>900.76345761300001</v>
      </c>
      <c r="C68">
        <v>13.733131704</v>
      </c>
      <c r="D68">
        <v>251.522484069</v>
      </c>
      <c r="E68">
        <v>901.249074845</v>
      </c>
      <c r="F68">
        <v>317.28058319399997</v>
      </c>
      <c r="J68" t="s">
        <v>1085</v>
      </c>
      <c r="K68">
        <v>1997.443072</v>
      </c>
      <c r="L68">
        <v>11.378688</v>
      </c>
      <c r="M68">
        <v>16000</v>
      </c>
      <c r="N68">
        <v>15149.326336</v>
      </c>
      <c r="O68">
        <v>16000</v>
      </c>
    </row>
    <row r="69" spans="1:15" x14ac:dyDescent="0.2">
      <c r="A69" t="s">
        <v>1086</v>
      </c>
      <c r="B69">
        <v>900.81797974000006</v>
      </c>
      <c r="C69">
        <v>27.834757359000001</v>
      </c>
      <c r="D69">
        <v>256.71965747299998</v>
      </c>
      <c r="E69">
        <v>900.89604331700002</v>
      </c>
      <c r="F69">
        <v>440.74281951799998</v>
      </c>
      <c r="J69" t="s">
        <v>1086</v>
      </c>
      <c r="K69">
        <v>1865.527296</v>
      </c>
      <c r="L69">
        <v>12.439552000000001</v>
      </c>
      <c r="M69">
        <v>16000</v>
      </c>
      <c r="N69">
        <v>10576.355328</v>
      </c>
      <c r="O69">
        <v>16000</v>
      </c>
    </row>
    <row r="70" spans="1:15" x14ac:dyDescent="0.2">
      <c r="A70" t="s">
        <v>1087</v>
      </c>
      <c r="B70">
        <v>900.80771134099996</v>
      </c>
      <c r="C70">
        <v>32.362873270000001</v>
      </c>
      <c r="D70">
        <v>299.471250269</v>
      </c>
      <c r="E70">
        <v>901.33446591899997</v>
      </c>
      <c r="F70">
        <v>226.535614423</v>
      </c>
      <c r="J70" t="s">
        <v>1087</v>
      </c>
      <c r="K70">
        <v>2103.5376639999999</v>
      </c>
      <c r="L70">
        <v>12.9024</v>
      </c>
      <c r="M70">
        <v>16000</v>
      </c>
      <c r="N70">
        <v>15416.770560000001</v>
      </c>
      <c r="O70">
        <v>16000</v>
      </c>
    </row>
    <row r="71" spans="1:15" x14ac:dyDescent="0.2">
      <c r="A71" t="s">
        <v>1088</v>
      </c>
      <c r="B71">
        <v>900.82855700599998</v>
      </c>
      <c r="C71">
        <v>33.084457843000003</v>
      </c>
      <c r="D71">
        <v>439.18918935099998</v>
      </c>
      <c r="E71">
        <v>536.74346351600002</v>
      </c>
      <c r="F71">
        <v>303.21740038199999</v>
      </c>
      <c r="J71" t="s">
        <v>1088</v>
      </c>
      <c r="K71">
        <v>2106.4704000000002</v>
      </c>
      <c r="L71">
        <v>12.959744000000001</v>
      </c>
      <c r="M71">
        <v>16000</v>
      </c>
      <c r="N71">
        <v>16000</v>
      </c>
      <c r="O71">
        <v>16000</v>
      </c>
    </row>
    <row r="72" spans="1:15" x14ac:dyDescent="0.2">
      <c r="A72" t="s">
        <v>1089</v>
      </c>
      <c r="B72">
        <v>900.83635305600001</v>
      </c>
      <c r="C72">
        <v>1.629985668</v>
      </c>
      <c r="D72">
        <v>246.57838572700001</v>
      </c>
      <c r="E72">
        <v>900.89739007100002</v>
      </c>
      <c r="F72">
        <v>242.24597186</v>
      </c>
      <c r="J72" t="s">
        <v>1089</v>
      </c>
      <c r="K72">
        <v>2109.1246080000001</v>
      </c>
      <c r="L72">
        <v>10.493952</v>
      </c>
      <c r="M72">
        <v>16000</v>
      </c>
      <c r="N72">
        <v>9870.7456000000002</v>
      </c>
      <c r="O72">
        <v>16000</v>
      </c>
    </row>
    <row r="73" spans="1:15" x14ac:dyDescent="0.2">
      <c r="A73" t="s">
        <v>1090</v>
      </c>
      <c r="B73">
        <v>900.90934356900004</v>
      </c>
      <c r="C73">
        <v>24.343804406</v>
      </c>
      <c r="D73">
        <v>602.20688997100001</v>
      </c>
      <c r="E73">
        <v>900.94862977900004</v>
      </c>
      <c r="F73">
        <v>400.85466909500002</v>
      </c>
      <c r="J73" t="s">
        <v>1090</v>
      </c>
      <c r="K73">
        <v>4532.7974400000003</v>
      </c>
      <c r="L73">
        <v>11.530239999999999</v>
      </c>
      <c r="M73">
        <v>16000</v>
      </c>
      <c r="N73">
        <v>10815.721471999999</v>
      </c>
      <c r="O73">
        <v>16000</v>
      </c>
    </row>
    <row r="74" spans="1:15" x14ac:dyDescent="0.2">
      <c r="A74" t="s">
        <v>1091</v>
      </c>
      <c r="B74">
        <v>900.80660298600003</v>
      </c>
      <c r="C74">
        <v>24.604588065000002</v>
      </c>
      <c r="D74">
        <v>354.91195205899999</v>
      </c>
      <c r="E74">
        <v>901.48188204799999</v>
      </c>
      <c r="F74">
        <v>500.56123138200002</v>
      </c>
      <c r="J74" t="s">
        <v>1091</v>
      </c>
      <c r="K74">
        <v>3166.26944</v>
      </c>
      <c r="L74">
        <v>11.575296</v>
      </c>
      <c r="M74">
        <v>16000</v>
      </c>
      <c r="N74">
        <v>15146.831872000001</v>
      </c>
      <c r="O74">
        <v>16000</v>
      </c>
    </row>
    <row r="75" spans="1:15" x14ac:dyDescent="0.2">
      <c r="A75" t="s">
        <v>1092</v>
      </c>
      <c r="B75">
        <v>900.82142730500004</v>
      </c>
      <c r="C75">
        <v>28.292409703000001</v>
      </c>
      <c r="D75">
        <v>303.53861825899997</v>
      </c>
      <c r="E75">
        <v>545.40562250799996</v>
      </c>
      <c r="F75">
        <v>446.094517526</v>
      </c>
      <c r="J75" t="s">
        <v>1092</v>
      </c>
      <c r="K75">
        <v>2093.1993600000001</v>
      </c>
      <c r="L75">
        <v>12.136448</v>
      </c>
      <c r="M75">
        <v>16000</v>
      </c>
      <c r="N75">
        <v>16000</v>
      </c>
      <c r="O75">
        <v>16000</v>
      </c>
    </row>
    <row r="76" spans="1:15" x14ac:dyDescent="0.2">
      <c r="A76" t="s">
        <v>1093</v>
      </c>
      <c r="B76">
        <v>900.79100047300005</v>
      </c>
      <c r="C76">
        <v>30.861425057000002</v>
      </c>
      <c r="D76">
        <v>359.89189752999999</v>
      </c>
      <c r="E76">
        <v>596.26917677899996</v>
      </c>
      <c r="F76">
        <v>512.50895125299996</v>
      </c>
      <c r="J76" t="s">
        <v>1093</v>
      </c>
      <c r="K76">
        <v>2096.1484799999998</v>
      </c>
      <c r="L76">
        <v>12.234752</v>
      </c>
      <c r="M76">
        <v>16000</v>
      </c>
      <c r="N76">
        <v>16000</v>
      </c>
      <c r="O76">
        <v>16000</v>
      </c>
    </row>
    <row r="77" spans="1:15" x14ac:dyDescent="0.2">
      <c r="A77" t="s">
        <v>1094</v>
      </c>
      <c r="B77">
        <v>900.75853393700004</v>
      </c>
      <c r="C77">
        <v>33.385571097000003</v>
      </c>
      <c r="D77">
        <v>373.59435516799999</v>
      </c>
      <c r="E77">
        <v>654.16382123000005</v>
      </c>
      <c r="F77">
        <v>706.23228752299997</v>
      </c>
      <c r="J77" t="s">
        <v>1094</v>
      </c>
      <c r="K77">
        <v>989.06521599999996</v>
      </c>
      <c r="L77">
        <v>12.267519999999999</v>
      </c>
      <c r="M77">
        <v>16000</v>
      </c>
      <c r="N77">
        <v>16000</v>
      </c>
      <c r="O77">
        <v>16000</v>
      </c>
    </row>
    <row r="78" spans="1:15" x14ac:dyDescent="0.2">
      <c r="A78" t="s">
        <v>1095</v>
      </c>
      <c r="B78">
        <v>900.76472361699996</v>
      </c>
      <c r="C78">
        <v>23.801319678999999</v>
      </c>
      <c r="D78">
        <v>337.08358661900002</v>
      </c>
      <c r="E78">
        <v>900.82187715400005</v>
      </c>
      <c r="F78">
        <v>383.04146387499998</v>
      </c>
      <c r="J78" t="s">
        <v>1095</v>
      </c>
      <c r="K78">
        <v>1025.3967359999999</v>
      </c>
      <c r="L78">
        <v>11.231232</v>
      </c>
      <c r="M78">
        <v>16000</v>
      </c>
      <c r="N78">
        <v>8891.5517440000003</v>
      </c>
      <c r="O78">
        <v>16000</v>
      </c>
    </row>
    <row r="79" spans="1:15" x14ac:dyDescent="0.2">
      <c r="A79" t="s">
        <v>1096</v>
      </c>
      <c r="B79">
        <v>900.77883002900001</v>
      </c>
      <c r="C79">
        <v>26.540617234999999</v>
      </c>
      <c r="D79">
        <v>337.74787810100003</v>
      </c>
      <c r="E79">
        <v>900.81505128399999</v>
      </c>
      <c r="F79">
        <v>629.90372326099998</v>
      </c>
      <c r="J79" t="s">
        <v>1096</v>
      </c>
      <c r="K79">
        <v>1431.6134400000001</v>
      </c>
      <c r="L79">
        <v>11.698176</v>
      </c>
      <c r="M79">
        <v>16000</v>
      </c>
      <c r="N79">
        <v>10250.682368</v>
      </c>
      <c r="O79">
        <v>16000</v>
      </c>
    </row>
    <row r="80" spans="1:15" x14ac:dyDescent="0.2">
      <c r="A80" t="s">
        <v>1097</v>
      </c>
      <c r="B80">
        <v>900.77204425399998</v>
      </c>
      <c r="C80">
        <v>30.277475823</v>
      </c>
      <c r="D80">
        <v>330.61288792699997</v>
      </c>
      <c r="E80">
        <v>900.76317246099995</v>
      </c>
      <c r="F80">
        <v>632.80806954599996</v>
      </c>
      <c r="J80" t="s">
        <v>1097</v>
      </c>
      <c r="K80">
        <v>1535.4265600000001</v>
      </c>
      <c r="L80">
        <v>12.079103999999999</v>
      </c>
      <c r="M80">
        <v>16000</v>
      </c>
      <c r="N80">
        <v>9273.3071359999994</v>
      </c>
      <c r="O80">
        <v>16000</v>
      </c>
    </row>
    <row r="81" spans="1:15" x14ac:dyDescent="0.2">
      <c r="A81" t="s">
        <v>1098</v>
      </c>
      <c r="B81">
        <v>900.79645935400004</v>
      </c>
      <c r="C81">
        <v>30.354565747999999</v>
      </c>
      <c r="D81">
        <v>343.75693908099998</v>
      </c>
      <c r="E81">
        <v>894.88880705099996</v>
      </c>
      <c r="F81">
        <v>694.86688281199997</v>
      </c>
      <c r="J81" t="s">
        <v>1098</v>
      </c>
      <c r="K81">
        <v>1538.1790719999999</v>
      </c>
      <c r="L81">
        <v>12.054527999999999</v>
      </c>
      <c r="M81">
        <v>16000</v>
      </c>
      <c r="N81">
        <v>16000</v>
      </c>
      <c r="O81">
        <v>16000</v>
      </c>
    </row>
    <row r="82" spans="1:15" x14ac:dyDescent="0.2">
      <c r="A82" t="s">
        <v>1099</v>
      </c>
      <c r="B82">
        <v>900.81749189799996</v>
      </c>
      <c r="C82">
        <v>1.8959334269999999</v>
      </c>
      <c r="D82">
        <v>259.85812765999998</v>
      </c>
      <c r="E82">
        <v>900.75985780099995</v>
      </c>
      <c r="F82">
        <v>385.05678503399997</v>
      </c>
      <c r="J82" t="s">
        <v>1099</v>
      </c>
      <c r="K82">
        <v>1742.2909440000001</v>
      </c>
      <c r="L82">
        <v>9.1709440000000004</v>
      </c>
      <c r="M82">
        <v>16000</v>
      </c>
      <c r="N82">
        <v>8864.9113600000001</v>
      </c>
      <c r="O82">
        <v>16000</v>
      </c>
    </row>
    <row r="83" spans="1:15" x14ac:dyDescent="0.2">
      <c r="A83" t="s">
        <v>1100</v>
      </c>
      <c r="B83">
        <v>900.74484856499998</v>
      </c>
      <c r="C83">
        <v>1.218303192</v>
      </c>
      <c r="D83">
        <v>306.28426618100002</v>
      </c>
      <c r="E83">
        <v>901.26325517400005</v>
      </c>
      <c r="F83">
        <v>441.763427611</v>
      </c>
      <c r="J83" t="s">
        <v>1100</v>
      </c>
      <c r="K83">
        <v>73.23648</v>
      </c>
      <c r="L83">
        <v>8.7203839999999992</v>
      </c>
      <c r="M83">
        <v>16000</v>
      </c>
      <c r="N83">
        <v>15148.630015999999</v>
      </c>
      <c r="O83">
        <v>16000</v>
      </c>
    </row>
    <row r="84" spans="1:15" x14ac:dyDescent="0.2">
      <c r="A84" t="s">
        <v>1101</v>
      </c>
      <c r="B84">
        <v>901.05195798</v>
      </c>
      <c r="C84">
        <v>1.2208236939999999</v>
      </c>
      <c r="D84">
        <v>321.82699595700001</v>
      </c>
      <c r="E84">
        <v>632.77765777299999</v>
      </c>
      <c r="F84">
        <v>311.88032048899998</v>
      </c>
      <c r="J84" t="s">
        <v>1101</v>
      </c>
      <c r="K84">
        <v>7204.6878720000004</v>
      </c>
      <c r="L84">
        <v>8.753152</v>
      </c>
      <c r="M84">
        <v>16000</v>
      </c>
      <c r="N84">
        <v>16000</v>
      </c>
      <c r="O84">
        <v>16000</v>
      </c>
    </row>
    <row r="85" spans="1:15" x14ac:dyDescent="0.2">
      <c r="A85" t="s">
        <v>1102</v>
      </c>
      <c r="B85">
        <v>901.05123140499995</v>
      </c>
      <c r="C85">
        <v>3.098758728</v>
      </c>
      <c r="D85">
        <v>419.72427243300001</v>
      </c>
      <c r="E85">
        <v>866.09138455499999</v>
      </c>
      <c r="F85">
        <v>298.54472572100002</v>
      </c>
      <c r="J85" t="s">
        <v>1102</v>
      </c>
      <c r="K85">
        <v>7342.178304</v>
      </c>
      <c r="L85">
        <v>11.108352</v>
      </c>
      <c r="M85">
        <v>16000</v>
      </c>
      <c r="N85">
        <v>16000</v>
      </c>
      <c r="O85">
        <v>16000</v>
      </c>
    </row>
    <row r="86" spans="1:15" x14ac:dyDescent="0.2">
      <c r="A86" t="s">
        <v>1103</v>
      </c>
      <c r="B86">
        <v>901.05960575999995</v>
      </c>
      <c r="C86">
        <v>3.0694220240000001</v>
      </c>
      <c r="D86">
        <v>242.12432923599999</v>
      </c>
      <c r="E86">
        <v>849.96104164099995</v>
      </c>
      <c r="F86">
        <v>309.507880027</v>
      </c>
      <c r="J86" t="s">
        <v>1103</v>
      </c>
      <c r="K86">
        <v>7849.6972800000003</v>
      </c>
      <c r="L86">
        <v>11.177984</v>
      </c>
      <c r="M86">
        <v>16000</v>
      </c>
      <c r="N86">
        <v>16000</v>
      </c>
      <c r="O86">
        <v>16000</v>
      </c>
    </row>
    <row r="87" spans="1:15" x14ac:dyDescent="0.2">
      <c r="A87" t="s">
        <v>1104</v>
      </c>
      <c r="B87">
        <v>901.06978000000004</v>
      </c>
      <c r="C87">
        <v>3.0860809499999999</v>
      </c>
      <c r="D87">
        <v>234.640918658</v>
      </c>
      <c r="E87">
        <v>901.19004537399996</v>
      </c>
      <c r="F87">
        <v>322.56121876399999</v>
      </c>
      <c r="J87" t="s">
        <v>1104</v>
      </c>
      <c r="K87">
        <v>8054.1900800000003</v>
      </c>
      <c r="L87">
        <v>11.169791999999999</v>
      </c>
      <c r="M87">
        <v>16000</v>
      </c>
      <c r="N87">
        <v>15094.214656</v>
      </c>
      <c r="O87">
        <v>16000</v>
      </c>
    </row>
    <row r="88" spans="1:15" x14ac:dyDescent="0.2">
      <c r="A88" t="s">
        <v>1105</v>
      </c>
      <c r="B88">
        <v>901.12103751200004</v>
      </c>
      <c r="C88">
        <v>3.184357264</v>
      </c>
      <c r="D88">
        <v>247.617721007</v>
      </c>
      <c r="E88">
        <v>901.03419805800002</v>
      </c>
      <c r="F88">
        <v>314.39342956799999</v>
      </c>
      <c r="J88" t="s">
        <v>1105</v>
      </c>
      <c r="K88">
        <v>8830.1568000000007</v>
      </c>
      <c r="L88">
        <v>11.20256</v>
      </c>
      <c r="M88">
        <v>16000</v>
      </c>
      <c r="N88">
        <v>15324.725248000001</v>
      </c>
      <c r="O88">
        <v>16000</v>
      </c>
    </row>
    <row r="89" spans="1:15" x14ac:dyDescent="0.2">
      <c r="A89" t="s">
        <v>1106</v>
      </c>
      <c r="B89">
        <v>901.16072678099999</v>
      </c>
      <c r="C89">
        <v>4.5833263100000003</v>
      </c>
      <c r="D89">
        <v>304.76653016199998</v>
      </c>
      <c r="E89">
        <v>901.03142377699999</v>
      </c>
      <c r="F89">
        <v>228.69528067600001</v>
      </c>
      <c r="J89" t="s">
        <v>1106</v>
      </c>
      <c r="K89">
        <v>10211.606528</v>
      </c>
      <c r="L89">
        <v>11.603968</v>
      </c>
      <c r="M89">
        <v>16000</v>
      </c>
      <c r="N89">
        <v>15272.034304000001</v>
      </c>
      <c r="O89">
        <v>16000</v>
      </c>
    </row>
    <row r="90" spans="1:15" x14ac:dyDescent="0.2">
      <c r="A90" t="s">
        <v>1107</v>
      </c>
      <c r="B90">
        <v>901.089346503</v>
      </c>
      <c r="C90">
        <v>4.62892992</v>
      </c>
      <c r="D90">
        <v>304.89573966799998</v>
      </c>
      <c r="E90">
        <v>900.87143034400003</v>
      </c>
      <c r="F90">
        <v>228.71198319999999</v>
      </c>
      <c r="J90" t="s">
        <v>1107</v>
      </c>
      <c r="K90">
        <v>9911.5171840000003</v>
      </c>
      <c r="L90">
        <v>11.579392</v>
      </c>
      <c r="M90">
        <v>16000</v>
      </c>
      <c r="N90">
        <v>15088.009216</v>
      </c>
      <c r="O90">
        <v>16000</v>
      </c>
    </row>
    <row r="91" spans="1:15" x14ac:dyDescent="0.2">
      <c r="A91" t="s">
        <v>1108</v>
      </c>
      <c r="B91">
        <v>900.85193613499996</v>
      </c>
      <c r="D91">
        <v>220.04364314599999</v>
      </c>
      <c r="E91">
        <v>901.20520799200006</v>
      </c>
      <c r="F91">
        <v>295.82699050100001</v>
      </c>
      <c r="J91" t="s">
        <v>1108</v>
      </c>
      <c r="K91">
        <v>2718.4005120000002</v>
      </c>
      <c r="M91">
        <v>16000</v>
      </c>
      <c r="N91">
        <v>15393.538048</v>
      </c>
      <c r="O91">
        <v>16000</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424CC-3E20-4C29-B9CE-9383E3F0553C}">
  <dimension ref="A1:AA276"/>
  <sheetViews>
    <sheetView topLeftCell="A36" zoomScale="55" zoomScaleNormal="120" workbookViewId="0">
      <selection activeCell="V58" sqref="V58"/>
    </sheetView>
  </sheetViews>
  <sheetFormatPr baseColWidth="10" defaultColWidth="8.83203125" defaultRowHeight="15" x14ac:dyDescent="0.2"/>
  <cols>
    <col min="1" max="1" width="10.6640625" customWidth="1"/>
    <col min="2" max="2" width="10.6640625" style="7" customWidth="1"/>
    <col min="3" max="5" width="10.6640625" customWidth="1"/>
    <col min="6" max="6" width="10.6640625" style="7" customWidth="1"/>
    <col min="7" max="9" width="10.6640625" customWidth="1"/>
    <col min="10" max="10" width="10.6640625" style="7" customWidth="1"/>
    <col min="11" max="12" width="10.6640625" customWidth="1"/>
    <col min="13" max="13" width="10.6640625" style="7" customWidth="1"/>
    <col min="14" max="16" width="10.6640625" customWidth="1"/>
    <col min="17" max="17" width="10.6640625" style="7" customWidth="1"/>
    <col min="18" max="19" width="10.6640625" customWidth="1"/>
    <col min="20" max="20" width="15.6640625" customWidth="1"/>
    <col min="21" max="22" width="10.6640625" customWidth="1"/>
  </cols>
  <sheetData>
    <row r="1" spans="1:27" x14ac:dyDescent="0.2">
      <c r="B1" s="22" t="s">
        <v>1121</v>
      </c>
      <c r="C1" s="22"/>
      <c r="D1" s="22"/>
      <c r="F1" s="22" t="s">
        <v>1122</v>
      </c>
      <c r="G1" s="22"/>
      <c r="H1" s="22"/>
      <c r="J1" s="22" t="s">
        <v>1123</v>
      </c>
      <c r="K1" s="22"/>
      <c r="L1" s="22"/>
      <c r="M1" s="22" t="s">
        <v>1124</v>
      </c>
      <c r="N1" s="22"/>
      <c r="O1" s="22"/>
      <c r="Q1" s="22" t="s">
        <v>1125</v>
      </c>
      <c r="R1" s="22"/>
      <c r="S1" s="22"/>
      <c r="U1" s="22" t="s">
        <v>1126</v>
      </c>
      <c r="V1" s="22"/>
      <c r="X1" s="22" t="s">
        <v>1127</v>
      </c>
      <c r="Y1" s="22"/>
    </row>
    <row r="2" spans="1:27" x14ac:dyDescent="0.2">
      <c r="A2" t="s">
        <v>784</v>
      </c>
      <c r="B2" s="7" t="s">
        <v>785</v>
      </c>
      <c r="C2" t="s">
        <v>789</v>
      </c>
      <c r="D2" t="s">
        <v>790</v>
      </c>
      <c r="F2" s="7" t="s">
        <v>785</v>
      </c>
      <c r="G2" t="s">
        <v>789</v>
      </c>
      <c r="H2" t="s">
        <v>790</v>
      </c>
      <c r="I2" t="s">
        <v>1128</v>
      </c>
      <c r="J2" s="7" t="s">
        <v>785</v>
      </c>
      <c r="K2" t="s">
        <v>824</v>
      </c>
      <c r="L2" t="s">
        <v>790</v>
      </c>
      <c r="M2" s="7" t="s">
        <v>785</v>
      </c>
      <c r="N2" t="s">
        <v>824</v>
      </c>
      <c r="O2" t="s">
        <v>790</v>
      </c>
      <c r="Q2" s="7" t="s">
        <v>785</v>
      </c>
      <c r="R2" t="s">
        <v>824</v>
      </c>
      <c r="S2" t="s">
        <v>1129</v>
      </c>
      <c r="U2" t="s">
        <v>789</v>
      </c>
      <c r="V2" t="s">
        <v>790</v>
      </c>
      <c r="X2" t="s">
        <v>789</v>
      </c>
      <c r="Y2" t="s">
        <v>790</v>
      </c>
    </row>
    <row r="3" spans="1:27" ht="16" x14ac:dyDescent="0.2">
      <c r="A3" t="s">
        <v>834</v>
      </c>
      <c r="B3" s="7" t="s">
        <v>791</v>
      </c>
      <c r="C3">
        <v>490</v>
      </c>
      <c r="D3">
        <v>1.2970499999999999E-2</v>
      </c>
      <c r="F3" s="7" t="s">
        <v>804</v>
      </c>
      <c r="G3" s="15">
        <v>490</v>
      </c>
      <c r="H3" s="1">
        <v>1.2908299999999999E-2</v>
      </c>
      <c r="I3" s="1">
        <v>1.2973E-2</v>
      </c>
      <c r="J3" s="7" t="s">
        <v>833</v>
      </c>
      <c r="K3" s="15">
        <v>490</v>
      </c>
      <c r="L3" s="11">
        <v>1.15222E-2</v>
      </c>
      <c r="M3" s="7" t="s">
        <v>833</v>
      </c>
      <c r="N3" s="13">
        <v>490</v>
      </c>
      <c r="O3">
        <v>1.2970499999999999E-2</v>
      </c>
      <c r="Q3" s="7" t="s">
        <v>833</v>
      </c>
      <c r="R3">
        <v>490</v>
      </c>
      <c r="S3">
        <v>1.2970499999999999E-2</v>
      </c>
      <c r="U3" s="15">
        <v>490</v>
      </c>
      <c r="V3" s="1">
        <v>1.2973E-2</v>
      </c>
      <c r="X3" s="15">
        <v>490</v>
      </c>
      <c r="Y3" s="1">
        <v>1.2973E-2</v>
      </c>
      <c r="AA3" s="1"/>
    </row>
    <row r="4" spans="1:27" ht="16" x14ac:dyDescent="0.2">
      <c r="A4" t="s">
        <v>835</v>
      </c>
      <c r="B4" s="7" t="s">
        <v>791</v>
      </c>
      <c r="C4">
        <v>1846</v>
      </c>
      <c r="D4" s="1">
        <v>4.4793399999999998E-13</v>
      </c>
      <c r="F4" s="7" t="s">
        <v>804</v>
      </c>
      <c r="G4">
        <v>1846</v>
      </c>
      <c r="H4" s="1">
        <v>4.4686499999999998E-13</v>
      </c>
      <c r="I4" s="1">
        <v>4.5562000000000003E-13</v>
      </c>
      <c r="J4" s="7" t="s">
        <v>833</v>
      </c>
      <c r="K4" s="11">
        <v>1846</v>
      </c>
      <c r="L4" s="12">
        <v>4.1836199999999999E-13</v>
      </c>
      <c r="M4" s="7" t="s">
        <v>833</v>
      </c>
      <c r="N4" s="13">
        <v>1846</v>
      </c>
      <c r="O4" s="1">
        <v>4.4793399999999998E-13</v>
      </c>
      <c r="Q4" s="7" t="s">
        <v>833</v>
      </c>
      <c r="R4">
        <v>1846</v>
      </c>
      <c r="S4" s="1">
        <v>4.4793399999999998E-13</v>
      </c>
      <c r="U4">
        <v>1846</v>
      </c>
      <c r="V4" s="1">
        <v>4.5562000000000003E-13</v>
      </c>
      <c r="X4">
        <v>1846</v>
      </c>
      <c r="Y4" s="1">
        <v>4.5562000000000003E-13</v>
      </c>
      <c r="AA4" s="1"/>
    </row>
    <row r="5" spans="1:27" ht="16" x14ac:dyDescent="0.2">
      <c r="A5" t="s">
        <v>836</v>
      </c>
      <c r="B5" s="7" t="s">
        <v>791</v>
      </c>
      <c r="C5">
        <v>83</v>
      </c>
      <c r="D5" s="1">
        <v>8.4678200000000006E-9</v>
      </c>
      <c r="F5" s="7" t="s">
        <v>804</v>
      </c>
      <c r="G5">
        <v>83</v>
      </c>
      <c r="H5" s="17">
        <v>8.4678200000000006E-9</v>
      </c>
      <c r="I5" s="17">
        <v>1.3119E-7</v>
      </c>
      <c r="J5" s="7" t="s">
        <v>833</v>
      </c>
      <c r="K5" s="11">
        <v>83</v>
      </c>
      <c r="L5" s="12">
        <v>7.8260800000000008E-9</v>
      </c>
      <c r="M5" s="7" t="s">
        <v>833</v>
      </c>
      <c r="N5" s="11">
        <v>83</v>
      </c>
      <c r="O5" s="1">
        <v>8.4678200000000006E-9</v>
      </c>
      <c r="Q5" s="7" t="s">
        <v>833</v>
      </c>
      <c r="R5">
        <v>83</v>
      </c>
      <c r="S5" s="1">
        <v>8.4678200000000006E-9</v>
      </c>
      <c r="U5">
        <v>83</v>
      </c>
      <c r="V5" s="1">
        <v>1.3119E-7</v>
      </c>
      <c r="X5">
        <v>83</v>
      </c>
      <c r="Y5" s="1">
        <v>1.3119E-7</v>
      </c>
      <c r="AA5" s="1"/>
    </row>
    <row r="6" spans="1:27" ht="16" x14ac:dyDescent="0.2">
      <c r="A6" t="s">
        <v>837</v>
      </c>
      <c r="B6" s="7" t="s">
        <v>791</v>
      </c>
      <c r="C6">
        <v>276</v>
      </c>
      <c r="D6" s="1">
        <v>2.6775600000000001E-7</v>
      </c>
      <c r="F6" s="7" t="s">
        <v>804</v>
      </c>
      <c r="G6">
        <v>276</v>
      </c>
      <c r="H6" s="1">
        <v>2.6775600000000001E-7</v>
      </c>
      <c r="I6" s="1">
        <v>2.6776000000000001E-7</v>
      </c>
      <c r="J6" s="7" t="s">
        <v>833</v>
      </c>
      <c r="K6" s="11">
        <v>276</v>
      </c>
      <c r="L6" s="12">
        <v>2.3393E-7</v>
      </c>
      <c r="M6" s="7" t="s">
        <v>833</v>
      </c>
      <c r="N6" s="13">
        <v>276</v>
      </c>
      <c r="O6" s="1">
        <v>2.6775600000000001E-7</v>
      </c>
      <c r="Q6" s="7" t="s">
        <v>833</v>
      </c>
      <c r="R6">
        <v>276</v>
      </c>
      <c r="S6" s="1">
        <v>2.6775600000000001E-7</v>
      </c>
      <c r="U6">
        <v>276</v>
      </c>
      <c r="V6" s="1">
        <v>2.6776000000000001E-7</v>
      </c>
      <c r="X6">
        <v>276</v>
      </c>
      <c r="Y6" s="1">
        <v>2.6776000000000001E-7</v>
      </c>
      <c r="AA6" s="1"/>
    </row>
    <row r="7" spans="1:27" ht="16" x14ac:dyDescent="0.2">
      <c r="A7" t="s">
        <v>838</v>
      </c>
      <c r="B7" s="7" t="s">
        <v>791</v>
      </c>
      <c r="C7">
        <v>22</v>
      </c>
      <c r="D7" s="1">
        <v>1.6006200000000001E-6</v>
      </c>
      <c r="F7" s="7" t="s">
        <v>804</v>
      </c>
      <c r="G7">
        <v>22</v>
      </c>
      <c r="H7" s="1">
        <v>1.6006200000000001E-6</v>
      </c>
      <c r="I7" s="1">
        <v>1.6006E-6</v>
      </c>
      <c r="J7" s="7" t="s">
        <v>833</v>
      </c>
      <c r="K7" s="11">
        <v>22</v>
      </c>
      <c r="L7" s="12">
        <v>1.19348E-6</v>
      </c>
      <c r="M7" s="7" t="s">
        <v>833</v>
      </c>
      <c r="N7" s="11">
        <v>22</v>
      </c>
      <c r="O7" s="1">
        <v>1.6006200000000001E-6</v>
      </c>
      <c r="Q7" s="7" t="s">
        <v>833</v>
      </c>
      <c r="R7">
        <v>22</v>
      </c>
      <c r="S7" s="1">
        <v>1.6006200000000001E-6</v>
      </c>
      <c r="U7">
        <v>22</v>
      </c>
      <c r="V7" s="1">
        <v>1.6006E-6</v>
      </c>
      <c r="X7">
        <v>22</v>
      </c>
      <c r="Y7" s="1">
        <v>1.6006E-6</v>
      </c>
      <c r="AA7" s="1"/>
    </row>
    <row r="8" spans="1:27" ht="16" x14ac:dyDescent="0.2">
      <c r="A8" t="s">
        <v>839</v>
      </c>
      <c r="B8" s="7" t="s">
        <v>791</v>
      </c>
      <c r="C8">
        <v>255</v>
      </c>
      <c r="D8" s="1">
        <v>9.1679500000000004E-10</v>
      </c>
      <c r="F8" s="7" t="s">
        <v>804</v>
      </c>
      <c r="G8">
        <v>255</v>
      </c>
      <c r="H8" s="1">
        <v>9.1679500000000004E-10</v>
      </c>
      <c r="I8" s="1">
        <v>9.1679999999999998E-10</v>
      </c>
      <c r="J8" s="7" t="s">
        <v>833</v>
      </c>
      <c r="K8" s="11">
        <v>255</v>
      </c>
      <c r="L8" s="12">
        <v>8.7807199999999996E-10</v>
      </c>
      <c r="M8" s="7" t="s">
        <v>833</v>
      </c>
      <c r="N8" s="13">
        <v>255</v>
      </c>
      <c r="O8" s="1">
        <v>9.1679500000000004E-10</v>
      </c>
      <c r="Q8" s="7" t="s">
        <v>833</v>
      </c>
      <c r="R8">
        <v>255</v>
      </c>
      <c r="S8" s="1">
        <v>9.1679500000000004E-10</v>
      </c>
      <c r="U8">
        <v>255</v>
      </c>
      <c r="V8" s="1">
        <v>9.1679999999999998E-10</v>
      </c>
      <c r="X8">
        <v>255</v>
      </c>
      <c r="Y8" s="1">
        <v>9.1679999999999998E-10</v>
      </c>
      <c r="AA8" s="1"/>
    </row>
    <row r="9" spans="1:27" ht="16" x14ac:dyDescent="0.2">
      <c r="A9" t="s">
        <v>840</v>
      </c>
      <c r="B9" s="7" t="s">
        <v>791</v>
      </c>
      <c r="C9">
        <v>198</v>
      </c>
      <c r="D9" s="1">
        <v>4.61056E-4</v>
      </c>
      <c r="F9" s="7" t="s">
        <v>804</v>
      </c>
      <c r="G9" s="15">
        <v>198</v>
      </c>
      <c r="H9" s="1">
        <v>4.6097999999999999E-4</v>
      </c>
      <c r="I9" s="1">
        <v>4.6108E-4</v>
      </c>
      <c r="J9" s="7" t="s">
        <v>833</v>
      </c>
      <c r="K9" s="16">
        <v>198</v>
      </c>
      <c r="L9" s="11">
        <v>4.17923E-4</v>
      </c>
      <c r="M9" s="7" t="s">
        <v>833</v>
      </c>
      <c r="N9" s="11">
        <v>198</v>
      </c>
      <c r="O9" s="1">
        <v>4.61056E-4</v>
      </c>
      <c r="Q9" s="7" t="s">
        <v>833</v>
      </c>
      <c r="R9">
        <v>198</v>
      </c>
      <c r="S9" s="1">
        <v>4.61056E-4</v>
      </c>
      <c r="U9" s="15">
        <v>198</v>
      </c>
      <c r="V9" s="1">
        <v>4.6108E-4</v>
      </c>
      <c r="X9" s="15">
        <v>198</v>
      </c>
      <c r="Y9" s="1">
        <v>4.6108E-4</v>
      </c>
      <c r="AA9" s="1"/>
    </row>
    <row r="10" spans="1:27" ht="16" x14ac:dyDescent="0.2">
      <c r="A10" t="s">
        <v>841</v>
      </c>
      <c r="B10" s="7" t="s">
        <v>791</v>
      </c>
      <c r="C10">
        <v>2064</v>
      </c>
      <c r="D10" s="1">
        <v>6.6049599999999998E-13</v>
      </c>
      <c r="F10" s="7" t="s">
        <v>804</v>
      </c>
      <c r="G10">
        <v>2064</v>
      </c>
      <c r="H10" s="1">
        <v>6.5969500000000005E-13</v>
      </c>
      <c r="I10" s="1">
        <v>6.6052E-13</v>
      </c>
      <c r="J10" s="7" t="s">
        <v>833</v>
      </c>
      <c r="K10" s="11">
        <v>2064</v>
      </c>
      <c r="L10" s="12">
        <v>5.2586899999999999E-13</v>
      </c>
      <c r="M10" s="7" t="s">
        <v>833</v>
      </c>
      <c r="N10" s="13">
        <v>2064</v>
      </c>
      <c r="O10" s="1">
        <v>6.6049599999999998E-13</v>
      </c>
      <c r="Q10" s="7" t="s">
        <v>833</v>
      </c>
      <c r="R10">
        <v>2064</v>
      </c>
      <c r="S10" s="1">
        <v>6.6049599999999998E-13</v>
      </c>
      <c r="U10">
        <v>2064</v>
      </c>
      <c r="V10" s="1">
        <v>6.6052E-13</v>
      </c>
      <c r="X10">
        <v>2064</v>
      </c>
      <c r="Y10" s="1">
        <v>6.6052E-13</v>
      </c>
      <c r="AA10" s="1"/>
    </row>
    <row r="11" spans="1:27" ht="16" x14ac:dyDescent="0.2">
      <c r="A11" t="s">
        <v>842</v>
      </c>
      <c r="B11" s="7" t="s">
        <v>791</v>
      </c>
      <c r="C11">
        <v>3217</v>
      </c>
      <c r="D11" s="1">
        <v>9.3676599999999999E-3</v>
      </c>
      <c r="F11" s="7" t="s">
        <v>804</v>
      </c>
      <c r="G11">
        <v>3217</v>
      </c>
      <c r="H11" s="1">
        <v>9.3311999999999996E-3</v>
      </c>
      <c r="I11" s="1">
        <v>9.3676999999999996E-3</v>
      </c>
      <c r="J11" s="7" t="s">
        <v>833</v>
      </c>
      <c r="K11" s="16">
        <v>3217</v>
      </c>
      <c r="L11" s="11">
        <v>8.0002800000000002E-3</v>
      </c>
      <c r="M11" s="7" t="s">
        <v>833</v>
      </c>
      <c r="N11" s="11">
        <v>3217</v>
      </c>
      <c r="O11" s="1">
        <v>9.3676599999999999E-3</v>
      </c>
      <c r="Q11" s="7" t="s">
        <v>833</v>
      </c>
      <c r="R11">
        <v>3217</v>
      </c>
      <c r="S11" s="1">
        <v>9.3676599999999999E-3</v>
      </c>
      <c r="U11">
        <v>3217</v>
      </c>
      <c r="V11" s="1">
        <v>9.3676999999999996E-3</v>
      </c>
      <c r="X11">
        <v>3217</v>
      </c>
      <c r="Y11" s="1">
        <v>9.3676999999999996E-3</v>
      </c>
      <c r="AA11" s="1"/>
    </row>
    <row r="12" spans="1:27" ht="16" x14ac:dyDescent="0.2">
      <c r="A12" t="s">
        <v>843</v>
      </c>
      <c r="B12" s="7" t="s">
        <v>791</v>
      </c>
      <c r="C12">
        <v>663</v>
      </c>
      <c r="D12" s="1">
        <v>7.5665999999999997E-8</v>
      </c>
      <c r="F12" s="7" t="s">
        <v>804</v>
      </c>
      <c r="G12">
        <v>663</v>
      </c>
      <c r="H12" s="1">
        <v>7.5665999999999997E-8</v>
      </c>
      <c r="I12" s="1">
        <v>7.5666999999999999E-8</v>
      </c>
      <c r="J12" s="7" t="s">
        <v>833</v>
      </c>
      <c r="K12" s="11">
        <v>663</v>
      </c>
      <c r="L12" s="12">
        <v>6.2737899999999997E-8</v>
      </c>
      <c r="M12" s="7" t="s">
        <v>833</v>
      </c>
      <c r="N12" s="11">
        <v>663</v>
      </c>
      <c r="O12" s="1">
        <v>7.5665999999999997E-8</v>
      </c>
      <c r="Q12" s="7" t="s">
        <v>833</v>
      </c>
      <c r="R12">
        <v>663</v>
      </c>
      <c r="S12" s="1">
        <v>7.5665999999999997E-8</v>
      </c>
      <c r="U12">
        <v>663</v>
      </c>
      <c r="V12" s="1">
        <v>7.5666999999999999E-8</v>
      </c>
      <c r="X12">
        <v>663</v>
      </c>
      <c r="Y12" s="1">
        <v>7.5666999999999999E-8</v>
      </c>
      <c r="AA12" s="1"/>
    </row>
    <row r="13" spans="1:27" ht="16" x14ac:dyDescent="0.2">
      <c r="A13" t="s">
        <v>844</v>
      </c>
      <c r="B13" s="7" t="s">
        <v>791</v>
      </c>
      <c r="C13">
        <v>570447</v>
      </c>
      <c r="D13">
        <v>1.5168E-3</v>
      </c>
      <c r="F13" s="7" t="s">
        <v>804</v>
      </c>
      <c r="I13" s="1">
        <v>1.5168E-3</v>
      </c>
      <c r="J13" s="7" t="s">
        <v>833</v>
      </c>
      <c r="K13" s="15">
        <v>570447</v>
      </c>
      <c r="L13" s="13">
        <v>1.4265700000000001E-3</v>
      </c>
      <c r="M13" s="7" t="s">
        <v>833</v>
      </c>
      <c r="N13" s="11">
        <v>570447</v>
      </c>
      <c r="O13" s="1">
        <v>1.5168E-3</v>
      </c>
      <c r="Q13" s="7" t="s">
        <v>833</v>
      </c>
      <c r="R13">
        <v>570447</v>
      </c>
      <c r="S13" s="1">
        <v>1.5168E-3</v>
      </c>
      <c r="U13">
        <v>570447</v>
      </c>
      <c r="V13" s="1">
        <v>1.5168E-3</v>
      </c>
      <c r="X13">
        <v>570447</v>
      </c>
      <c r="Y13" s="1">
        <v>1.5168E-3</v>
      </c>
      <c r="AA13" s="1"/>
    </row>
    <row r="14" spans="1:27" ht="16" x14ac:dyDescent="0.2">
      <c r="A14" t="s">
        <v>845</v>
      </c>
      <c r="B14" s="7" t="s">
        <v>791</v>
      </c>
      <c r="C14">
        <v>36256</v>
      </c>
      <c r="D14" s="1">
        <v>5.4551099999999997E-11</v>
      </c>
      <c r="F14" s="7" t="s">
        <v>804</v>
      </c>
      <c r="G14">
        <v>36256</v>
      </c>
      <c r="H14" s="1">
        <v>5.4551099999999997E-11</v>
      </c>
      <c r="I14" s="1">
        <v>5.4550999999999997E-11</v>
      </c>
      <c r="J14" s="7" t="s">
        <v>833</v>
      </c>
      <c r="K14" s="13">
        <v>36256</v>
      </c>
      <c r="L14" s="14">
        <v>5.2143E-11</v>
      </c>
      <c r="M14" s="7" t="s">
        <v>833</v>
      </c>
      <c r="N14" s="11">
        <v>36256</v>
      </c>
      <c r="O14" s="1">
        <v>5.4551099999999997E-11</v>
      </c>
      <c r="Q14" s="7" t="s">
        <v>833</v>
      </c>
      <c r="R14">
        <v>36256</v>
      </c>
      <c r="S14" s="1">
        <v>5.4551099999999997E-11</v>
      </c>
      <c r="U14">
        <v>36256</v>
      </c>
      <c r="V14" s="1">
        <v>5.4550999999999997E-11</v>
      </c>
      <c r="X14">
        <v>36256</v>
      </c>
      <c r="Y14" s="1">
        <v>5.4550999999999997E-11</v>
      </c>
      <c r="AA14" s="1"/>
    </row>
    <row r="15" spans="1:27" ht="16" x14ac:dyDescent="0.2">
      <c r="A15" t="s">
        <v>846</v>
      </c>
      <c r="B15" s="7" t="s">
        <v>791</v>
      </c>
      <c r="C15">
        <v>40</v>
      </c>
      <c r="D15" s="1">
        <v>3.1908900000000001E-7</v>
      </c>
      <c r="F15" s="7" t="s">
        <v>804</v>
      </c>
      <c r="G15">
        <v>40</v>
      </c>
      <c r="H15" s="17">
        <v>3.1908900000000001E-7</v>
      </c>
      <c r="I15" s="17">
        <v>7.8646999999999994E-6</v>
      </c>
      <c r="J15" s="7" t="s">
        <v>833</v>
      </c>
      <c r="K15" s="11">
        <v>40</v>
      </c>
      <c r="L15" s="14">
        <v>3.1088500000000002E-7</v>
      </c>
      <c r="M15" s="7" t="s">
        <v>833</v>
      </c>
      <c r="N15" s="11">
        <v>40</v>
      </c>
      <c r="O15" s="1">
        <v>3.1908900000000001E-7</v>
      </c>
      <c r="Q15" s="7" t="s">
        <v>833</v>
      </c>
      <c r="R15">
        <v>40</v>
      </c>
      <c r="S15" s="1">
        <v>3.1908900000000001E-7</v>
      </c>
      <c r="U15">
        <v>40</v>
      </c>
      <c r="V15" s="1">
        <v>7.8646999999999994E-6</v>
      </c>
      <c r="X15">
        <v>40</v>
      </c>
      <c r="Y15" s="1">
        <v>7.8646999999999994E-6</v>
      </c>
      <c r="AA15" s="1"/>
    </row>
    <row r="16" spans="1:27" ht="16" x14ac:dyDescent="0.2">
      <c r="A16" t="s">
        <v>847</v>
      </c>
      <c r="B16" s="7" t="s">
        <v>791</v>
      </c>
      <c r="C16">
        <v>1267</v>
      </c>
      <c r="D16" s="1">
        <v>2.8172299999999999E-7</v>
      </c>
      <c r="F16" s="7" t="s">
        <v>804</v>
      </c>
      <c r="G16">
        <v>1267</v>
      </c>
      <c r="H16" s="1">
        <v>2.8172299999999999E-7</v>
      </c>
      <c r="I16" s="1">
        <v>6.9345000000000001E-7</v>
      </c>
      <c r="J16" s="7" t="s">
        <v>833</v>
      </c>
      <c r="K16" s="11">
        <v>1267</v>
      </c>
      <c r="L16" s="14">
        <v>2.1120399999999999E-7</v>
      </c>
      <c r="M16" s="7" t="s">
        <v>833</v>
      </c>
      <c r="N16" s="11">
        <v>1267</v>
      </c>
      <c r="O16" s="1">
        <v>2.8172299999999999E-7</v>
      </c>
      <c r="Q16" s="7" t="s">
        <v>833</v>
      </c>
      <c r="R16">
        <v>1267</v>
      </c>
      <c r="S16" s="1">
        <v>2.8172299999999999E-7</v>
      </c>
      <c r="U16">
        <v>1267</v>
      </c>
      <c r="V16" s="1">
        <v>6.9345000000000001E-7</v>
      </c>
      <c r="X16">
        <v>1267</v>
      </c>
      <c r="Y16" s="1">
        <v>6.9345000000000001E-7</v>
      </c>
      <c r="AA16" s="1"/>
    </row>
    <row r="17" spans="1:27" ht="16" x14ac:dyDescent="0.2">
      <c r="A17" t="s">
        <v>848</v>
      </c>
      <c r="B17" s="7" t="s">
        <v>791</v>
      </c>
      <c r="C17">
        <v>6608</v>
      </c>
      <c r="D17" s="1">
        <v>2.2477300000000001E-6</v>
      </c>
      <c r="F17" s="7" t="s">
        <v>804</v>
      </c>
      <c r="G17">
        <v>6608</v>
      </c>
      <c r="H17" s="1">
        <v>2.2477300000000001E-6</v>
      </c>
      <c r="I17" s="1">
        <v>2.2639E-6</v>
      </c>
      <c r="J17" s="7" t="s">
        <v>833</v>
      </c>
      <c r="K17" s="11">
        <v>6608</v>
      </c>
      <c r="L17" s="14">
        <v>1.80657E-6</v>
      </c>
      <c r="M17" s="7" t="s">
        <v>833</v>
      </c>
      <c r="N17" s="11">
        <v>6608</v>
      </c>
      <c r="O17" s="1">
        <v>2.2477300000000001E-6</v>
      </c>
      <c r="Q17" s="7" t="s">
        <v>833</v>
      </c>
      <c r="R17">
        <v>6608</v>
      </c>
      <c r="S17" s="1">
        <v>2.2477300000000001E-6</v>
      </c>
      <c r="U17">
        <v>6608</v>
      </c>
      <c r="V17" s="1">
        <v>2.2639E-6</v>
      </c>
      <c r="X17">
        <v>6608</v>
      </c>
      <c r="Y17" s="1">
        <v>2.2639E-6</v>
      </c>
      <c r="AA17" s="1"/>
    </row>
    <row r="18" spans="1:27" x14ac:dyDescent="0.2">
      <c r="A18" t="s">
        <v>849</v>
      </c>
      <c r="B18" s="7" t="s">
        <v>791</v>
      </c>
      <c r="C18">
        <v>443352</v>
      </c>
      <c r="D18" s="1">
        <v>3.0258899999999998E-10</v>
      </c>
      <c r="F18" s="7" t="s">
        <v>804</v>
      </c>
      <c r="J18" s="7" t="s">
        <v>833</v>
      </c>
      <c r="K18" s="13">
        <v>443352</v>
      </c>
      <c r="L18" s="14">
        <v>2.5487299999999999E-10</v>
      </c>
      <c r="M18" s="7" t="s">
        <v>833</v>
      </c>
      <c r="N18" s="13">
        <v>443352</v>
      </c>
      <c r="O18" s="1">
        <v>3.0258899999999998E-10</v>
      </c>
      <c r="Q18" s="7" t="s">
        <v>833</v>
      </c>
      <c r="R18">
        <v>443352</v>
      </c>
      <c r="S18" s="1">
        <v>3.0258899999999998E-10</v>
      </c>
    </row>
    <row r="19" spans="1:27" ht="16" x14ac:dyDescent="0.2">
      <c r="A19" t="s">
        <v>850</v>
      </c>
      <c r="B19" s="7" t="s">
        <v>791</v>
      </c>
      <c r="C19">
        <v>18679</v>
      </c>
      <c r="D19" s="1">
        <v>5.63773E-5</v>
      </c>
      <c r="F19" s="7" t="s">
        <v>804</v>
      </c>
      <c r="J19" s="7" t="s">
        <v>833</v>
      </c>
      <c r="K19" s="11">
        <v>18679</v>
      </c>
      <c r="L19" s="14">
        <v>4.8842799999999999E-5</v>
      </c>
      <c r="M19" s="7" t="s">
        <v>833</v>
      </c>
      <c r="N19" s="11">
        <v>18679</v>
      </c>
      <c r="O19" s="1">
        <v>5.63773E-5</v>
      </c>
      <c r="Q19" s="7" t="s">
        <v>833</v>
      </c>
      <c r="R19">
        <v>18679</v>
      </c>
      <c r="S19" s="1">
        <v>5.63773E-5</v>
      </c>
    </row>
    <row r="20" spans="1:27" x14ac:dyDescent="0.2">
      <c r="A20" t="s">
        <v>851</v>
      </c>
      <c r="B20" s="7" t="s">
        <v>791</v>
      </c>
      <c r="C20">
        <v>1239135</v>
      </c>
      <c r="D20" s="1">
        <v>1.58011E-6</v>
      </c>
      <c r="F20" s="7" t="s">
        <v>792</v>
      </c>
      <c r="J20" s="7" t="s">
        <v>833</v>
      </c>
      <c r="K20" s="13">
        <v>1239135</v>
      </c>
      <c r="L20" s="14">
        <v>1.4250900000000001E-6</v>
      </c>
      <c r="M20" s="7" t="s">
        <v>833</v>
      </c>
      <c r="N20" s="13">
        <v>1239135</v>
      </c>
      <c r="O20" s="1">
        <v>1.58011E-6</v>
      </c>
      <c r="Q20" s="7" t="s">
        <v>833</v>
      </c>
      <c r="R20">
        <v>1239135</v>
      </c>
      <c r="S20" s="1">
        <v>1.58011E-6</v>
      </c>
    </row>
    <row r="21" spans="1:27" ht="16" x14ac:dyDescent="0.2">
      <c r="A21" t="s">
        <v>852</v>
      </c>
      <c r="B21" s="7" t="s">
        <v>791</v>
      </c>
      <c r="C21">
        <v>2811610</v>
      </c>
      <c r="D21" s="1">
        <v>2.0068199999999999E-3</v>
      </c>
      <c r="F21" s="7" t="s">
        <v>804</v>
      </c>
      <c r="J21" s="7" t="s">
        <v>833</v>
      </c>
      <c r="K21" s="11">
        <v>2811610</v>
      </c>
      <c r="L21" s="14">
        <v>1.72697E-3</v>
      </c>
      <c r="M21" s="7" t="s">
        <v>833</v>
      </c>
      <c r="N21" s="11">
        <v>2811610</v>
      </c>
      <c r="O21" s="1">
        <v>2.0068199999999999E-3</v>
      </c>
      <c r="Q21" s="7" t="s">
        <v>833</v>
      </c>
      <c r="R21">
        <v>2811610</v>
      </c>
      <c r="S21" s="1">
        <v>2.0068199999999999E-3</v>
      </c>
    </row>
    <row r="22" spans="1:27" x14ac:dyDescent="0.2">
      <c r="A22" t="s">
        <v>853</v>
      </c>
      <c r="B22" s="7" t="s">
        <v>791</v>
      </c>
      <c r="C22">
        <v>16334</v>
      </c>
      <c r="D22" s="1">
        <v>5.4641499999999998E-11</v>
      </c>
      <c r="F22" s="7" t="s">
        <v>804</v>
      </c>
      <c r="J22" s="7" t="s">
        <v>833</v>
      </c>
      <c r="K22" s="13">
        <v>16334</v>
      </c>
      <c r="L22" s="14">
        <v>5.2201299999999999E-11</v>
      </c>
      <c r="M22" s="7" t="s">
        <v>833</v>
      </c>
      <c r="N22" s="13">
        <v>16334</v>
      </c>
      <c r="O22" s="1">
        <v>5.4641499999999998E-11</v>
      </c>
      <c r="Q22" s="7" t="s">
        <v>833</v>
      </c>
      <c r="R22">
        <v>16334</v>
      </c>
      <c r="S22" s="1">
        <v>5.4641499999999998E-11</v>
      </c>
    </row>
    <row r="23" spans="1:27" ht="16" x14ac:dyDescent="0.2">
      <c r="A23" t="s">
        <v>854</v>
      </c>
      <c r="B23" s="7" t="s">
        <v>791</v>
      </c>
      <c r="C23">
        <v>1726335</v>
      </c>
      <c r="D23" s="1">
        <v>4.6527100000000003E-12</v>
      </c>
      <c r="F23" s="7" t="s">
        <v>804</v>
      </c>
      <c r="J23" s="7" t="s">
        <v>833</v>
      </c>
      <c r="K23" s="11">
        <v>1726335</v>
      </c>
      <c r="L23" s="14">
        <v>4.2055399999999999E-12</v>
      </c>
      <c r="M23" s="7" t="s">
        <v>833</v>
      </c>
      <c r="N23" s="5">
        <v>1726335</v>
      </c>
      <c r="O23" s="1">
        <v>4.6527100000000003E-12</v>
      </c>
      <c r="Q23" s="7" t="s">
        <v>833</v>
      </c>
      <c r="R23">
        <v>1726335</v>
      </c>
      <c r="S23" s="1">
        <v>4.6527100000000003E-12</v>
      </c>
    </row>
    <row r="24" spans="1:27" x14ac:dyDescent="0.2">
      <c r="A24" t="s">
        <v>855</v>
      </c>
      <c r="B24" s="7" t="s">
        <v>791</v>
      </c>
      <c r="C24">
        <v>375584</v>
      </c>
      <c r="D24" s="1">
        <v>1.4610900000000001E-4</v>
      </c>
      <c r="F24" s="7" t="s">
        <v>804</v>
      </c>
      <c r="J24" s="7" t="s">
        <v>833</v>
      </c>
      <c r="K24" s="13">
        <v>375584</v>
      </c>
      <c r="L24" s="13">
        <v>1.46107E-4</v>
      </c>
      <c r="M24" s="7" t="s">
        <v>833</v>
      </c>
      <c r="N24">
        <v>375584</v>
      </c>
      <c r="O24" s="1">
        <v>1.4610900000000001E-4</v>
      </c>
      <c r="Q24" s="7" t="s">
        <v>833</v>
      </c>
      <c r="R24">
        <v>375584</v>
      </c>
      <c r="S24" s="1">
        <v>1.4610900000000001E-4</v>
      </c>
    </row>
    <row r="25" spans="1:27" ht="16" x14ac:dyDescent="0.2">
      <c r="A25" t="s">
        <v>856</v>
      </c>
      <c r="B25" s="7" t="s">
        <v>791</v>
      </c>
      <c r="C25">
        <v>5350736</v>
      </c>
      <c r="D25" s="1">
        <v>3.3607800000000002E-4</v>
      </c>
      <c r="F25" s="7" t="s">
        <v>804</v>
      </c>
      <c r="J25" s="7" t="s">
        <v>833</v>
      </c>
      <c r="K25" s="13">
        <v>5350736</v>
      </c>
      <c r="L25" s="13">
        <v>3.2000399999999998E-4</v>
      </c>
      <c r="M25" s="7" t="s">
        <v>833</v>
      </c>
      <c r="N25" s="5">
        <v>5350736</v>
      </c>
      <c r="O25" s="1">
        <v>3.3607800000000002E-4</v>
      </c>
      <c r="Q25" s="7" t="s">
        <v>833</v>
      </c>
      <c r="R25">
        <v>5350736</v>
      </c>
      <c r="S25" s="1">
        <v>3.3607800000000002E-4</v>
      </c>
    </row>
    <row r="26" spans="1:27" x14ac:dyDescent="0.2">
      <c r="A26" t="s">
        <v>857</v>
      </c>
      <c r="B26" s="7" t="s">
        <v>791</v>
      </c>
      <c r="C26">
        <v>1153131</v>
      </c>
      <c r="D26" s="1">
        <v>6.3977800000000002E-10</v>
      </c>
      <c r="F26" s="7" t="s">
        <v>804</v>
      </c>
      <c r="J26" s="7" t="s">
        <v>833</v>
      </c>
      <c r="K26" s="13">
        <v>1153131</v>
      </c>
      <c r="L26" s="14">
        <v>6.3977800000000002E-10</v>
      </c>
      <c r="M26" s="7" t="s">
        <v>833</v>
      </c>
      <c r="N26">
        <v>1153131</v>
      </c>
      <c r="O26" s="1">
        <v>6.3977800000000002E-10</v>
      </c>
      <c r="Q26" s="7" t="s">
        <v>833</v>
      </c>
      <c r="R26">
        <v>1153131</v>
      </c>
      <c r="S26" s="1">
        <v>6.3977800000000002E-10</v>
      </c>
    </row>
    <row r="27" spans="1:27" ht="16" x14ac:dyDescent="0.2">
      <c r="A27" t="s">
        <v>858</v>
      </c>
      <c r="B27" s="7" t="s">
        <v>792</v>
      </c>
      <c r="F27" s="7" t="s">
        <v>804</v>
      </c>
      <c r="J27" s="7" t="s">
        <v>792</v>
      </c>
      <c r="K27" s="13">
        <v>130238076</v>
      </c>
      <c r="L27" s="14">
        <v>1.9147400000000001E-25</v>
      </c>
      <c r="M27" s="7" t="s">
        <v>792</v>
      </c>
      <c r="N27" s="5">
        <v>130238076</v>
      </c>
      <c r="O27" s="1">
        <v>2.09347E-25</v>
      </c>
      <c r="Q27" s="7" t="s">
        <v>792</v>
      </c>
      <c r="R27">
        <v>130238076</v>
      </c>
      <c r="S27" s="1">
        <v>2.09347E-25</v>
      </c>
    </row>
    <row r="28" spans="1:27" x14ac:dyDescent="0.2">
      <c r="A28" t="s">
        <v>859</v>
      </c>
      <c r="B28" s="7" t="s">
        <v>791</v>
      </c>
      <c r="C28">
        <v>839229</v>
      </c>
      <c r="D28" s="1">
        <v>4.49897E-21</v>
      </c>
      <c r="F28" s="7" t="s">
        <v>804</v>
      </c>
      <c r="J28" s="7" t="s">
        <v>833</v>
      </c>
      <c r="K28">
        <v>839229</v>
      </c>
      <c r="L28" s="1">
        <v>4.0236000000000004E-21</v>
      </c>
      <c r="M28" s="7" t="s">
        <v>833</v>
      </c>
      <c r="N28">
        <v>839229</v>
      </c>
      <c r="O28" s="1">
        <v>4.49897E-21</v>
      </c>
      <c r="Q28" s="7" t="s">
        <v>833</v>
      </c>
      <c r="R28">
        <v>839229</v>
      </c>
      <c r="S28" s="1">
        <v>4.49897E-21</v>
      </c>
    </row>
    <row r="29" spans="1:27" ht="16" x14ac:dyDescent="0.2">
      <c r="A29" t="s">
        <v>860</v>
      </c>
      <c r="B29" s="7" t="s">
        <v>792</v>
      </c>
      <c r="F29" s="7" t="s">
        <v>804</v>
      </c>
      <c r="J29" s="7" t="s">
        <v>792</v>
      </c>
      <c r="K29">
        <v>1313078442</v>
      </c>
      <c r="L29" s="6">
        <v>1.4255600000000001E-11</v>
      </c>
      <c r="M29" s="7" t="s">
        <v>792</v>
      </c>
      <c r="Q29" s="7" t="s">
        <v>792</v>
      </c>
    </row>
    <row r="30" spans="1:27" x14ac:dyDescent="0.2">
      <c r="A30" t="s">
        <v>861</v>
      </c>
      <c r="B30" s="7" t="s">
        <v>792</v>
      </c>
      <c r="F30" s="7" t="s">
        <v>804</v>
      </c>
      <c r="J30" s="7" t="s">
        <v>833</v>
      </c>
      <c r="K30">
        <v>17216420</v>
      </c>
      <c r="L30" s="1">
        <v>2.4836499999999999E-8</v>
      </c>
      <c r="M30" s="7" t="s">
        <v>833</v>
      </c>
      <c r="N30">
        <v>17216420</v>
      </c>
      <c r="O30" s="1">
        <v>2.6345799999999999E-8</v>
      </c>
      <c r="Q30" s="7" t="s">
        <v>833</v>
      </c>
      <c r="R30">
        <v>17216420</v>
      </c>
      <c r="S30" s="1">
        <v>2.6345799999999999E-8</v>
      </c>
    </row>
    <row r="31" spans="1:27" x14ac:dyDescent="0.2">
      <c r="A31" t="s">
        <v>862</v>
      </c>
      <c r="B31" s="7" t="s">
        <v>791</v>
      </c>
      <c r="C31">
        <v>476224</v>
      </c>
      <c r="D31" s="1">
        <v>2.7968200000000002E-19</v>
      </c>
      <c r="F31" s="7" t="s">
        <v>804</v>
      </c>
      <c r="J31" s="7" t="s">
        <v>833</v>
      </c>
      <c r="K31">
        <v>476224</v>
      </c>
      <c r="L31" s="1">
        <v>1.9018200000000001E-19</v>
      </c>
      <c r="M31" s="7" t="s">
        <v>833</v>
      </c>
      <c r="N31">
        <v>476224</v>
      </c>
      <c r="O31" s="1">
        <v>2.7968200000000002E-19</v>
      </c>
      <c r="Q31" s="7" t="s">
        <v>833</v>
      </c>
      <c r="R31">
        <v>476224</v>
      </c>
      <c r="S31" s="1">
        <v>2.7968200000000002E-19</v>
      </c>
    </row>
    <row r="32" spans="1:27" x14ac:dyDescent="0.2">
      <c r="A32" t="s">
        <v>863</v>
      </c>
      <c r="B32" s="7" t="s">
        <v>793</v>
      </c>
      <c r="F32" s="7" t="s">
        <v>804</v>
      </c>
      <c r="J32" s="7" t="s">
        <v>792</v>
      </c>
      <c r="K32">
        <v>635868711</v>
      </c>
      <c r="L32" s="1">
        <v>2.54493E-20</v>
      </c>
      <c r="M32" s="7" t="s">
        <v>792</v>
      </c>
      <c r="N32">
        <v>635868711</v>
      </c>
      <c r="O32" s="1">
        <v>3.6348599999999999E-20</v>
      </c>
      <c r="Q32" s="7" t="s">
        <v>792</v>
      </c>
      <c r="R32">
        <v>635868711</v>
      </c>
      <c r="S32" s="1">
        <v>3.6348599999999999E-20</v>
      </c>
    </row>
    <row r="33" spans="1:19" x14ac:dyDescent="0.2">
      <c r="A33" t="s">
        <v>864</v>
      </c>
      <c r="B33" s="7" t="s">
        <v>791</v>
      </c>
      <c r="C33">
        <v>194658</v>
      </c>
      <c r="D33" s="1">
        <v>6.9630500000000001E-11</v>
      </c>
      <c r="F33" s="7" t="s">
        <v>804</v>
      </c>
      <c r="J33" s="7" t="s">
        <v>833</v>
      </c>
      <c r="K33">
        <v>194658</v>
      </c>
      <c r="L33" s="1">
        <v>2.9870200000000002E-11</v>
      </c>
      <c r="M33" s="7" t="s">
        <v>833</v>
      </c>
      <c r="N33">
        <v>194658</v>
      </c>
      <c r="O33" s="1">
        <v>6.9630500000000001E-11</v>
      </c>
      <c r="Q33" s="7" t="s">
        <v>833</v>
      </c>
      <c r="R33">
        <v>194658</v>
      </c>
      <c r="S33" s="1">
        <v>6.9630500000000001E-11</v>
      </c>
    </row>
    <row r="34" spans="1:19" x14ac:dyDescent="0.2">
      <c r="A34" t="s">
        <v>865</v>
      </c>
      <c r="B34" s="7" t="s">
        <v>792</v>
      </c>
      <c r="F34" s="7" t="s">
        <v>804</v>
      </c>
      <c r="J34" s="7" t="s">
        <v>792</v>
      </c>
      <c r="M34" s="7" t="s">
        <v>792</v>
      </c>
      <c r="Q34" s="7" t="s">
        <v>792</v>
      </c>
    </row>
    <row r="35" spans="1:19" x14ac:dyDescent="0.2">
      <c r="A35" t="s">
        <v>866</v>
      </c>
      <c r="B35" s="7" t="s">
        <v>792</v>
      </c>
      <c r="F35" s="7" t="s">
        <v>804</v>
      </c>
      <c r="J35" s="7" t="s">
        <v>792</v>
      </c>
      <c r="K35">
        <v>78630549</v>
      </c>
      <c r="L35" s="1">
        <v>1.19006E-11</v>
      </c>
      <c r="M35" s="7" t="s">
        <v>792</v>
      </c>
      <c r="N35">
        <v>78630549</v>
      </c>
      <c r="O35" s="1">
        <v>1.3534500000000001E-11</v>
      </c>
      <c r="Q35" s="7" t="s">
        <v>792</v>
      </c>
      <c r="R35">
        <v>78630549</v>
      </c>
      <c r="S35" s="1">
        <v>1.3534500000000001E-11</v>
      </c>
    </row>
    <row r="36" spans="1:19" x14ac:dyDescent="0.2">
      <c r="A36" t="s">
        <v>867</v>
      </c>
      <c r="B36" s="7" t="s">
        <v>792</v>
      </c>
      <c r="F36" s="7" t="s">
        <v>804</v>
      </c>
      <c r="J36" s="7" t="s">
        <v>792</v>
      </c>
      <c r="M36" s="7" t="s">
        <v>792</v>
      </c>
      <c r="Q36" s="7" t="s">
        <v>792</v>
      </c>
    </row>
    <row r="37" spans="1:19" x14ac:dyDescent="0.2">
      <c r="A37" t="s">
        <v>868</v>
      </c>
      <c r="B37" s="7" t="s">
        <v>791</v>
      </c>
      <c r="C37">
        <v>2568192</v>
      </c>
      <c r="D37" s="1">
        <v>3.74541E-42</v>
      </c>
      <c r="F37" s="7" t="s">
        <v>804</v>
      </c>
      <c r="J37" s="7" t="s">
        <v>833</v>
      </c>
      <c r="K37">
        <v>2568192</v>
      </c>
      <c r="L37" s="1">
        <v>2.2481399999999999E-42</v>
      </c>
      <c r="M37" s="7" t="s">
        <v>833</v>
      </c>
      <c r="N37">
        <v>2568192</v>
      </c>
      <c r="O37" s="1">
        <v>3.74541E-42</v>
      </c>
      <c r="Q37" s="7" t="s">
        <v>833</v>
      </c>
      <c r="R37">
        <v>2568192</v>
      </c>
      <c r="S37" s="1">
        <v>3.74541E-42</v>
      </c>
    </row>
    <row r="38" spans="1:19" x14ac:dyDescent="0.2">
      <c r="A38" t="s">
        <v>869</v>
      </c>
      <c r="B38" s="7" t="s">
        <v>792</v>
      </c>
      <c r="F38" s="7" t="s">
        <v>804</v>
      </c>
      <c r="J38" s="7" t="s">
        <v>792</v>
      </c>
      <c r="K38">
        <v>625755882</v>
      </c>
      <c r="L38" s="1">
        <v>3.1643899999999999E-6</v>
      </c>
      <c r="M38" s="7" t="s">
        <v>792</v>
      </c>
      <c r="Q38" s="7" t="s">
        <v>792</v>
      </c>
    </row>
    <row r="39" spans="1:19" x14ac:dyDescent="0.2">
      <c r="A39" t="s">
        <v>870</v>
      </c>
      <c r="B39" s="7" t="s">
        <v>792</v>
      </c>
      <c r="F39" s="7" t="s">
        <v>792</v>
      </c>
      <c r="J39" s="7" t="s">
        <v>792</v>
      </c>
      <c r="M39" s="7" t="s">
        <v>792</v>
      </c>
      <c r="Q39" s="7" t="s">
        <v>792</v>
      </c>
    </row>
    <row r="40" spans="1:19" x14ac:dyDescent="0.2">
      <c r="A40" t="s">
        <v>871</v>
      </c>
      <c r="B40" s="7" t="s">
        <v>792</v>
      </c>
      <c r="F40" s="7" t="s">
        <v>804</v>
      </c>
      <c r="J40" s="7" t="s">
        <v>793</v>
      </c>
      <c r="M40" s="7" t="s">
        <v>792</v>
      </c>
      <c r="Q40" s="7" t="s">
        <v>792</v>
      </c>
    </row>
    <row r="41" spans="1:19" x14ac:dyDescent="0.2">
      <c r="A41" t="s">
        <v>872</v>
      </c>
      <c r="B41" s="7" t="s">
        <v>792</v>
      </c>
      <c r="F41" s="7" t="s">
        <v>804</v>
      </c>
      <c r="J41" s="7" t="s">
        <v>793</v>
      </c>
      <c r="M41" s="7" t="s">
        <v>792</v>
      </c>
      <c r="Q41" s="7" t="s">
        <v>793</v>
      </c>
    </row>
    <row r="42" spans="1:19" x14ac:dyDescent="0.2">
      <c r="A42" t="s">
        <v>873</v>
      </c>
      <c r="B42" s="7" t="s">
        <v>792</v>
      </c>
      <c r="F42" s="7" t="s">
        <v>804</v>
      </c>
      <c r="J42" s="7" t="s">
        <v>792</v>
      </c>
      <c r="M42" s="7" t="s">
        <v>792</v>
      </c>
      <c r="Q42" s="7" t="s">
        <v>792</v>
      </c>
    </row>
    <row r="43" spans="1:19" x14ac:dyDescent="0.2">
      <c r="A43" t="s">
        <v>874</v>
      </c>
      <c r="B43" s="7" t="s">
        <v>792</v>
      </c>
      <c r="F43" s="7" t="s">
        <v>804</v>
      </c>
      <c r="J43" s="7" t="s">
        <v>792</v>
      </c>
      <c r="K43">
        <v>1143353525</v>
      </c>
      <c r="L43" s="1">
        <v>1.40147E-13</v>
      </c>
      <c r="M43" s="7" t="s">
        <v>792</v>
      </c>
      <c r="Q43" s="7" t="s">
        <v>792</v>
      </c>
    </row>
    <row r="44" spans="1:19" x14ac:dyDescent="0.2">
      <c r="A44" t="s">
        <v>875</v>
      </c>
      <c r="B44" s="7" t="s">
        <v>792</v>
      </c>
      <c r="F44" s="7" t="s">
        <v>804</v>
      </c>
      <c r="J44" s="7" t="s">
        <v>792</v>
      </c>
      <c r="M44" s="7" t="s">
        <v>792</v>
      </c>
      <c r="Q44" s="7" t="s">
        <v>792</v>
      </c>
    </row>
    <row r="45" spans="1:19" x14ac:dyDescent="0.2">
      <c r="A45" t="s">
        <v>876</v>
      </c>
      <c r="B45" s="7" t="s">
        <v>792</v>
      </c>
      <c r="F45" s="7" t="s">
        <v>804</v>
      </c>
      <c r="J45" s="7" t="s">
        <v>793</v>
      </c>
      <c r="M45" s="7" t="s">
        <v>792</v>
      </c>
      <c r="Q45" s="7" t="s">
        <v>792</v>
      </c>
    </row>
    <row r="46" spans="1:19" x14ac:dyDescent="0.2">
      <c r="A46" t="s">
        <v>877</v>
      </c>
      <c r="B46" s="7" t="s">
        <v>792</v>
      </c>
      <c r="F46" s="7" t="s">
        <v>804</v>
      </c>
      <c r="J46" s="7" t="s">
        <v>792</v>
      </c>
      <c r="M46" s="7" t="s">
        <v>792</v>
      </c>
      <c r="Q46" s="7" t="s">
        <v>792</v>
      </c>
    </row>
    <row r="47" spans="1:19" x14ac:dyDescent="0.2">
      <c r="A47" t="s">
        <v>878</v>
      </c>
      <c r="B47" s="7" t="s">
        <v>792</v>
      </c>
      <c r="F47" s="7" t="s">
        <v>804</v>
      </c>
      <c r="J47" s="7" t="s">
        <v>792</v>
      </c>
      <c r="M47" s="7" t="s">
        <v>792</v>
      </c>
      <c r="Q47" s="7" t="s">
        <v>792</v>
      </c>
    </row>
    <row r="48" spans="1:19" x14ac:dyDescent="0.2">
      <c r="A48" t="s">
        <v>879</v>
      </c>
      <c r="B48" s="7" t="s">
        <v>793</v>
      </c>
      <c r="F48" s="7" t="s">
        <v>804</v>
      </c>
      <c r="J48" s="7" t="s">
        <v>792</v>
      </c>
      <c r="K48">
        <v>375579200</v>
      </c>
      <c r="L48" s="1">
        <v>1.8935799999999999E-28</v>
      </c>
      <c r="M48" s="7" t="s">
        <v>792</v>
      </c>
      <c r="N48">
        <v>375579200</v>
      </c>
      <c r="O48" s="1">
        <v>3.0026E-28</v>
      </c>
      <c r="Q48" s="7" t="s">
        <v>792</v>
      </c>
      <c r="R48">
        <v>375579200</v>
      </c>
      <c r="S48" s="1">
        <v>3.0026E-28</v>
      </c>
    </row>
    <row r="49" spans="1:19" x14ac:dyDescent="0.2">
      <c r="A49" t="s">
        <v>880</v>
      </c>
      <c r="B49" s="7" t="s">
        <v>792</v>
      </c>
      <c r="F49" s="7" t="s">
        <v>804</v>
      </c>
      <c r="J49" s="7" t="s">
        <v>793</v>
      </c>
      <c r="M49" s="7" t="s">
        <v>792</v>
      </c>
      <c r="Q49" s="7" t="s">
        <v>793</v>
      </c>
    </row>
    <row r="50" spans="1:19" x14ac:dyDescent="0.2">
      <c r="A50" t="s">
        <v>881</v>
      </c>
      <c r="B50" s="7" t="s">
        <v>792</v>
      </c>
      <c r="F50" s="7" t="s">
        <v>804</v>
      </c>
      <c r="J50" s="7" t="s">
        <v>792</v>
      </c>
      <c r="M50" s="7" t="s">
        <v>792</v>
      </c>
      <c r="Q50" s="7" t="s">
        <v>792</v>
      </c>
    </row>
    <row r="51" spans="1:19" ht="16" x14ac:dyDescent="0.2">
      <c r="A51" t="s">
        <v>882</v>
      </c>
      <c r="B51" s="7" t="s">
        <v>792</v>
      </c>
      <c r="F51" s="7" t="s">
        <v>804</v>
      </c>
      <c r="J51" s="7" t="s">
        <v>792</v>
      </c>
      <c r="K51" s="5">
        <v>1032780104</v>
      </c>
      <c r="L51" s="1">
        <v>1.41742E-12</v>
      </c>
      <c r="M51" s="7" t="s">
        <v>792</v>
      </c>
      <c r="Q51" s="7" t="s">
        <v>792</v>
      </c>
    </row>
    <row r="52" spans="1:19" x14ac:dyDescent="0.2">
      <c r="A52" t="s">
        <v>883</v>
      </c>
      <c r="B52" s="7" t="s">
        <v>792</v>
      </c>
      <c r="F52" s="7" t="s">
        <v>804</v>
      </c>
      <c r="J52" s="7" t="s">
        <v>792</v>
      </c>
      <c r="M52" s="7" t="s">
        <v>792</v>
      </c>
      <c r="Q52" s="7" t="s">
        <v>792</v>
      </c>
    </row>
    <row r="53" spans="1:19" x14ac:dyDescent="0.2">
      <c r="A53" t="s">
        <v>884</v>
      </c>
      <c r="B53" s="7" t="s">
        <v>792</v>
      </c>
      <c r="F53" s="7" t="s">
        <v>804</v>
      </c>
      <c r="J53" s="7" t="s">
        <v>793</v>
      </c>
      <c r="M53" s="7" t="s">
        <v>792</v>
      </c>
      <c r="N53">
        <v>200863512</v>
      </c>
      <c r="O53" s="1">
        <v>4.5421999999999998E-17</v>
      </c>
      <c r="Q53" s="7" t="s">
        <v>792</v>
      </c>
      <c r="R53">
        <v>200863512</v>
      </c>
      <c r="S53" s="1">
        <v>4.5421999999999998E-17</v>
      </c>
    </row>
    <row r="54" spans="1:19" x14ac:dyDescent="0.2">
      <c r="A54" t="s">
        <v>885</v>
      </c>
      <c r="B54" s="7" t="s">
        <v>792</v>
      </c>
      <c r="F54" s="7" t="s">
        <v>804</v>
      </c>
      <c r="J54" s="7" t="s">
        <v>793</v>
      </c>
      <c r="M54" s="7" t="s">
        <v>792</v>
      </c>
      <c r="Q54" s="7" t="s">
        <v>792</v>
      </c>
    </row>
    <row r="55" spans="1:19" x14ac:dyDescent="0.2">
      <c r="A55" t="s">
        <v>886</v>
      </c>
      <c r="B55" s="7" t="s">
        <v>792</v>
      </c>
      <c r="F55" s="7" t="s">
        <v>804</v>
      </c>
      <c r="J55" s="7" t="s">
        <v>793</v>
      </c>
      <c r="M55" s="7" t="s">
        <v>792</v>
      </c>
      <c r="Q55" s="7" t="s">
        <v>792</v>
      </c>
    </row>
    <row r="56" spans="1:19" x14ac:dyDescent="0.2">
      <c r="A56" t="s">
        <v>887</v>
      </c>
      <c r="B56" s="7" t="s">
        <v>792</v>
      </c>
      <c r="F56" s="7" t="s">
        <v>804</v>
      </c>
      <c r="J56" s="7" t="s">
        <v>793</v>
      </c>
      <c r="M56" s="7" t="s">
        <v>792</v>
      </c>
      <c r="Q56" s="7" t="s">
        <v>793</v>
      </c>
    </row>
    <row r="57" spans="1:19" x14ac:dyDescent="0.2">
      <c r="A57" t="s">
        <v>888</v>
      </c>
      <c r="B57" s="7" t="s">
        <v>792</v>
      </c>
      <c r="F57" s="7" t="s">
        <v>804</v>
      </c>
      <c r="J57" s="7" t="s">
        <v>792</v>
      </c>
      <c r="M57" s="7" t="s">
        <v>792</v>
      </c>
      <c r="Q57" s="7" t="s">
        <v>792</v>
      </c>
    </row>
    <row r="58" spans="1:19" x14ac:dyDescent="0.2">
      <c r="A58" t="s">
        <v>889</v>
      </c>
      <c r="B58" s="7" t="s">
        <v>792</v>
      </c>
      <c r="F58" s="7" t="s">
        <v>804</v>
      </c>
      <c r="J58" s="7" t="s">
        <v>792</v>
      </c>
      <c r="M58" s="7" t="s">
        <v>792</v>
      </c>
      <c r="Q58" s="7" t="s">
        <v>792</v>
      </c>
    </row>
    <row r="59" spans="1:19" x14ac:dyDescent="0.2">
      <c r="A59" t="s">
        <v>890</v>
      </c>
      <c r="B59" s="7" t="s">
        <v>792</v>
      </c>
      <c r="F59" s="7" t="s">
        <v>792</v>
      </c>
      <c r="J59" s="7" t="s">
        <v>793</v>
      </c>
      <c r="M59" s="7" t="s">
        <v>792</v>
      </c>
      <c r="Q59" s="7" t="s">
        <v>793</v>
      </c>
    </row>
    <row r="60" spans="1:19" x14ac:dyDescent="0.2">
      <c r="A60" t="s">
        <v>891</v>
      </c>
      <c r="B60" s="7" t="s">
        <v>792</v>
      </c>
      <c r="F60" s="7" t="s">
        <v>804</v>
      </c>
      <c r="J60" s="7" t="s">
        <v>793</v>
      </c>
      <c r="M60" s="7" t="s">
        <v>792</v>
      </c>
      <c r="Q60" s="7" t="s">
        <v>793</v>
      </c>
    </row>
    <row r="61" spans="1:19" x14ac:dyDescent="0.2">
      <c r="A61" t="s">
        <v>892</v>
      </c>
      <c r="B61" s="7" t="s">
        <v>792</v>
      </c>
      <c r="F61" s="7" t="s">
        <v>804</v>
      </c>
      <c r="J61" s="7" t="s">
        <v>793</v>
      </c>
      <c r="M61" s="7" t="s">
        <v>792</v>
      </c>
      <c r="Q61" s="7" t="s">
        <v>792</v>
      </c>
    </row>
    <row r="62" spans="1:19" x14ac:dyDescent="0.2">
      <c r="A62" t="s">
        <v>893</v>
      </c>
      <c r="B62" s="7" t="s">
        <v>792</v>
      </c>
      <c r="F62" s="7" t="s">
        <v>804</v>
      </c>
      <c r="J62" s="7" t="s">
        <v>793</v>
      </c>
      <c r="M62" s="7" t="s">
        <v>792</v>
      </c>
      <c r="Q62" s="7" t="s">
        <v>793</v>
      </c>
    </row>
    <row r="63" spans="1:19" x14ac:dyDescent="0.2">
      <c r="A63" t="s">
        <v>894</v>
      </c>
      <c r="B63" s="7" t="s">
        <v>792</v>
      </c>
      <c r="F63" s="7" t="s">
        <v>804</v>
      </c>
      <c r="J63" s="7" t="s">
        <v>792</v>
      </c>
      <c r="M63" s="7" t="s">
        <v>792</v>
      </c>
      <c r="Q63" s="7" t="s">
        <v>792</v>
      </c>
    </row>
    <row r="64" spans="1:19" x14ac:dyDescent="0.2">
      <c r="A64" t="s">
        <v>895</v>
      </c>
      <c r="B64" s="7" t="s">
        <v>792</v>
      </c>
      <c r="F64" s="7" t="s">
        <v>804</v>
      </c>
      <c r="J64" s="7" t="s">
        <v>793</v>
      </c>
      <c r="M64" s="7" t="s">
        <v>792</v>
      </c>
      <c r="Q64" s="7" t="s">
        <v>793</v>
      </c>
    </row>
    <row r="65" spans="1:19" x14ac:dyDescent="0.2">
      <c r="A65" t="s">
        <v>896</v>
      </c>
      <c r="B65" s="7" t="s">
        <v>792</v>
      </c>
      <c r="F65" s="7" t="s">
        <v>804</v>
      </c>
      <c r="J65" s="7" t="s">
        <v>793</v>
      </c>
      <c r="M65" s="7" t="s">
        <v>792</v>
      </c>
      <c r="Q65" s="7" t="s">
        <v>793</v>
      </c>
    </row>
    <row r="66" spans="1:19" x14ac:dyDescent="0.2">
      <c r="A66" t="s">
        <v>897</v>
      </c>
      <c r="B66" s="7" t="s">
        <v>792</v>
      </c>
      <c r="F66" s="7" t="s">
        <v>804</v>
      </c>
      <c r="J66" s="7" t="s">
        <v>792</v>
      </c>
      <c r="M66" s="7" t="s">
        <v>792</v>
      </c>
      <c r="Q66" s="7" t="s">
        <v>793</v>
      </c>
    </row>
    <row r="67" spans="1:19" x14ac:dyDescent="0.2">
      <c r="A67" t="s">
        <v>898</v>
      </c>
      <c r="B67" s="7" t="s">
        <v>792</v>
      </c>
      <c r="F67" s="7" t="s">
        <v>804</v>
      </c>
      <c r="J67" s="7" t="s">
        <v>792</v>
      </c>
      <c r="M67" s="7" t="s">
        <v>792</v>
      </c>
      <c r="Q67" s="7" t="s">
        <v>792</v>
      </c>
    </row>
    <row r="68" spans="1:19" x14ac:dyDescent="0.2">
      <c r="A68" t="s">
        <v>899</v>
      </c>
      <c r="B68" s="7" t="s">
        <v>792</v>
      </c>
      <c r="F68" s="7" t="s">
        <v>804</v>
      </c>
      <c r="J68" s="7" t="s">
        <v>793</v>
      </c>
      <c r="M68" s="7" t="s">
        <v>792</v>
      </c>
      <c r="Q68" s="7" t="s">
        <v>792</v>
      </c>
    </row>
    <row r="69" spans="1:19" ht="16" x14ac:dyDescent="0.2">
      <c r="A69" t="s">
        <v>900</v>
      </c>
      <c r="B69" s="7" t="s">
        <v>792</v>
      </c>
      <c r="F69" s="7" t="s">
        <v>804</v>
      </c>
      <c r="J69" s="7" t="s">
        <v>792</v>
      </c>
      <c r="K69" s="5">
        <v>932521398</v>
      </c>
      <c r="L69" s="1">
        <v>1.57131E-17</v>
      </c>
      <c r="M69" s="7" t="s">
        <v>792</v>
      </c>
      <c r="Q69" s="7" t="s">
        <v>792</v>
      </c>
    </row>
    <row r="70" spans="1:19" x14ac:dyDescent="0.2">
      <c r="A70" t="s">
        <v>901</v>
      </c>
      <c r="B70" s="7" t="s">
        <v>792</v>
      </c>
      <c r="F70" s="7" t="s">
        <v>804</v>
      </c>
      <c r="J70" s="7" t="s">
        <v>792</v>
      </c>
      <c r="M70" s="7" t="s">
        <v>792</v>
      </c>
      <c r="Q70" s="7" t="s">
        <v>792</v>
      </c>
    </row>
    <row r="71" spans="1:19" x14ac:dyDescent="0.2">
      <c r="A71" t="s">
        <v>902</v>
      </c>
      <c r="B71" s="7" t="s">
        <v>792</v>
      </c>
      <c r="F71" s="7" t="s">
        <v>804</v>
      </c>
      <c r="J71" s="7" t="s">
        <v>793</v>
      </c>
      <c r="M71" s="7" t="s">
        <v>792</v>
      </c>
      <c r="Q71" s="7" t="s">
        <v>793</v>
      </c>
    </row>
    <row r="72" spans="1:19" x14ac:dyDescent="0.2">
      <c r="A72" t="s">
        <v>903</v>
      </c>
      <c r="B72" s="7" t="s">
        <v>792</v>
      </c>
      <c r="F72" s="7" t="s">
        <v>804</v>
      </c>
      <c r="J72" s="7" t="s">
        <v>793</v>
      </c>
      <c r="M72" s="7" t="s">
        <v>792</v>
      </c>
      <c r="N72">
        <v>197335339</v>
      </c>
      <c r="O72" s="1">
        <v>1.44159E-6</v>
      </c>
      <c r="Q72" s="7" t="s">
        <v>792</v>
      </c>
      <c r="R72">
        <v>197335339</v>
      </c>
      <c r="S72" s="1">
        <v>1.44159E-6</v>
      </c>
    </row>
    <row r="73" spans="1:19" x14ac:dyDescent="0.2">
      <c r="A73" t="s">
        <v>904</v>
      </c>
      <c r="B73" s="7" t="s">
        <v>792</v>
      </c>
      <c r="F73" s="7" t="s">
        <v>804</v>
      </c>
      <c r="J73" s="7" t="s">
        <v>793</v>
      </c>
      <c r="M73" s="7" t="s">
        <v>792</v>
      </c>
      <c r="Q73" s="7" t="s">
        <v>792</v>
      </c>
    </row>
    <row r="74" spans="1:19" x14ac:dyDescent="0.2">
      <c r="A74" t="s">
        <v>905</v>
      </c>
      <c r="B74" s="7" t="s">
        <v>792</v>
      </c>
      <c r="F74" s="7" t="s">
        <v>804</v>
      </c>
      <c r="J74" s="7" t="s">
        <v>793</v>
      </c>
      <c r="M74" s="7" t="s">
        <v>792</v>
      </c>
      <c r="Q74" s="7" t="s">
        <v>792</v>
      </c>
    </row>
    <row r="75" spans="1:19" x14ac:dyDescent="0.2">
      <c r="A75" t="s">
        <v>906</v>
      </c>
      <c r="B75" s="7" t="s">
        <v>792</v>
      </c>
      <c r="F75" s="7" t="s">
        <v>804</v>
      </c>
      <c r="J75" s="7" t="s">
        <v>792</v>
      </c>
      <c r="M75" s="7" t="s">
        <v>792</v>
      </c>
      <c r="Q75" s="7" t="s">
        <v>792</v>
      </c>
    </row>
    <row r="76" spans="1:19" x14ac:dyDescent="0.2">
      <c r="A76" t="s">
        <v>907</v>
      </c>
      <c r="B76" s="7" t="s">
        <v>792</v>
      </c>
      <c r="F76" s="7" t="s">
        <v>804</v>
      </c>
      <c r="J76" s="7" t="s">
        <v>793</v>
      </c>
      <c r="M76" s="7" t="s">
        <v>792</v>
      </c>
      <c r="Q76" s="7" t="s">
        <v>792</v>
      </c>
    </row>
    <row r="77" spans="1:19" x14ac:dyDescent="0.2">
      <c r="A77" t="s">
        <v>908</v>
      </c>
      <c r="B77" s="7" t="s">
        <v>792</v>
      </c>
      <c r="F77" s="7" t="s">
        <v>804</v>
      </c>
      <c r="J77" s="7" t="s">
        <v>793</v>
      </c>
      <c r="M77" s="7" t="s">
        <v>792</v>
      </c>
      <c r="Q77" s="7" t="s">
        <v>793</v>
      </c>
    </row>
    <row r="78" spans="1:19" x14ac:dyDescent="0.2">
      <c r="A78" t="s">
        <v>909</v>
      </c>
      <c r="B78" s="7" t="s">
        <v>793</v>
      </c>
      <c r="F78" s="7" t="s">
        <v>804</v>
      </c>
      <c r="J78" s="7" t="s">
        <v>793</v>
      </c>
      <c r="M78" s="7" t="s">
        <v>792</v>
      </c>
      <c r="N78">
        <v>108921962</v>
      </c>
      <c r="O78" s="1">
        <v>2.6896999999999999E-8</v>
      </c>
      <c r="Q78" s="7" t="s">
        <v>792</v>
      </c>
      <c r="R78">
        <v>108921962</v>
      </c>
      <c r="S78" s="1">
        <v>2.6896999999999999E-8</v>
      </c>
    </row>
    <row r="79" spans="1:19" x14ac:dyDescent="0.2">
      <c r="B79"/>
      <c r="F79"/>
      <c r="J79"/>
      <c r="M79"/>
      <c r="Q79"/>
    </row>
    <row r="80" spans="1:19" x14ac:dyDescent="0.2">
      <c r="B80"/>
      <c r="F80"/>
      <c r="J80"/>
      <c r="M80"/>
      <c r="Q80"/>
    </row>
    <row r="81" spans="1:19" x14ac:dyDescent="0.2">
      <c r="B81"/>
      <c r="F81"/>
      <c r="J81"/>
      <c r="M81"/>
      <c r="Q81"/>
    </row>
    <row r="82" spans="1:19" x14ac:dyDescent="0.2">
      <c r="B82"/>
      <c r="F82"/>
      <c r="J82"/>
      <c r="M82"/>
      <c r="Q82"/>
    </row>
    <row r="83" spans="1:19" x14ac:dyDescent="0.2">
      <c r="B83"/>
      <c r="F83"/>
      <c r="J83"/>
      <c r="M83"/>
      <c r="Q83"/>
    </row>
    <row r="84" spans="1:19" x14ac:dyDescent="0.2">
      <c r="B84"/>
      <c r="F84"/>
      <c r="J84"/>
      <c r="M84"/>
      <c r="Q84"/>
    </row>
    <row r="85" spans="1:19" x14ac:dyDescent="0.2">
      <c r="B85"/>
      <c r="F85"/>
      <c r="J85"/>
      <c r="M85"/>
      <c r="Q85"/>
    </row>
    <row r="86" spans="1:19" x14ac:dyDescent="0.2">
      <c r="B86"/>
      <c r="F86"/>
      <c r="J86"/>
      <c r="M86"/>
      <c r="Q86"/>
    </row>
    <row r="87" spans="1:19" x14ac:dyDescent="0.2">
      <c r="B87"/>
      <c r="F87"/>
      <c r="J87"/>
      <c r="M87"/>
      <c r="Q87"/>
    </row>
    <row r="88" spans="1:19" x14ac:dyDescent="0.2">
      <c r="B88"/>
      <c r="F88"/>
      <c r="J88"/>
      <c r="M88"/>
      <c r="Q88"/>
    </row>
    <row r="89" spans="1:19" x14ac:dyDescent="0.2">
      <c r="B89"/>
      <c r="F89"/>
      <c r="J89"/>
      <c r="M89"/>
      <c r="Q89"/>
    </row>
    <row r="90" spans="1:19" x14ac:dyDescent="0.2">
      <c r="B90"/>
      <c r="F90"/>
      <c r="J90"/>
      <c r="M90"/>
      <c r="Q90"/>
    </row>
    <row r="91" spans="1:19" x14ac:dyDescent="0.2">
      <c r="B91"/>
      <c r="F91"/>
      <c r="J91"/>
      <c r="M91"/>
      <c r="Q91"/>
    </row>
    <row r="92" spans="1:19" x14ac:dyDescent="0.2">
      <c r="B92"/>
      <c r="F92"/>
      <c r="J92"/>
      <c r="M92"/>
      <c r="Q92"/>
    </row>
    <row r="93" spans="1:19" x14ac:dyDescent="0.2">
      <c r="B93"/>
      <c r="F93"/>
      <c r="J93"/>
      <c r="M93"/>
      <c r="Q93"/>
    </row>
    <row r="94" spans="1:19" x14ac:dyDescent="0.2">
      <c r="B94"/>
      <c r="F94"/>
      <c r="J94"/>
      <c r="M94"/>
      <c r="Q94"/>
    </row>
    <row r="95" spans="1:19" x14ac:dyDescent="0.2">
      <c r="B95"/>
      <c r="F95"/>
      <c r="J95"/>
      <c r="M95"/>
      <c r="Q95"/>
    </row>
    <row r="96" spans="1:19" x14ac:dyDescent="0.2">
      <c r="A96" t="s">
        <v>1130</v>
      </c>
      <c r="B96" s="19" t="s">
        <v>1121</v>
      </c>
      <c r="C96" s="19"/>
      <c r="D96" s="19"/>
      <c r="E96" s="20" t="s">
        <v>1122</v>
      </c>
      <c r="F96" s="20"/>
      <c r="G96" s="20"/>
      <c r="H96" s="18" t="s">
        <v>1131</v>
      </c>
      <c r="I96" s="18"/>
      <c r="J96" s="20" t="s">
        <v>1132</v>
      </c>
      <c r="K96" s="20"/>
      <c r="L96" s="19" t="s">
        <v>1133</v>
      </c>
      <c r="M96" s="19"/>
      <c r="N96" s="19"/>
      <c r="Q96" s="22"/>
      <c r="R96" s="22"/>
      <c r="S96" s="22"/>
    </row>
    <row r="97" spans="1:22" x14ac:dyDescent="0.2">
      <c r="A97" t="s">
        <v>784</v>
      </c>
      <c r="B97" t="s">
        <v>789</v>
      </c>
      <c r="C97" t="s">
        <v>1134</v>
      </c>
      <c r="D97" t="s">
        <v>1135</v>
      </c>
      <c r="E97" t="s">
        <v>789</v>
      </c>
      <c r="F97" t="s">
        <v>1134</v>
      </c>
      <c r="G97" t="s">
        <v>1135</v>
      </c>
      <c r="H97" t="s">
        <v>824</v>
      </c>
      <c r="I97" t="s">
        <v>1134</v>
      </c>
      <c r="J97" t="s">
        <v>824</v>
      </c>
      <c r="K97" t="s">
        <v>1134</v>
      </c>
      <c r="L97" t="s">
        <v>824</v>
      </c>
      <c r="M97" t="s">
        <v>1136</v>
      </c>
      <c r="N97" t="s">
        <v>1137</v>
      </c>
      <c r="Q97"/>
      <c r="U97" t="s">
        <v>1135</v>
      </c>
      <c r="V97" t="s">
        <v>824</v>
      </c>
    </row>
    <row r="98" spans="1:22" ht="16" x14ac:dyDescent="0.2">
      <c r="A98" t="s">
        <v>834</v>
      </c>
      <c r="B98">
        <v>490</v>
      </c>
      <c r="C98">
        <v>1.2970499999999999E-2</v>
      </c>
      <c r="D98">
        <f t="shared" ref="D98:D112" si="0">((C98-I98)/I98)*100</f>
        <v>12.569648157469922</v>
      </c>
      <c r="E98">
        <v>490</v>
      </c>
      <c r="F98" s="1">
        <v>1.2908299999999999E-2</v>
      </c>
      <c r="G98">
        <f t="shared" ref="G98:G107" si="1">((F98-I98)/I98)*100</f>
        <v>12.029820693964691</v>
      </c>
      <c r="H98" s="13">
        <v>490</v>
      </c>
      <c r="I98" s="11">
        <v>1.15222E-2</v>
      </c>
      <c r="J98" s="13">
        <v>490</v>
      </c>
      <c r="K98">
        <v>1.2970499999999999E-2</v>
      </c>
      <c r="L98">
        <v>490</v>
      </c>
      <c r="M98">
        <v>1.2970499999999999E-2</v>
      </c>
      <c r="N98">
        <f t="shared" ref="N98:N112" si="2">((M98-I98)/I98)*100</f>
        <v>12.569648157469922</v>
      </c>
      <c r="Q98"/>
      <c r="U98" t="e">
        <f t="shared" ref="U98:U107" si="3">((T98-W98)/W98)*100</f>
        <v>#DIV/0!</v>
      </c>
      <c r="V98" s="13">
        <v>490</v>
      </c>
    </row>
    <row r="99" spans="1:22" ht="16" x14ac:dyDescent="0.2">
      <c r="A99" t="s">
        <v>835</v>
      </c>
      <c r="B99">
        <v>1846</v>
      </c>
      <c r="C99" s="1">
        <v>4.4793399999999998E-13</v>
      </c>
      <c r="D99">
        <f t="shared" si="0"/>
        <v>7.0685196074213215</v>
      </c>
      <c r="E99">
        <v>1846</v>
      </c>
      <c r="F99" s="1">
        <v>4.4686499999999998E-13</v>
      </c>
      <c r="G99">
        <f t="shared" si="1"/>
        <v>6.812999268576017</v>
      </c>
      <c r="H99" s="11">
        <v>1846</v>
      </c>
      <c r="I99" s="12">
        <v>4.1836199999999999E-13</v>
      </c>
      <c r="J99" s="13">
        <v>1846</v>
      </c>
      <c r="K99" s="1">
        <v>4.4793399999999998E-13</v>
      </c>
      <c r="L99">
        <v>1846</v>
      </c>
      <c r="M99" s="1">
        <v>4.4793399999999998E-13</v>
      </c>
      <c r="N99">
        <f t="shared" si="2"/>
        <v>7.0685196074213215</v>
      </c>
      <c r="Q99"/>
      <c r="U99" t="e">
        <f t="shared" si="3"/>
        <v>#DIV/0!</v>
      </c>
      <c r="V99" s="11">
        <v>1846</v>
      </c>
    </row>
    <row r="100" spans="1:22" ht="16" x14ac:dyDescent="0.2">
      <c r="A100" t="s">
        <v>836</v>
      </c>
      <c r="B100">
        <v>83</v>
      </c>
      <c r="C100" s="1">
        <v>8.4678200000000006E-9</v>
      </c>
      <c r="D100">
        <f t="shared" si="0"/>
        <v>8.2000184000163543</v>
      </c>
      <c r="E100">
        <v>83</v>
      </c>
      <c r="F100" s="1">
        <v>8.4678200000000006E-9</v>
      </c>
      <c r="G100">
        <f t="shared" si="1"/>
        <v>8.2000184000163543</v>
      </c>
      <c r="H100" s="11">
        <v>83</v>
      </c>
      <c r="I100" s="12">
        <v>7.8260800000000008E-9</v>
      </c>
      <c r="J100" s="11">
        <v>83</v>
      </c>
      <c r="K100" s="1">
        <v>8.4678200000000006E-9</v>
      </c>
      <c r="L100">
        <v>83</v>
      </c>
      <c r="M100" s="1">
        <v>8.4678200000000006E-9</v>
      </c>
      <c r="N100">
        <f t="shared" si="2"/>
        <v>8.2000184000163543</v>
      </c>
      <c r="Q100"/>
      <c r="U100" t="e">
        <f t="shared" si="3"/>
        <v>#DIV/0!</v>
      </c>
      <c r="V100" s="11">
        <v>83</v>
      </c>
    </row>
    <row r="101" spans="1:22" ht="16" x14ac:dyDescent="0.2">
      <c r="A101" t="s">
        <v>837</v>
      </c>
      <c r="B101">
        <v>276</v>
      </c>
      <c r="C101" s="1">
        <v>2.6775600000000001E-7</v>
      </c>
      <c r="D101">
        <f t="shared" si="0"/>
        <v>14.459881161031078</v>
      </c>
      <c r="E101">
        <v>276</v>
      </c>
      <c r="F101" s="1">
        <v>2.6775600000000001E-7</v>
      </c>
      <c r="G101">
        <f t="shared" si="1"/>
        <v>14.459881161031078</v>
      </c>
      <c r="H101" s="11">
        <v>276</v>
      </c>
      <c r="I101" s="12">
        <v>2.3393E-7</v>
      </c>
      <c r="J101" s="13">
        <v>276</v>
      </c>
      <c r="K101" s="1">
        <v>2.6775600000000001E-7</v>
      </c>
      <c r="L101">
        <v>276</v>
      </c>
      <c r="M101" s="1">
        <v>2.6775600000000001E-7</v>
      </c>
      <c r="N101">
        <f t="shared" si="2"/>
        <v>14.459881161031078</v>
      </c>
      <c r="Q101"/>
      <c r="U101" t="e">
        <f t="shared" si="3"/>
        <v>#DIV/0!</v>
      </c>
      <c r="V101" s="11">
        <v>276</v>
      </c>
    </row>
    <row r="102" spans="1:22" ht="16" x14ac:dyDescent="0.2">
      <c r="A102" t="s">
        <v>838</v>
      </c>
      <c r="B102">
        <v>22</v>
      </c>
      <c r="C102" s="1">
        <v>1.6006200000000001E-6</v>
      </c>
      <c r="D102">
        <f t="shared" si="0"/>
        <v>34.113684351643947</v>
      </c>
      <c r="E102">
        <v>22</v>
      </c>
      <c r="F102" s="1">
        <v>1.6006200000000001E-6</v>
      </c>
      <c r="G102">
        <f t="shared" si="1"/>
        <v>34.113684351643947</v>
      </c>
      <c r="H102" s="11">
        <v>22</v>
      </c>
      <c r="I102" s="12">
        <v>1.19348E-6</v>
      </c>
      <c r="J102" s="11">
        <v>22</v>
      </c>
      <c r="K102" s="1">
        <v>1.6006200000000001E-6</v>
      </c>
      <c r="L102">
        <v>22</v>
      </c>
      <c r="M102" s="1">
        <v>1.6006200000000001E-6</v>
      </c>
      <c r="N102">
        <f t="shared" si="2"/>
        <v>34.113684351643947</v>
      </c>
      <c r="Q102"/>
      <c r="U102" t="e">
        <f t="shared" si="3"/>
        <v>#DIV/0!</v>
      </c>
      <c r="V102" s="11">
        <v>22</v>
      </c>
    </row>
    <row r="103" spans="1:22" ht="16" x14ac:dyDescent="0.2">
      <c r="A103" t="s">
        <v>839</v>
      </c>
      <c r="B103">
        <v>255</v>
      </c>
      <c r="C103" s="1">
        <v>9.1679500000000004E-10</v>
      </c>
      <c r="D103">
        <f t="shared" si="0"/>
        <v>4.4100028243697649</v>
      </c>
      <c r="E103">
        <v>255</v>
      </c>
      <c r="F103" s="1">
        <v>9.1679500000000004E-10</v>
      </c>
      <c r="G103">
        <f t="shared" si="1"/>
        <v>4.4100028243697649</v>
      </c>
      <c r="H103" s="11">
        <v>255</v>
      </c>
      <c r="I103" s="12">
        <v>8.7807199999999996E-10</v>
      </c>
      <c r="J103" s="13">
        <v>255</v>
      </c>
      <c r="K103" s="1">
        <v>9.1679500000000004E-10</v>
      </c>
      <c r="L103">
        <v>255</v>
      </c>
      <c r="M103" s="1">
        <v>9.1679500000000004E-10</v>
      </c>
      <c r="N103">
        <f t="shared" si="2"/>
        <v>4.4100028243697649</v>
      </c>
      <c r="Q103"/>
      <c r="U103" t="e">
        <f t="shared" si="3"/>
        <v>#DIV/0!</v>
      </c>
      <c r="V103" s="11">
        <v>255</v>
      </c>
    </row>
    <row r="104" spans="1:22" ht="16" x14ac:dyDescent="0.2">
      <c r="A104" t="s">
        <v>840</v>
      </c>
      <c r="B104">
        <v>198</v>
      </c>
      <c r="C104" s="1">
        <v>4.61056E-4</v>
      </c>
      <c r="D104">
        <f t="shared" si="0"/>
        <v>10.320800721664037</v>
      </c>
      <c r="E104">
        <v>198</v>
      </c>
      <c r="F104" s="1">
        <v>4.6097999999999999E-4</v>
      </c>
      <c r="G104">
        <f t="shared" si="1"/>
        <v>10.302615553582834</v>
      </c>
      <c r="H104" s="11">
        <v>198</v>
      </c>
      <c r="I104" s="11">
        <v>4.17923E-4</v>
      </c>
      <c r="J104" s="11">
        <v>198</v>
      </c>
      <c r="K104" s="1">
        <v>4.61056E-4</v>
      </c>
      <c r="L104">
        <v>198</v>
      </c>
      <c r="M104" s="1">
        <v>4.61056E-4</v>
      </c>
      <c r="N104">
        <f t="shared" si="2"/>
        <v>10.320800721664037</v>
      </c>
      <c r="Q104"/>
      <c r="U104" t="e">
        <f t="shared" si="3"/>
        <v>#DIV/0!</v>
      </c>
      <c r="V104" s="11">
        <v>198</v>
      </c>
    </row>
    <row r="105" spans="1:22" ht="16" x14ac:dyDescent="0.2">
      <c r="A105" t="s">
        <v>841</v>
      </c>
      <c r="B105">
        <v>2064</v>
      </c>
      <c r="C105" s="1">
        <v>6.6049599999999998E-13</v>
      </c>
      <c r="D105">
        <f t="shared" si="0"/>
        <v>25.60086257223757</v>
      </c>
      <c r="E105">
        <v>2064</v>
      </c>
      <c r="F105" s="1">
        <v>6.5969500000000005E-13</v>
      </c>
      <c r="G105">
        <f t="shared" si="1"/>
        <v>25.44854326838054</v>
      </c>
      <c r="H105" s="11">
        <v>2064</v>
      </c>
      <c r="I105" s="12">
        <v>5.2586899999999999E-13</v>
      </c>
      <c r="J105" s="13">
        <v>2064</v>
      </c>
      <c r="K105" s="1">
        <v>6.6049599999999998E-13</v>
      </c>
      <c r="L105">
        <v>2064</v>
      </c>
      <c r="M105" s="1">
        <v>6.6049599999999998E-13</v>
      </c>
      <c r="N105">
        <f t="shared" si="2"/>
        <v>25.60086257223757</v>
      </c>
      <c r="Q105"/>
      <c r="U105" t="e">
        <f t="shared" si="3"/>
        <v>#DIV/0!</v>
      </c>
      <c r="V105" s="11">
        <v>2064</v>
      </c>
    </row>
    <row r="106" spans="1:22" ht="16" x14ac:dyDescent="0.2">
      <c r="A106" t="s">
        <v>842</v>
      </c>
      <c r="B106">
        <v>3217</v>
      </c>
      <c r="C106" s="1">
        <v>9.3676599999999999E-3</v>
      </c>
      <c r="D106">
        <f t="shared" si="0"/>
        <v>17.091651792187267</v>
      </c>
      <c r="E106">
        <v>3217</v>
      </c>
      <c r="F106" s="1">
        <v>9.3311999999999996E-3</v>
      </c>
      <c r="G106">
        <f t="shared" si="1"/>
        <v>16.635917742878988</v>
      </c>
      <c r="H106" s="11">
        <v>3217</v>
      </c>
      <c r="I106" s="11">
        <v>8.0002800000000002E-3</v>
      </c>
      <c r="J106" s="11">
        <v>3217</v>
      </c>
      <c r="K106" s="1">
        <v>9.3676599999999999E-3</v>
      </c>
      <c r="L106">
        <v>3217</v>
      </c>
      <c r="M106" s="1">
        <v>9.3676599999999999E-3</v>
      </c>
      <c r="N106">
        <f t="shared" si="2"/>
        <v>17.091651792187267</v>
      </c>
      <c r="Q106"/>
      <c r="U106" t="e">
        <f t="shared" si="3"/>
        <v>#DIV/0!</v>
      </c>
      <c r="V106" s="11">
        <v>3217</v>
      </c>
    </row>
    <row r="107" spans="1:22" ht="16" x14ac:dyDescent="0.2">
      <c r="A107" t="s">
        <v>843</v>
      </c>
      <c r="B107">
        <v>663</v>
      </c>
      <c r="C107" s="1">
        <v>7.5665999999999997E-8</v>
      </c>
      <c r="D107">
        <f t="shared" si="0"/>
        <v>20.606523329598218</v>
      </c>
      <c r="E107">
        <v>663</v>
      </c>
      <c r="F107" s="1">
        <v>7.5665999999999997E-8</v>
      </c>
      <c r="G107">
        <f t="shared" si="1"/>
        <v>20.606523329598218</v>
      </c>
      <c r="H107" s="11">
        <v>663</v>
      </c>
      <c r="I107" s="12">
        <v>6.2737899999999997E-8</v>
      </c>
      <c r="J107" s="11">
        <v>663</v>
      </c>
      <c r="K107" s="1">
        <v>7.5665999999999997E-8</v>
      </c>
      <c r="L107">
        <v>663</v>
      </c>
      <c r="M107" s="1">
        <v>7.5665999999999997E-8</v>
      </c>
      <c r="N107">
        <f t="shared" si="2"/>
        <v>20.606523329598218</v>
      </c>
      <c r="Q107"/>
      <c r="U107" t="e">
        <f t="shared" si="3"/>
        <v>#DIV/0!</v>
      </c>
      <c r="V107" s="11">
        <v>663</v>
      </c>
    </row>
    <row r="108" spans="1:22" ht="16" x14ac:dyDescent="0.2">
      <c r="A108" t="s">
        <v>844</v>
      </c>
      <c r="B108">
        <v>570447</v>
      </c>
      <c r="C108">
        <v>1.5168E-3</v>
      </c>
      <c r="D108">
        <f t="shared" si="0"/>
        <v>6.3249612707403031</v>
      </c>
      <c r="F108"/>
      <c r="H108" s="13">
        <v>570447</v>
      </c>
      <c r="I108" s="13">
        <v>1.4265700000000001E-3</v>
      </c>
      <c r="J108" s="11">
        <v>570447</v>
      </c>
      <c r="K108" s="1">
        <v>1.5168E-3</v>
      </c>
      <c r="L108">
        <v>570447</v>
      </c>
      <c r="M108" s="1">
        <v>1.5168E-3</v>
      </c>
      <c r="N108">
        <f t="shared" si="2"/>
        <v>6.3249612707403031</v>
      </c>
      <c r="Q108"/>
      <c r="V108" s="13">
        <v>570447</v>
      </c>
    </row>
    <row r="109" spans="1:22" ht="16" x14ac:dyDescent="0.2">
      <c r="A109" t="s">
        <v>845</v>
      </c>
      <c r="B109">
        <v>36256</v>
      </c>
      <c r="C109" s="1">
        <v>5.4551099999999997E-11</v>
      </c>
      <c r="D109">
        <f t="shared" si="0"/>
        <v>4.6182613198319942</v>
      </c>
      <c r="E109">
        <v>36256</v>
      </c>
      <c r="F109" s="1">
        <v>5.4551099999999997E-11</v>
      </c>
      <c r="G109">
        <f>((F109-I109)/I109)*100</f>
        <v>4.6182613198319942</v>
      </c>
      <c r="H109" s="13">
        <v>36256</v>
      </c>
      <c r="I109" s="14">
        <v>5.2143E-11</v>
      </c>
      <c r="J109" s="11">
        <v>36256</v>
      </c>
      <c r="K109" s="1">
        <v>5.4551099999999997E-11</v>
      </c>
      <c r="L109">
        <v>36256</v>
      </c>
      <c r="M109" s="1">
        <v>5.4551099999999997E-11</v>
      </c>
      <c r="N109">
        <f t="shared" si="2"/>
        <v>4.6182613198319942</v>
      </c>
      <c r="Q109"/>
      <c r="U109" t="e">
        <f>((T109-W109)/W109)*100</f>
        <v>#DIV/0!</v>
      </c>
      <c r="V109" s="13">
        <v>36256</v>
      </c>
    </row>
    <row r="110" spans="1:22" ht="16" x14ac:dyDescent="0.2">
      <c r="A110" t="s">
        <v>846</v>
      </c>
      <c r="B110">
        <v>40</v>
      </c>
      <c r="C110" s="1">
        <v>3.1908900000000001E-7</v>
      </c>
      <c r="D110">
        <f t="shared" si="0"/>
        <v>2.6389179278511294</v>
      </c>
      <c r="E110">
        <v>40</v>
      </c>
      <c r="F110" s="1">
        <v>3.1908900000000001E-7</v>
      </c>
      <c r="G110">
        <f>((F110-I110)/I110)*100</f>
        <v>2.6389179278511294</v>
      </c>
      <c r="H110" s="11">
        <v>40</v>
      </c>
      <c r="I110" s="14">
        <v>3.1088500000000002E-7</v>
      </c>
      <c r="J110" s="11">
        <v>40</v>
      </c>
      <c r="K110" s="1">
        <v>3.1908900000000001E-7</v>
      </c>
      <c r="L110">
        <v>40</v>
      </c>
      <c r="M110" s="1">
        <v>3.1908900000000001E-7</v>
      </c>
      <c r="N110">
        <f t="shared" si="2"/>
        <v>2.6389179278511294</v>
      </c>
      <c r="Q110"/>
      <c r="U110" t="e">
        <f>((T110-W110)/W110)*100</f>
        <v>#DIV/0!</v>
      </c>
      <c r="V110" s="11">
        <v>40</v>
      </c>
    </row>
    <row r="111" spans="1:22" ht="16" x14ac:dyDescent="0.2">
      <c r="A111" t="s">
        <v>847</v>
      </c>
      <c r="B111">
        <v>1267</v>
      </c>
      <c r="C111" s="1">
        <v>2.8172299999999999E-7</v>
      </c>
      <c r="D111">
        <f t="shared" si="0"/>
        <v>33.389045662013977</v>
      </c>
      <c r="E111">
        <v>1267</v>
      </c>
      <c r="F111" s="1">
        <v>2.8172299999999999E-7</v>
      </c>
      <c r="G111">
        <f>((F111-I111)/I111)*100</f>
        <v>33.389045662013977</v>
      </c>
      <c r="H111" s="11">
        <v>1267</v>
      </c>
      <c r="I111" s="14">
        <v>2.1120399999999999E-7</v>
      </c>
      <c r="J111" s="11">
        <v>1267</v>
      </c>
      <c r="K111" s="1">
        <v>2.8172299999999999E-7</v>
      </c>
      <c r="L111">
        <v>1267</v>
      </c>
      <c r="M111" s="1">
        <v>2.8172299999999999E-7</v>
      </c>
      <c r="N111">
        <f t="shared" si="2"/>
        <v>33.389045662013977</v>
      </c>
      <c r="Q111"/>
      <c r="U111" t="e">
        <f>((T111-W111)/W111)*100</f>
        <v>#DIV/0!</v>
      </c>
      <c r="V111" s="11">
        <v>1267</v>
      </c>
    </row>
    <row r="112" spans="1:22" ht="16" x14ac:dyDescent="0.2">
      <c r="A112" t="s">
        <v>848</v>
      </c>
      <c r="B112">
        <v>6608</v>
      </c>
      <c r="C112" s="1">
        <v>2.2477300000000001E-6</v>
      </c>
      <c r="D112">
        <f t="shared" si="0"/>
        <v>24.419756776654104</v>
      </c>
      <c r="E112">
        <v>6608</v>
      </c>
      <c r="F112" s="1">
        <v>2.2477300000000001E-6</v>
      </c>
      <c r="G112">
        <f>((F112-I112)/I112)*100</f>
        <v>24.419756776654104</v>
      </c>
      <c r="H112" s="11">
        <v>6608</v>
      </c>
      <c r="I112" s="14">
        <v>1.80657E-6</v>
      </c>
      <c r="J112" s="11">
        <v>6608</v>
      </c>
      <c r="K112" s="1">
        <v>2.2477300000000001E-6</v>
      </c>
      <c r="L112">
        <v>6608</v>
      </c>
      <c r="M112" s="1">
        <v>2.2477300000000001E-6</v>
      </c>
      <c r="N112">
        <f t="shared" si="2"/>
        <v>24.419756776654104</v>
      </c>
      <c r="Q112"/>
      <c r="U112" t="e">
        <f>((T112-W112)/W112)*100</f>
        <v>#DIV/0!</v>
      </c>
      <c r="V112" s="11">
        <v>6608</v>
      </c>
    </row>
    <row r="113" spans="1:22" x14ac:dyDescent="0.2">
      <c r="A113" t="s">
        <v>849</v>
      </c>
      <c r="B113">
        <v>443352</v>
      </c>
      <c r="C113" s="1">
        <v>3.0258899999999998E-10</v>
      </c>
      <c r="D113">
        <f t="shared" ref="D113:D130" si="4">((C113-I113)/I113)*100</f>
        <v>18.721480894406227</v>
      </c>
      <c r="F113"/>
      <c r="H113" s="13">
        <v>443352</v>
      </c>
      <c r="I113" s="14">
        <v>2.5487299999999999E-10</v>
      </c>
      <c r="J113" s="13">
        <v>443352</v>
      </c>
      <c r="K113" s="1">
        <v>3.0258899999999998E-10</v>
      </c>
      <c r="L113">
        <v>443352</v>
      </c>
      <c r="M113" s="1">
        <v>3.0258899999999998E-10</v>
      </c>
      <c r="N113">
        <f t="shared" ref="N113:N131" si="5">((M113-I113)/I113)*100</f>
        <v>18.721480894406227</v>
      </c>
      <c r="Q113"/>
      <c r="V113" s="13">
        <v>443352</v>
      </c>
    </row>
    <row r="114" spans="1:22" ht="16" x14ac:dyDescent="0.2">
      <c r="A114" t="s">
        <v>850</v>
      </c>
      <c r="B114">
        <v>18679</v>
      </c>
      <c r="C114" s="1">
        <v>5.63773E-5</v>
      </c>
      <c r="D114">
        <f t="shared" si="4"/>
        <v>15.426019802304539</v>
      </c>
      <c r="F114"/>
      <c r="H114" s="11">
        <v>18679</v>
      </c>
      <c r="I114" s="14">
        <v>4.8842799999999999E-5</v>
      </c>
      <c r="J114" s="11">
        <v>18679</v>
      </c>
      <c r="K114" s="1">
        <v>5.63773E-5</v>
      </c>
      <c r="L114">
        <v>18679</v>
      </c>
      <c r="M114" s="1">
        <v>5.63773E-5</v>
      </c>
      <c r="N114">
        <f t="shared" si="5"/>
        <v>15.426019802304539</v>
      </c>
      <c r="Q114"/>
      <c r="V114" s="11">
        <v>18679</v>
      </c>
    </row>
    <row r="115" spans="1:22" x14ac:dyDescent="0.2">
      <c r="A115" t="s">
        <v>851</v>
      </c>
      <c r="B115">
        <v>1239135</v>
      </c>
      <c r="C115" s="1">
        <v>1.58011E-6</v>
      </c>
      <c r="D115">
        <f t="shared" si="4"/>
        <v>10.877909465367093</v>
      </c>
      <c r="F115"/>
      <c r="H115" s="13">
        <v>1239135</v>
      </c>
      <c r="I115" s="14">
        <v>1.4250900000000001E-6</v>
      </c>
      <c r="J115" s="13">
        <v>1239135</v>
      </c>
      <c r="K115" s="1">
        <v>1.58011E-6</v>
      </c>
      <c r="L115">
        <v>1239135</v>
      </c>
      <c r="M115" s="1">
        <v>1.58011E-6</v>
      </c>
      <c r="N115">
        <f t="shared" si="5"/>
        <v>10.877909465367093</v>
      </c>
      <c r="Q115"/>
      <c r="V115" s="13">
        <v>1239135</v>
      </c>
    </row>
    <row r="116" spans="1:22" ht="16" x14ac:dyDescent="0.2">
      <c r="A116" t="s">
        <v>852</v>
      </c>
      <c r="B116">
        <v>2811610</v>
      </c>
      <c r="C116" s="1">
        <v>2.0068199999999999E-3</v>
      </c>
      <c r="D116">
        <f t="shared" si="4"/>
        <v>16.204682189036284</v>
      </c>
      <c r="F116"/>
      <c r="H116" s="11">
        <v>2811610</v>
      </c>
      <c r="I116" s="14">
        <v>1.72697E-3</v>
      </c>
      <c r="J116" s="11">
        <v>2811610</v>
      </c>
      <c r="K116" s="1">
        <v>2.0068199999999999E-3</v>
      </c>
      <c r="L116">
        <v>2811610</v>
      </c>
      <c r="M116" s="1">
        <v>2.0068199999999999E-3</v>
      </c>
      <c r="N116">
        <f t="shared" si="5"/>
        <v>16.204682189036284</v>
      </c>
      <c r="Q116"/>
      <c r="V116" s="11">
        <v>2811610</v>
      </c>
    </row>
    <row r="117" spans="1:22" x14ac:dyDescent="0.2">
      <c r="A117" t="s">
        <v>853</v>
      </c>
      <c r="B117">
        <v>16334</v>
      </c>
      <c r="C117" s="1">
        <v>5.4641499999999998E-11</v>
      </c>
      <c r="D117">
        <f t="shared" si="4"/>
        <v>4.6745962265307552</v>
      </c>
      <c r="F117"/>
      <c r="H117" s="13">
        <v>16334</v>
      </c>
      <c r="I117" s="14">
        <v>5.2201299999999999E-11</v>
      </c>
      <c r="J117" s="13">
        <v>16334</v>
      </c>
      <c r="K117" s="1">
        <v>5.4641499999999998E-11</v>
      </c>
      <c r="L117">
        <v>16334</v>
      </c>
      <c r="M117" s="1">
        <v>5.4641499999999998E-11</v>
      </c>
      <c r="N117">
        <f t="shared" si="5"/>
        <v>4.6745962265307552</v>
      </c>
      <c r="Q117"/>
      <c r="V117" s="13">
        <v>16334</v>
      </c>
    </row>
    <row r="118" spans="1:22" ht="16" x14ac:dyDescent="0.2">
      <c r="A118" t="s">
        <v>854</v>
      </c>
      <c r="B118">
        <v>1726335</v>
      </c>
      <c r="C118" s="1">
        <v>4.6527100000000003E-12</v>
      </c>
      <c r="D118">
        <f t="shared" si="4"/>
        <v>10.632879487533122</v>
      </c>
      <c r="F118"/>
      <c r="H118" s="11">
        <v>1726335</v>
      </c>
      <c r="I118" s="14">
        <v>4.2055399999999999E-12</v>
      </c>
      <c r="J118" s="5">
        <v>1726335</v>
      </c>
      <c r="K118" s="1">
        <v>4.6527100000000003E-12</v>
      </c>
      <c r="L118">
        <v>1726335</v>
      </c>
      <c r="M118" s="1">
        <v>4.6527100000000003E-12</v>
      </c>
      <c r="N118">
        <f t="shared" si="5"/>
        <v>10.632879487533122</v>
      </c>
      <c r="Q118"/>
      <c r="V118" s="11">
        <v>1726335</v>
      </c>
    </row>
    <row r="119" spans="1:22" x14ac:dyDescent="0.2">
      <c r="A119" t="s">
        <v>855</v>
      </c>
      <c r="B119">
        <v>375584</v>
      </c>
      <c r="C119" s="1">
        <v>1.4610900000000001E-4</v>
      </c>
      <c r="D119">
        <f t="shared" si="4"/>
        <v>1.3688598082257425E-3</v>
      </c>
      <c r="F119"/>
      <c r="H119" s="13">
        <v>375584</v>
      </c>
      <c r="I119" s="13">
        <v>1.46107E-4</v>
      </c>
      <c r="J119">
        <v>375584</v>
      </c>
      <c r="K119" s="1">
        <v>1.4610900000000001E-4</v>
      </c>
      <c r="L119">
        <v>375584</v>
      </c>
      <c r="M119" s="1">
        <v>1.4610900000000001E-4</v>
      </c>
      <c r="N119">
        <f t="shared" si="5"/>
        <v>1.3688598082257425E-3</v>
      </c>
      <c r="Q119"/>
      <c r="V119" s="13">
        <v>375584</v>
      </c>
    </row>
    <row r="120" spans="1:22" ht="16" x14ac:dyDescent="0.2">
      <c r="A120" t="s">
        <v>856</v>
      </c>
      <c r="B120">
        <v>5350736</v>
      </c>
      <c r="C120" s="1">
        <v>3.3607800000000002E-4</v>
      </c>
      <c r="D120">
        <f t="shared" si="4"/>
        <v>5.0230622117223653</v>
      </c>
      <c r="F120"/>
      <c r="H120" s="13">
        <v>5350736</v>
      </c>
      <c r="I120" s="13">
        <v>3.2000399999999998E-4</v>
      </c>
      <c r="J120" s="5">
        <v>5350736</v>
      </c>
      <c r="K120" s="1">
        <v>3.3607800000000002E-4</v>
      </c>
      <c r="L120">
        <v>5350736</v>
      </c>
      <c r="M120" s="1">
        <v>3.3607800000000002E-4</v>
      </c>
      <c r="N120">
        <f t="shared" si="5"/>
        <v>5.0230622117223653</v>
      </c>
      <c r="Q120"/>
      <c r="V120" s="13">
        <v>5350736</v>
      </c>
    </row>
    <row r="121" spans="1:22" x14ac:dyDescent="0.2">
      <c r="A121" t="s">
        <v>857</v>
      </c>
      <c r="B121">
        <v>1153131</v>
      </c>
      <c r="C121" s="1">
        <v>6.3977800000000002E-10</v>
      </c>
      <c r="D121">
        <f t="shared" si="4"/>
        <v>0</v>
      </c>
      <c r="F121"/>
      <c r="H121" s="13">
        <v>1153131</v>
      </c>
      <c r="I121" s="14">
        <v>6.3977800000000002E-10</v>
      </c>
      <c r="J121">
        <v>1153131</v>
      </c>
      <c r="K121" s="1">
        <v>6.3977800000000002E-10</v>
      </c>
      <c r="L121">
        <v>1153131</v>
      </c>
      <c r="M121" s="1">
        <v>6.3977800000000002E-10</v>
      </c>
      <c r="N121">
        <f t="shared" si="5"/>
        <v>0</v>
      </c>
      <c r="Q121"/>
      <c r="V121" s="13">
        <v>1153131</v>
      </c>
    </row>
    <row r="122" spans="1:22" ht="16" x14ac:dyDescent="0.2">
      <c r="A122" t="s">
        <v>858</v>
      </c>
      <c r="B122"/>
      <c r="D122">
        <f t="shared" si="4"/>
        <v>-100</v>
      </c>
      <c r="F122"/>
      <c r="H122" s="13">
        <v>130238076</v>
      </c>
      <c r="I122" s="14">
        <v>1.9147400000000001E-25</v>
      </c>
      <c r="J122" s="5">
        <v>130238076</v>
      </c>
      <c r="K122" s="1">
        <v>2.09347E-25</v>
      </c>
      <c r="L122">
        <v>130238076</v>
      </c>
      <c r="M122" s="1">
        <v>2.09347E-25</v>
      </c>
      <c r="N122">
        <f t="shared" si="5"/>
        <v>9.3344266062232943</v>
      </c>
      <c r="Q122"/>
      <c r="V122" s="13">
        <v>130238076</v>
      </c>
    </row>
    <row r="123" spans="1:22" x14ac:dyDescent="0.2">
      <c r="A123" t="s">
        <v>859</v>
      </c>
      <c r="B123">
        <v>839229</v>
      </c>
      <c r="C123" s="1">
        <v>4.49897E-21</v>
      </c>
      <c r="D123">
        <f t="shared" si="4"/>
        <v>11.814544189283218</v>
      </c>
      <c r="F123"/>
      <c r="H123">
        <v>839229</v>
      </c>
      <c r="I123" s="1">
        <v>4.0236000000000004E-21</v>
      </c>
      <c r="J123">
        <v>839229</v>
      </c>
      <c r="K123" s="1">
        <v>4.49897E-21</v>
      </c>
      <c r="L123">
        <v>839229</v>
      </c>
      <c r="M123" s="1">
        <v>4.49897E-21</v>
      </c>
      <c r="N123">
        <f t="shared" si="5"/>
        <v>11.814544189283218</v>
      </c>
      <c r="Q123"/>
      <c r="V123">
        <v>839229</v>
      </c>
    </row>
    <row r="124" spans="1:22" ht="16" x14ac:dyDescent="0.2">
      <c r="A124" t="s">
        <v>860</v>
      </c>
      <c r="B124"/>
      <c r="D124">
        <f t="shared" si="4"/>
        <v>-100</v>
      </c>
      <c r="F124"/>
      <c r="H124">
        <v>1313078442</v>
      </c>
      <c r="I124" s="6">
        <v>1.4255600000000001E-11</v>
      </c>
      <c r="J124"/>
      <c r="M124"/>
      <c r="Q124"/>
      <c r="V124">
        <v>1313078442</v>
      </c>
    </row>
    <row r="125" spans="1:22" x14ac:dyDescent="0.2">
      <c r="A125" t="s">
        <v>861</v>
      </c>
      <c r="B125"/>
      <c r="D125">
        <f t="shared" si="4"/>
        <v>-100</v>
      </c>
      <c r="F125"/>
      <c r="H125">
        <v>17216420</v>
      </c>
      <c r="I125" s="1">
        <v>2.4836499999999999E-8</v>
      </c>
      <c r="J125">
        <v>17216420</v>
      </c>
      <c r="K125" s="1">
        <v>2.6345799999999999E-8</v>
      </c>
      <c r="L125">
        <v>17216420</v>
      </c>
      <c r="M125" s="1">
        <v>2.6345799999999999E-8</v>
      </c>
      <c r="N125">
        <f t="shared" si="5"/>
        <v>6.0769432085841411</v>
      </c>
      <c r="Q125"/>
      <c r="V125">
        <v>17216420</v>
      </c>
    </row>
    <row r="126" spans="1:22" x14ac:dyDescent="0.2">
      <c r="A126" t="s">
        <v>862</v>
      </c>
      <c r="B126">
        <v>476224</v>
      </c>
      <c r="C126" s="1">
        <v>2.7968200000000002E-19</v>
      </c>
      <c r="D126">
        <f t="shared" si="4"/>
        <v>47.060184454890582</v>
      </c>
      <c r="F126"/>
      <c r="H126">
        <v>476224</v>
      </c>
      <c r="I126" s="1">
        <v>1.9018200000000001E-19</v>
      </c>
      <c r="J126">
        <v>476224</v>
      </c>
      <c r="K126" s="1">
        <v>2.7968200000000002E-19</v>
      </c>
      <c r="L126">
        <v>476224</v>
      </c>
      <c r="M126" s="1">
        <v>2.7968200000000002E-19</v>
      </c>
      <c r="N126">
        <f t="shared" si="5"/>
        <v>47.060184454890582</v>
      </c>
      <c r="Q126"/>
      <c r="V126">
        <v>476224</v>
      </c>
    </row>
    <row r="127" spans="1:22" x14ac:dyDescent="0.2">
      <c r="A127" t="s">
        <v>863</v>
      </c>
      <c r="B127"/>
      <c r="D127">
        <f t="shared" si="4"/>
        <v>-100</v>
      </c>
      <c r="F127"/>
      <c r="H127">
        <v>635868711</v>
      </c>
      <c r="I127" s="1">
        <v>2.54493E-20</v>
      </c>
      <c r="J127">
        <v>635868711</v>
      </c>
      <c r="K127" s="1">
        <v>3.6348599999999999E-20</v>
      </c>
      <c r="L127">
        <v>635868711</v>
      </c>
      <c r="M127" s="1">
        <v>3.6348599999999999E-20</v>
      </c>
      <c r="N127">
        <f t="shared" si="5"/>
        <v>42.827504096379855</v>
      </c>
      <c r="Q127"/>
      <c r="V127">
        <v>635868711</v>
      </c>
    </row>
    <row r="128" spans="1:22" x14ac:dyDescent="0.2">
      <c r="A128" t="s">
        <v>864</v>
      </c>
      <c r="B128">
        <v>194658</v>
      </c>
      <c r="C128" s="1">
        <v>6.9630500000000001E-11</v>
      </c>
      <c r="D128">
        <f t="shared" si="4"/>
        <v>133.11025704548345</v>
      </c>
      <c r="F128"/>
      <c r="H128">
        <v>194658</v>
      </c>
      <c r="I128" s="1">
        <v>2.9870200000000002E-11</v>
      </c>
      <c r="J128">
        <v>194658</v>
      </c>
      <c r="K128" s="1">
        <v>6.9630500000000001E-11</v>
      </c>
      <c r="L128">
        <v>194658</v>
      </c>
      <c r="M128" s="1">
        <v>6.9630500000000001E-11</v>
      </c>
      <c r="N128">
        <f t="shared" si="5"/>
        <v>133.11025704548345</v>
      </c>
      <c r="Q128"/>
      <c r="V128">
        <v>194658</v>
      </c>
    </row>
    <row r="129" spans="1:22" x14ac:dyDescent="0.2">
      <c r="A129" t="s">
        <v>866</v>
      </c>
      <c r="B129"/>
      <c r="D129">
        <f t="shared" si="4"/>
        <v>-100</v>
      </c>
      <c r="F129"/>
      <c r="H129">
        <v>78630549</v>
      </c>
      <c r="I129" s="1">
        <v>1.19006E-11</v>
      </c>
      <c r="J129">
        <v>78630549</v>
      </c>
      <c r="K129" s="1">
        <v>1.3534500000000001E-11</v>
      </c>
      <c r="L129">
        <v>78630549</v>
      </c>
      <c r="M129" s="1">
        <v>1.3534500000000001E-11</v>
      </c>
      <c r="N129">
        <f t="shared" si="5"/>
        <v>13.729559854125009</v>
      </c>
      <c r="Q129"/>
      <c r="V129">
        <v>78630549</v>
      </c>
    </row>
    <row r="130" spans="1:22" x14ac:dyDescent="0.2">
      <c r="A130" t="s">
        <v>868</v>
      </c>
      <c r="B130">
        <v>2568192</v>
      </c>
      <c r="C130" s="1">
        <v>3.74541E-42</v>
      </c>
      <c r="D130">
        <f t="shared" si="4"/>
        <v>66.60038965544851</v>
      </c>
      <c r="F130"/>
      <c r="H130">
        <v>2568192</v>
      </c>
      <c r="I130" s="1">
        <v>2.2481399999999999E-42</v>
      </c>
      <c r="J130">
        <v>2568192</v>
      </c>
      <c r="K130" s="1">
        <v>3.74541E-42</v>
      </c>
      <c r="L130">
        <v>2568192</v>
      </c>
      <c r="M130" s="1">
        <v>3.74541E-42</v>
      </c>
      <c r="N130">
        <f t="shared" si="5"/>
        <v>66.60038965544851</v>
      </c>
      <c r="Q130"/>
      <c r="V130">
        <v>2568192</v>
      </c>
    </row>
    <row r="131" spans="1:22" x14ac:dyDescent="0.2">
      <c r="A131" t="s">
        <v>879</v>
      </c>
      <c r="B131"/>
      <c r="F131"/>
      <c r="H131">
        <v>375579200</v>
      </c>
      <c r="I131" s="1">
        <v>1.8935799999999999E-28</v>
      </c>
      <c r="J131">
        <v>375579200</v>
      </c>
      <c r="K131" s="1">
        <v>3.0026E-28</v>
      </c>
      <c r="L131">
        <v>375579200</v>
      </c>
      <c r="M131" s="1">
        <v>3.0026E-28</v>
      </c>
      <c r="N131">
        <f t="shared" si="5"/>
        <v>58.567369744082654</v>
      </c>
      <c r="Q131"/>
      <c r="V131">
        <v>375579200</v>
      </c>
    </row>
    <row r="132" spans="1:22" x14ac:dyDescent="0.2">
      <c r="A132" t="s">
        <v>884</v>
      </c>
      <c r="B132"/>
      <c r="F132"/>
      <c r="J132">
        <v>200863512</v>
      </c>
      <c r="K132" s="1">
        <v>4.5421999999999998E-17</v>
      </c>
      <c r="L132">
        <v>200863512</v>
      </c>
      <c r="M132" s="1">
        <v>4.5421999999999998E-17</v>
      </c>
      <c r="Q132"/>
    </row>
    <row r="133" spans="1:22" x14ac:dyDescent="0.2">
      <c r="A133" t="s">
        <v>903</v>
      </c>
      <c r="B133"/>
      <c r="F133"/>
      <c r="J133">
        <v>197335339</v>
      </c>
      <c r="K133" s="1">
        <v>1.44159E-6</v>
      </c>
      <c r="L133">
        <v>197335339</v>
      </c>
      <c r="M133" s="1">
        <v>1.44159E-6</v>
      </c>
      <c r="Q133"/>
    </row>
    <row r="134" spans="1:22" x14ac:dyDescent="0.2">
      <c r="A134" t="s">
        <v>909</v>
      </c>
      <c r="B134"/>
      <c r="F134"/>
      <c r="J134">
        <v>108921962</v>
      </c>
      <c r="K134" s="1">
        <v>2.6896999999999999E-8</v>
      </c>
      <c r="L134">
        <v>108921962</v>
      </c>
      <c r="M134" s="1">
        <v>2.6896999999999999E-8</v>
      </c>
      <c r="Q134"/>
    </row>
    <row r="135" spans="1:22" x14ac:dyDescent="0.2">
      <c r="B135"/>
      <c r="F135"/>
      <c r="J135"/>
      <c r="M135"/>
      <c r="Q135"/>
    </row>
    <row r="136" spans="1:22" x14ac:dyDescent="0.2">
      <c r="B136"/>
      <c r="F136"/>
      <c r="J136"/>
      <c r="M136"/>
      <c r="Q136"/>
    </row>
    <row r="137" spans="1:22" x14ac:dyDescent="0.2">
      <c r="B137"/>
      <c r="F137"/>
      <c r="J137"/>
      <c r="M137"/>
      <c r="Q137"/>
    </row>
    <row r="138" spans="1:22" x14ac:dyDescent="0.2">
      <c r="B138"/>
      <c r="F138"/>
      <c r="J138"/>
      <c r="M138"/>
      <c r="Q138"/>
    </row>
    <row r="139" spans="1:22" x14ac:dyDescent="0.2">
      <c r="B139"/>
      <c r="F139"/>
      <c r="J139"/>
      <c r="M139"/>
      <c r="Q139"/>
    </row>
    <row r="140" spans="1:22" x14ac:dyDescent="0.2">
      <c r="B140"/>
      <c r="F140"/>
      <c r="J140"/>
      <c r="M140"/>
      <c r="Q140"/>
    </row>
    <row r="141" spans="1:22" x14ac:dyDescent="0.2">
      <c r="B141"/>
      <c r="F141"/>
      <c r="J141"/>
      <c r="M141"/>
      <c r="Q141"/>
    </row>
    <row r="142" spans="1:22" x14ac:dyDescent="0.2">
      <c r="B142"/>
      <c r="F142"/>
      <c r="J142"/>
      <c r="M142"/>
      <c r="Q142"/>
    </row>
    <row r="143" spans="1:22" x14ac:dyDescent="0.2">
      <c r="B143"/>
      <c r="F143"/>
      <c r="J143"/>
      <c r="M143"/>
      <c r="Q143"/>
    </row>
    <row r="144" spans="1:22" x14ac:dyDescent="0.2">
      <c r="B144"/>
      <c r="F144"/>
      <c r="J144"/>
      <c r="M144"/>
      <c r="Q144"/>
    </row>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row r="267" customFormat="1" x14ac:dyDescent="0.2"/>
    <row r="268" customFormat="1" x14ac:dyDescent="0.2"/>
    <row r="269" customFormat="1" x14ac:dyDescent="0.2"/>
    <row r="270" customFormat="1" x14ac:dyDescent="0.2"/>
    <row r="271" customFormat="1" x14ac:dyDescent="0.2"/>
    <row r="272" customFormat="1" x14ac:dyDescent="0.2"/>
    <row r="273" customFormat="1" x14ac:dyDescent="0.2"/>
    <row r="274" customFormat="1" x14ac:dyDescent="0.2"/>
    <row r="275" customFormat="1" x14ac:dyDescent="0.2"/>
    <row r="276" customFormat="1" x14ac:dyDescent="0.2"/>
  </sheetData>
  <mergeCells count="13">
    <mergeCell ref="U1:V1"/>
    <mergeCell ref="X1:Y1"/>
    <mergeCell ref="B96:D96"/>
    <mergeCell ref="Q96:S96"/>
    <mergeCell ref="J96:K96"/>
    <mergeCell ref="H96:I96"/>
    <mergeCell ref="E96:G96"/>
    <mergeCell ref="L96:N96"/>
    <mergeCell ref="B1:D1"/>
    <mergeCell ref="F1:H1"/>
    <mergeCell ref="J1:L1"/>
    <mergeCell ref="M1:O1"/>
    <mergeCell ref="Q1:S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C5B41-2AEE-4CA7-9050-4A903FED7612}">
  <dimension ref="A1:S69"/>
  <sheetViews>
    <sheetView topLeftCell="G1" zoomScale="90" zoomScaleNormal="90" workbookViewId="0">
      <selection activeCell="K18" sqref="K18"/>
    </sheetView>
  </sheetViews>
  <sheetFormatPr baseColWidth="10" defaultColWidth="8.83203125" defaultRowHeight="15" x14ac:dyDescent="0.2"/>
  <cols>
    <col min="1" max="1" width="15.33203125" bestFit="1" customWidth="1"/>
    <col min="2" max="2" width="8.33203125" style="7" bestFit="1" customWidth="1"/>
    <col min="3" max="4" width="11.33203125" bestFit="1" customWidth="1"/>
    <col min="5" max="5" width="8.6640625" customWidth="1"/>
    <col min="6" max="6" width="8.6640625" style="7"/>
    <col min="7" max="7" width="10.33203125" bestFit="1" customWidth="1"/>
    <col min="8" max="8" width="11.33203125" bestFit="1" customWidth="1"/>
    <col min="9" max="9" width="8.6640625" style="7"/>
    <col min="10" max="10" width="10.33203125" bestFit="1" customWidth="1"/>
    <col min="11" max="11" width="15.1640625" bestFit="1" customWidth="1"/>
    <col min="12" max="12" width="8.6640625" bestFit="1" customWidth="1"/>
    <col min="13" max="13" width="18.83203125" style="7" bestFit="1" customWidth="1"/>
    <col min="14" max="14" width="10.33203125" bestFit="1" customWidth="1"/>
    <col min="15" max="15" width="12.33203125" bestFit="1" customWidth="1"/>
    <col min="16" max="16" width="15.1640625" bestFit="1" customWidth="1"/>
    <col min="17" max="17" width="8.6640625" style="7"/>
    <col min="18" max="18" width="10.33203125" bestFit="1" customWidth="1"/>
    <col min="19" max="19" width="8.6640625" bestFit="1" customWidth="1"/>
  </cols>
  <sheetData>
    <row r="1" spans="1:19" x14ac:dyDescent="0.2">
      <c r="B1" s="18" t="s">
        <v>1121</v>
      </c>
      <c r="C1" s="18"/>
      <c r="D1" s="18"/>
      <c r="E1" s="2"/>
      <c r="F1" s="18" t="s">
        <v>1122</v>
      </c>
      <c r="G1" s="18"/>
      <c r="H1" s="18"/>
      <c r="I1" s="18" t="s">
        <v>1138</v>
      </c>
      <c r="J1" s="18"/>
      <c r="K1" s="18"/>
      <c r="L1" s="2"/>
      <c r="M1" s="18" t="s">
        <v>1139</v>
      </c>
      <c r="N1" s="18"/>
      <c r="O1" s="18"/>
      <c r="P1" s="2"/>
      <c r="Q1" s="18" t="s">
        <v>1133</v>
      </c>
      <c r="R1" s="18"/>
      <c r="S1" s="18"/>
    </row>
    <row r="2" spans="1:19" x14ac:dyDescent="0.2">
      <c r="A2" t="s">
        <v>784</v>
      </c>
      <c r="B2" s="7" t="s">
        <v>785</v>
      </c>
      <c r="C2" t="s">
        <v>789</v>
      </c>
      <c r="D2" t="s">
        <v>790</v>
      </c>
      <c r="F2" s="7" t="s">
        <v>785</v>
      </c>
      <c r="G2" t="s">
        <v>789</v>
      </c>
      <c r="H2" t="s">
        <v>790</v>
      </c>
      <c r="I2" s="7" t="s">
        <v>785</v>
      </c>
      <c r="J2" t="s">
        <v>824</v>
      </c>
      <c r="K2" t="s">
        <v>790</v>
      </c>
      <c r="M2" s="7" t="s">
        <v>785</v>
      </c>
      <c r="N2" t="s">
        <v>824</v>
      </c>
      <c r="Q2" s="7" t="s">
        <v>785</v>
      </c>
      <c r="R2" t="s">
        <v>824</v>
      </c>
    </row>
    <row r="3" spans="1:19" ht="16" x14ac:dyDescent="0.2">
      <c r="A3" t="s">
        <v>1019</v>
      </c>
      <c r="B3" s="7" t="s">
        <v>791</v>
      </c>
      <c r="C3">
        <v>149</v>
      </c>
      <c r="D3" s="1">
        <v>1.6006200000000001E-6</v>
      </c>
      <c r="E3" s="1"/>
      <c r="F3" s="7" t="s">
        <v>804</v>
      </c>
      <c r="G3">
        <v>22</v>
      </c>
      <c r="H3" s="1">
        <v>1.6006200000000001E-6</v>
      </c>
      <c r="I3" s="7" t="s">
        <v>833</v>
      </c>
      <c r="J3" s="11">
        <v>149</v>
      </c>
      <c r="K3" s="12">
        <v>1.19348E-6</v>
      </c>
      <c r="L3" s="12"/>
      <c r="M3" s="7" t="s">
        <v>833</v>
      </c>
      <c r="N3">
        <v>149</v>
      </c>
      <c r="O3" s="1">
        <v>1.6006200000000001E-6</v>
      </c>
      <c r="P3" s="1"/>
      <c r="Q3" s="7" t="s">
        <v>833</v>
      </c>
      <c r="R3">
        <v>149</v>
      </c>
      <c r="S3" s="1">
        <v>1.6006200000000001E-6</v>
      </c>
    </row>
    <row r="4" spans="1:19" x14ac:dyDescent="0.2">
      <c r="A4" t="s">
        <v>1020</v>
      </c>
      <c r="B4" s="7" t="s">
        <v>791</v>
      </c>
      <c r="C4">
        <v>135316</v>
      </c>
      <c r="D4" s="1">
        <v>1.64337E-6</v>
      </c>
      <c r="E4" s="1"/>
      <c r="F4" s="7" t="s">
        <v>804</v>
      </c>
      <c r="G4">
        <v>22</v>
      </c>
      <c r="H4" s="1">
        <v>1.83886E-6</v>
      </c>
      <c r="I4" s="7" t="s">
        <v>833</v>
      </c>
      <c r="J4">
        <v>135316</v>
      </c>
      <c r="K4" s="1">
        <v>1.21642E-6</v>
      </c>
      <c r="L4" s="1"/>
      <c r="M4" s="7" t="s">
        <v>833</v>
      </c>
      <c r="N4">
        <v>135316</v>
      </c>
      <c r="O4" s="1">
        <v>1.64337E-6</v>
      </c>
      <c r="P4" s="1"/>
      <c r="Q4" s="7" t="s">
        <v>833</v>
      </c>
      <c r="R4">
        <v>135316</v>
      </c>
      <c r="S4" s="1">
        <v>1.64337E-6</v>
      </c>
    </row>
    <row r="5" spans="1:19" x14ac:dyDescent="0.2">
      <c r="A5" t="s">
        <v>1021</v>
      </c>
      <c r="B5" s="7" t="s">
        <v>791</v>
      </c>
      <c r="C5">
        <v>2166912</v>
      </c>
      <c r="D5" s="1">
        <v>3.3343399999999998E-6</v>
      </c>
      <c r="E5" s="1"/>
      <c r="F5" s="7" t="s">
        <v>804</v>
      </c>
      <c r="I5" s="7" t="s">
        <v>833</v>
      </c>
      <c r="J5">
        <v>2166912</v>
      </c>
      <c r="K5" s="1">
        <v>2.3972000000000001E-6</v>
      </c>
      <c r="L5" s="1"/>
      <c r="M5" s="7" t="s">
        <v>833</v>
      </c>
      <c r="N5">
        <v>2166912</v>
      </c>
      <c r="O5" s="1">
        <v>3.3368700000000002E-6</v>
      </c>
      <c r="P5" s="1"/>
      <c r="Q5" s="7" t="s">
        <v>833</v>
      </c>
      <c r="R5">
        <v>2166912</v>
      </c>
      <c r="S5" s="1">
        <v>3.3368700000000002E-6</v>
      </c>
    </row>
    <row r="6" spans="1:19" x14ac:dyDescent="0.2">
      <c r="A6" t="s">
        <v>1022</v>
      </c>
      <c r="B6" s="7" t="s">
        <v>792</v>
      </c>
      <c r="F6" s="7" t="s">
        <v>804</v>
      </c>
      <c r="I6" s="7" t="s">
        <v>792</v>
      </c>
      <c r="J6">
        <v>138755072</v>
      </c>
      <c r="K6" s="1">
        <v>1.39831E-5</v>
      </c>
      <c r="L6" s="1"/>
      <c r="M6" s="7" t="s">
        <v>792</v>
      </c>
      <c r="N6">
        <v>138755072</v>
      </c>
      <c r="O6" s="1">
        <v>1.95728E-5</v>
      </c>
      <c r="P6" s="1"/>
      <c r="Q6" s="7" t="s">
        <v>792</v>
      </c>
      <c r="R6">
        <v>138755072</v>
      </c>
      <c r="S6" s="1">
        <v>1.95728E-5</v>
      </c>
    </row>
    <row r="7" spans="1:19" x14ac:dyDescent="0.2">
      <c r="A7" t="s">
        <v>1023</v>
      </c>
      <c r="B7" s="7" t="s">
        <v>792</v>
      </c>
      <c r="F7" s="7" t="s">
        <v>804</v>
      </c>
      <c r="I7" s="7" t="s">
        <v>792</v>
      </c>
      <c r="J7">
        <v>139014144</v>
      </c>
      <c r="K7" s="1">
        <v>1.4633200000000001E-5</v>
      </c>
      <c r="L7" s="1"/>
      <c r="M7" s="7" t="s">
        <v>792</v>
      </c>
      <c r="N7">
        <v>139014144</v>
      </c>
      <c r="O7" s="1">
        <v>2.10455E-5</v>
      </c>
      <c r="P7" s="1"/>
      <c r="Q7" s="7" t="s">
        <v>792</v>
      </c>
      <c r="R7">
        <v>139014144</v>
      </c>
      <c r="S7" s="1">
        <v>2.10455E-5</v>
      </c>
    </row>
    <row r="8" spans="1:19" x14ac:dyDescent="0.2">
      <c r="A8" t="s">
        <v>1024</v>
      </c>
      <c r="B8" s="7" t="s">
        <v>792</v>
      </c>
      <c r="F8" s="7" t="s">
        <v>804</v>
      </c>
      <c r="I8" s="7" t="s">
        <v>792</v>
      </c>
      <c r="M8" s="7" t="s">
        <v>792</v>
      </c>
      <c r="Q8" s="7" t="s">
        <v>792</v>
      </c>
    </row>
    <row r="9" spans="1:19" x14ac:dyDescent="0.2">
      <c r="A9" t="s">
        <v>1025</v>
      </c>
      <c r="B9" s="7" t="s">
        <v>792</v>
      </c>
      <c r="F9" s="7" t="s">
        <v>804</v>
      </c>
      <c r="I9" s="7" t="s">
        <v>792</v>
      </c>
      <c r="M9" s="7" t="s">
        <v>792</v>
      </c>
      <c r="Q9" s="7" t="s">
        <v>792</v>
      </c>
    </row>
    <row r="10" spans="1:19" x14ac:dyDescent="0.2">
      <c r="A10" t="s">
        <v>1026</v>
      </c>
      <c r="B10" s="7" t="s">
        <v>792</v>
      </c>
      <c r="F10" s="7" t="s">
        <v>804</v>
      </c>
      <c r="I10" s="7" t="s">
        <v>792</v>
      </c>
      <c r="M10" s="7" t="s">
        <v>792</v>
      </c>
      <c r="Q10" s="7" t="s">
        <v>792</v>
      </c>
    </row>
    <row r="11" spans="1:19" x14ac:dyDescent="0.2">
      <c r="A11" t="s">
        <v>1027</v>
      </c>
      <c r="B11" s="7" t="s">
        <v>792</v>
      </c>
      <c r="F11" s="7" t="s">
        <v>804</v>
      </c>
      <c r="I11" s="7" t="s">
        <v>792</v>
      </c>
      <c r="M11" s="7" t="s">
        <v>792</v>
      </c>
      <c r="Q11" s="7" t="s">
        <v>792</v>
      </c>
    </row>
    <row r="12" spans="1:19" x14ac:dyDescent="0.2">
      <c r="A12" t="s">
        <v>1028</v>
      </c>
      <c r="B12" s="7" t="s">
        <v>791</v>
      </c>
      <c r="C12">
        <v>38595</v>
      </c>
      <c r="D12" s="1">
        <v>2.5712999999999997E-7</v>
      </c>
      <c r="E12" s="1"/>
      <c r="F12" s="7" t="s">
        <v>804</v>
      </c>
      <c r="G12">
        <v>75</v>
      </c>
      <c r="H12" s="1">
        <v>2.5965599999999998E-7</v>
      </c>
      <c r="I12" s="7" t="s">
        <v>833</v>
      </c>
      <c r="J12">
        <v>38595</v>
      </c>
      <c r="K12" s="1">
        <v>1.9808299999999999E-7</v>
      </c>
      <c r="L12" s="1"/>
      <c r="M12" s="7" t="s">
        <v>833</v>
      </c>
      <c r="N12">
        <v>38595</v>
      </c>
      <c r="O12" s="1">
        <v>2.57129E-7</v>
      </c>
      <c r="P12" s="1"/>
      <c r="Q12" s="7" t="s">
        <v>833</v>
      </c>
      <c r="R12">
        <v>38595</v>
      </c>
      <c r="S12" s="1">
        <v>2.57129E-7</v>
      </c>
    </row>
    <row r="13" spans="1:19" x14ac:dyDescent="0.2">
      <c r="A13" t="s">
        <v>1029</v>
      </c>
      <c r="B13" s="7" t="s">
        <v>791</v>
      </c>
      <c r="C13">
        <v>590652</v>
      </c>
      <c r="D13" s="1">
        <v>2.5761500000000002E-7</v>
      </c>
      <c r="E13" s="1"/>
      <c r="F13" s="7" t="s">
        <v>804</v>
      </c>
      <c r="G13">
        <v>75</v>
      </c>
      <c r="H13" s="1">
        <v>2.6110999999999999E-7</v>
      </c>
      <c r="I13" s="7" t="s">
        <v>833</v>
      </c>
      <c r="J13">
        <v>590652</v>
      </c>
      <c r="K13" s="1">
        <v>1.9826200000000001E-7</v>
      </c>
      <c r="L13" s="1"/>
      <c r="M13" s="7" t="s">
        <v>833</v>
      </c>
      <c r="N13">
        <v>590652</v>
      </c>
      <c r="O13" s="1">
        <v>2.5761399999999999E-7</v>
      </c>
      <c r="P13" s="1"/>
      <c r="Q13" s="7" t="s">
        <v>833</v>
      </c>
      <c r="R13">
        <v>590652</v>
      </c>
      <c r="S13" s="1">
        <v>2.5761399999999999E-7</v>
      </c>
    </row>
    <row r="14" spans="1:19" x14ac:dyDescent="0.2">
      <c r="A14" t="s">
        <v>1030</v>
      </c>
      <c r="B14" s="7" t="s">
        <v>791</v>
      </c>
      <c r="C14">
        <v>5124571</v>
      </c>
      <c r="D14" s="1">
        <v>2.6479799999999999E-7</v>
      </c>
      <c r="E14" s="1"/>
      <c r="F14" s="7" t="s">
        <v>804</v>
      </c>
      <c r="G14">
        <v>76</v>
      </c>
      <c r="H14" s="1">
        <v>3.0952500000000001E-7</v>
      </c>
      <c r="I14" s="7" t="s">
        <v>833</v>
      </c>
      <c r="J14">
        <v>5124571</v>
      </c>
      <c r="K14" s="1">
        <v>2.0233099999999999E-7</v>
      </c>
      <c r="L14" s="1"/>
      <c r="M14" s="7" t="s">
        <v>833</v>
      </c>
      <c r="N14">
        <v>5124571</v>
      </c>
      <c r="O14" s="1">
        <v>2.6479700000000001E-7</v>
      </c>
      <c r="P14" s="1"/>
      <c r="Q14" s="7" t="s">
        <v>833</v>
      </c>
      <c r="R14">
        <v>5124571</v>
      </c>
      <c r="S14" s="1">
        <v>2.6479700000000001E-7</v>
      </c>
    </row>
    <row r="15" spans="1:19" x14ac:dyDescent="0.2">
      <c r="A15" t="s">
        <v>1031</v>
      </c>
      <c r="B15" s="7" t="s">
        <v>792</v>
      </c>
      <c r="F15" s="7" t="s">
        <v>804</v>
      </c>
      <c r="G15">
        <v>76</v>
      </c>
      <c r="H15" s="1">
        <v>3.0952500000000001E-7</v>
      </c>
      <c r="I15" s="7" t="s">
        <v>792</v>
      </c>
      <c r="J15">
        <v>630422619</v>
      </c>
      <c r="K15" s="1">
        <v>2.0233099999999999E-7</v>
      </c>
      <c r="L15" s="1"/>
      <c r="M15" s="7" t="s">
        <v>792</v>
      </c>
      <c r="N15">
        <v>630422619</v>
      </c>
      <c r="O15" s="1">
        <v>2.6479700000000001E-7</v>
      </c>
      <c r="P15" s="1"/>
      <c r="Q15" s="7" t="s">
        <v>792</v>
      </c>
    </row>
    <row r="16" spans="1:19" x14ac:dyDescent="0.2">
      <c r="A16" t="s">
        <v>1032</v>
      </c>
      <c r="B16" s="7" t="s">
        <v>792</v>
      </c>
      <c r="F16" s="7" t="s">
        <v>804</v>
      </c>
      <c r="G16">
        <v>77</v>
      </c>
      <c r="H16" s="1">
        <v>3.1609000000000002E-7</v>
      </c>
      <c r="I16" s="7" t="s">
        <v>792</v>
      </c>
      <c r="M16" s="7" t="s">
        <v>792</v>
      </c>
      <c r="Q16" s="7" t="s">
        <v>792</v>
      </c>
    </row>
    <row r="17" spans="1:19" x14ac:dyDescent="0.2">
      <c r="A17" t="s">
        <v>1033</v>
      </c>
      <c r="B17" s="7" t="s">
        <v>792</v>
      </c>
      <c r="F17" s="7" t="s">
        <v>804</v>
      </c>
      <c r="G17">
        <v>23</v>
      </c>
      <c r="H17" s="1">
        <v>3.67334E-7</v>
      </c>
      <c r="I17" s="7" t="s">
        <v>792</v>
      </c>
      <c r="M17" s="7" t="s">
        <v>792</v>
      </c>
      <c r="Q17" s="7" t="s">
        <v>792</v>
      </c>
    </row>
    <row r="18" spans="1:19" x14ac:dyDescent="0.2">
      <c r="A18" t="s">
        <v>1034</v>
      </c>
      <c r="B18" s="7" t="s">
        <v>792</v>
      </c>
      <c r="F18" s="7" t="s">
        <v>804</v>
      </c>
      <c r="G18">
        <v>23</v>
      </c>
      <c r="H18" s="1">
        <v>6.3703899999999994E-8</v>
      </c>
      <c r="I18" s="7" t="s">
        <v>792</v>
      </c>
      <c r="M18" s="7" t="s">
        <v>792</v>
      </c>
      <c r="Q18" s="7" t="s">
        <v>792</v>
      </c>
    </row>
    <row r="19" spans="1:19" x14ac:dyDescent="0.2">
      <c r="A19" t="s">
        <v>1035</v>
      </c>
      <c r="B19" s="7" t="s">
        <v>792</v>
      </c>
      <c r="F19" s="7" t="s">
        <v>804</v>
      </c>
      <c r="G19">
        <v>23</v>
      </c>
      <c r="H19" s="1">
        <v>5.82573E-8</v>
      </c>
      <c r="I19" s="7" t="s">
        <v>792</v>
      </c>
      <c r="M19" s="7" t="s">
        <v>792</v>
      </c>
      <c r="Q19" s="7" t="s">
        <v>792</v>
      </c>
    </row>
    <row r="20" spans="1:19" x14ac:dyDescent="0.2">
      <c r="A20" t="s">
        <v>1036</v>
      </c>
      <c r="B20" s="7" t="s">
        <v>792</v>
      </c>
      <c r="F20" s="7" t="s">
        <v>804</v>
      </c>
      <c r="G20">
        <v>24</v>
      </c>
      <c r="H20" s="1">
        <v>5.9550199999999998E-8</v>
      </c>
      <c r="I20" s="7" t="s">
        <v>792</v>
      </c>
      <c r="M20" s="7" t="s">
        <v>792</v>
      </c>
      <c r="Q20" s="7" t="s">
        <v>792</v>
      </c>
    </row>
    <row r="21" spans="1:19" x14ac:dyDescent="0.2">
      <c r="A21" t="s">
        <v>1037</v>
      </c>
      <c r="B21" s="7" t="s">
        <v>792</v>
      </c>
      <c r="F21" s="7" t="s">
        <v>804</v>
      </c>
      <c r="I21" s="7" t="s">
        <v>792</v>
      </c>
      <c r="J21">
        <v>54057207</v>
      </c>
      <c r="K21">
        <v>3.2000000000000003E-4</v>
      </c>
      <c r="M21" s="7" t="s">
        <v>792</v>
      </c>
      <c r="N21">
        <v>54057207</v>
      </c>
      <c r="O21">
        <v>3.3607199999999998E-4</v>
      </c>
      <c r="Q21" s="7" t="s">
        <v>792</v>
      </c>
      <c r="R21">
        <v>54057207</v>
      </c>
      <c r="S21">
        <v>3.3607199999999998E-4</v>
      </c>
    </row>
    <row r="22" spans="1:19" x14ac:dyDescent="0.2">
      <c r="A22" t="s">
        <v>1038</v>
      </c>
      <c r="B22" s="7" t="s">
        <v>792</v>
      </c>
      <c r="F22" s="7" t="s">
        <v>804</v>
      </c>
      <c r="I22" s="7" t="s">
        <v>792</v>
      </c>
      <c r="M22" s="7" t="s">
        <v>792</v>
      </c>
      <c r="Q22" s="7" t="s">
        <v>792</v>
      </c>
      <c r="R22">
        <v>630422619</v>
      </c>
      <c r="S22" s="1">
        <v>2.6479700000000001E-7</v>
      </c>
    </row>
    <row r="23" spans="1:19" x14ac:dyDescent="0.2">
      <c r="A23" t="s">
        <v>1039</v>
      </c>
      <c r="B23" s="7" t="s">
        <v>792</v>
      </c>
      <c r="F23" s="7" t="s">
        <v>804</v>
      </c>
      <c r="I23" s="7" t="s">
        <v>792</v>
      </c>
      <c r="M23" s="7" t="s">
        <v>792</v>
      </c>
      <c r="Q23" s="7" t="s">
        <v>792</v>
      </c>
    </row>
    <row r="24" spans="1:19" x14ac:dyDescent="0.2">
      <c r="A24" t="s">
        <v>1040</v>
      </c>
      <c r="B24" s="7" t="s">
        <v>792</v>
      </c>
      <c r="F24" s="7" t="s">
        <v>804</v>
      </c>
      <c r="I24" s="7" t="s">
        <v>793</v>
      </c>
      <c r="M24" s="7" t="s">
        <v>792</v>
      </c>
      <c r="Q24" s="7" t="s">
        <v>792</v>
      </c>
    </row>
    <row r="25" spans="1:19" x14ac:dyDescent="0.2">
      <c r="A25" t="s">
        <v>1041</v>
      </c>
      <c r="B25" s="7" t="s">
        <v>792</v>
      </c>
      <c r="F25" s="7" t="s">
        <v>804</v>
      </c>
      <c r="I25" s="7" t="s">
        <v>793</v>
      </c>
      <c r="M25" s="7" t="s">
        <v>792</v>
      </c>
      <c r="Q25" s="7" t="s">
        <v>792</v>
      </c>
    </row>
    <row r="26" spans="1:19" x14ac:dyDescent="0.2">
      <c r="A26" t="s">
        <v>1042</v>
      </c>
      <c r="B26" s="7" t="s">
        <v>792</v>
      </c>
      <c r="F26" s="7" t="s">
        <v>804</v>
      </c>
      <c r="I26" s="7" t="s">
        <v>793</v>
      </c>
      <c r="M26" s="7" t="s">
        <v>792</v>
      </c>
      <c r="Q26" s="7" t="s">
        <v>792</v>
      </c>
    </row>
    <row r="27" spans="1:19" x14ac:dyDescent="0.2">
      <c r="A27" t="s">
        <v>1043</v>
      </c>
      <c r="B27" s="7" t="s">
        <v>792</v>
      </c>
      <c r="F27" s="7" t="s">
        <v>804</v>
      </c>
      <c r="I27" s="7" t="s">
        <v>793</v>
      </c>
      <c r="M27" s="7" t="s">
        <v>793</v>
      </c>
      <c r="Q27" s="7" t="s">
        <v>793</v>
      </c>
    </row>
    <row r="28" spans="1:19" x14ac:dyDescent="0.2">
      <c r="A28" t="s">
        <v>1044</v>
      </c>
      <c r="B28" s="7" t="s">
        <v>792</v>
      </c>
      <c r="F28" s="7" t="s">
        <v>804</v>
      </c>
      <c r="I28" s="7" t="s">
        <v>793</v>
      </c>
      <c r="M28" s="7" t="s">
        <v>793</v>
      </c>
      <c r="Q28" s="7" t="s">
        <v>793</v>
      </c>
    </row>
    <row r="29" spans="1:19" x14ac:dyDescent="0.2">
      <c r="A29" t="s">
        <v>1045</v>
      </c>
      <c r="B29" s="7" t="s">
        <v>792</v>
      </c>
      <c r="F29" s="7" t="s">
        <v>804</v>
      </c>
      <c r="G29">
        <v>36</v>
      </c>
      <c r="H29" s="1">
        <v>3.3606899999999998E-4</v>
      </c>
      <c r="I29" s="7" t="s">
        <v>793</v>
      </c>
      <c r="M29" s="7" t="s">
        <v>793</v>
      </c>
      <c r="Q29" s="7" t="s">
        <v>793</v>
      </c>
    </row>
    <row r="30" spans="1:19" x14ac:dyDescent="0.2">
      <c r="B30"/>
      <c r="F30"/>
      <c r="I30"/>
      <c r="M30"/>
      <c r="Q30"/>
    </row>
    <row r="31" spans="1:19" x14ac:dyDescent="0.2">
      <c r="B31"/>
      <c r="F31"/>
      <c r="I31"/>
      <c r="M31"/>
      <c r="Q31"/>
    </row>
    <row r="32" spans="1:19" x14ac:dyDescent="0.2">
      <c r="B32"/>
      <c r="F32"/>
      <c r="I32"/>
      <c r="M32"/>
      <c r="Q32"/>
    </row>
    <row r="33" spans="1:17" x14ac:dyDescent="0.2">
      <c r="B33"/>
      <c r="F33"/>
      <c r="I33"/>
      <c r="M33"/>
      <c r="Q33"/>
    </row>
    <row r="34" spans="1:17" x14ac:dyDescent="0.2">
      <c r="B34"/>
      <c r="F34"/>
      <c r="I34"/>
      <c r="M34"/>
      <c r="Q34"/>
    </row>
    <row r="35" spans="1:17" x14ac:dyDescent="0.2">
      <c r="B35"/>
      <c r="F35"/>
      <c r="I35"/>
      <c r="M35"/>
      <c r="Q35"/>
    </row>
    <row r="36" spans="1:17" x14ac:dyDescent="0.2">
      <c r="B36" s="22" t="s">
        <v>1121</v>
      </c>
      <c r="C36" s="22"/>
      <c r="D36" s="22"/>
      <c r="E36" s="22" t="s">
        <v>1123</v>
      </c>
      <c r="F36" s="22"/>
      <c r="G36" s="22" t="s">
        <v>1140</v>
      </c>
      <c r="H36" s="22"/>
      <c r="I36" s="22" t="s">
        <v>1141</v>
      </c>
      <c r="J36" s="22"/>
      <c r="M36"/>
      <c r="Q36"/>
    </row>
    <row r="37" spans="1:17" x14ac:dyDescent="0.2">
      <c r="A37" t="s">
        <v>784</v>
      </c>
      <c r="B37" t="s">
        <v>789</v>
      </c>
      <c r="C37" t="s">
        <v>1134</v>
      </c>
      <c r="D37" t="s">
        <v>1135</v>
      </c>
      <c r="E37" t="s">
        <v>824</v>
      </c>
      <c r="F37" t="s">
        <v>1134</v>
      </c>
      <c r="G37" t="s">
        <v>824</v>
      </c>
      <c r="H37" t="s">
        <v>1134</v>
      </c>
      <c r="I37" t="s">
        <v>824</v>
      </c>
      <c r="J37" t="s">
        <v>1134</v>
      </c>
      <c r="K37" t="s">
        <v>1137</v>
      </c>
      <c r="M37"/>
      <c r="Q37"/>
    </row>
    <row r="38" spans="1:17" ht="16" x14ac:dyDescent="0.2">
      <c r="A38" t="s">
        <v>1019</v>
      </c>
      <c r="B38">
        <v>149</v>
      </c>
      <c r="C38" s="1">
        <v>1.6006200000000001E-6</v>
      </c>
      <c r="D38">
        <f>((C38-F38)/F38)*100</f>
        <v>34.113684351643947</v>
      </c>
      <c r="E38" s="11">
        <v>149</v>
      </c>
      <c r="F38" s="12">
        <v>1.19348E-6</v>
      </c>
      <c r="G38">
        <v>149</v>
      </c>
      <c r="H38" s="1">
        <v>1.6006200000000001E-6</v>
      </c>
      <c r="I38">
        <v>149</v>
      </c>
      <c r="J38" s="1">
        <v>1.6006200000000001E-6</v>
      </c>
      <c r="K38">
        <f t="shared" ref="K38:K45" si="0">((J38-F38)/F38)*100</f>
        <v>34.113684351643947</v>
      </c>
      <c r="M38"/>
      <c r="Q38"/>
    </row>
    <row r="39" spans="1:17" x14ac:dyDescent="0.2">
      <c r="A39" t="s">
        <v>1020</v>
      </c>
      <c r="B39">
        <v>135316</v>
      </c>
      <c r="C39" s="1">
        <v>1.64337E-6</v>
      </c>
      <c r="D39">
        <f>((C39-F39)/F39)*100</f>
        <v>35.098896762631327</v>
      </c>
      <c r="E39">
        <v>135316</v>
      </c>
      <c r="F39" s="1">
        <v>1.21642E-6</v>
      </c>
      <c r="G39">
        <v>135316</v>
      </c>
      <c r="H39" s="1">
        <v>1.64337E-6</v>
      </c>
      <c r="I39">
        <v>135316</v>
      </c>
      <c r="J39" s="1">
        <v>1.64337E-6</v>
      </c>
      <c r="K39">
        <f t="shared" si="0"/>
        <v>35.098896762631327</v>
      </c>
      <c r="M39"/>
      <c r="Q39"/>
    </row>
    <row r="40" spans="1:17" x14ac:dyDescent="0.2">
      <c r="A40" t="s">
        <v>1021</v>
      </c>
      <c r="B40">
        <v>2166912</v>
      </c>
      <c r="C40" s="1">
        <v>3.3343399999999998E-6</v>
      </c>
      <c r="D40">
        <f>((C40-F40)/F40)*100</f>
        <v>39.093108626731173</v>
      </c>
      <c r="E40">
        <v>2166912</v>
      </c>
      <c r="F40" s="1">
        <v>2.3972000000000001E-6</v>
      </c>
      <c r="G40">
        <v>2166912</v>
      </c>
      <c r="H40" s="1">
        <v>3.3368700000000002E-6</v>
      </c>
      <c r="I40">
        <v>2166912</v>
      </c>
      <c r="J40" s="1">
        <v>3.3368700000000002E-6</v>
      </c>
      <c r="K40">
        <f t="shared" si="0"/>
        <v>39.198648423160357</v>
      </c>
      <c r="M40"/>
      <c r="Q40"/>
    </row>
    <row r="41" spans="1:17" x14ac:dyDescent="0.2">
      <c r="A41" t="s">
        <v>1022</v>
      </c>
      <c r="B41"/>
      <c r="E41">
        <v>138755072</v>
      </c>
      <c r="F41" s="1">
        <v>1.39831E-5</v>
      </c>
      <c r="G41">
        <v>138755072</v>
      </c>
      <c r="H41" s="1">
        <v>1.95728E-5</v>
      </c>
      <c r="I41">
        <v>138755072</v>
      </c>
      <c r="J41" s="1">
        <v>1.95728E-5</v>
      </c>
      <c r="K41">
        <f t="shared" si="0"/>
        <v>39.974683725354176</v>
      </c>
      <c r="M41"/>
      <c r="Q41"/>
    </row>
    <row r="42" spans="1:17" x14ac:dyDescent="0.2">
      <c r="A42" t="s">
        <v>1023</v>
      </c>
      <c r="B42"/>
      <c r="E42">
        <v>139014144</v>
      </c>
      <c r="F42" s="1">
        <v>1.4633200000000001E-5</v>
      </c>
      <c r="G42">
        <v>139014144</v>
      </c>
      <c r="H42" s="1">
        <v>2.10455E-5</v>
      </c>
      <c r="I42">
        <v>139014144</v>
      </c>
      <c r="J42" s="1">
        <v>2.10455E-5</v>
      </c>
      <c r="K42">
        <f t="shared" si="0"/>
        <v>43.820217040701962</v>
      </c>
      <c r="M42"/>
      <c r="Q42"/>
    </row>
    <row r="43" spans="1:17" x14ac:dyDescent="0.2">
      <c r="A43" t="s">
        <v>1028</v>
      </c>
      <c r="B43">
        <v>38595</v>
      </c>
      <c r="C43" s="1">
        <v>2.5712999999999997E-7</v>
      </c>
      <c r="D43">
        <f>((C43-F43)/F43)*100</f>
        <v>29.809221386994334</v>
      </c>
      <c r="E43">
        <v>38595</v>
      </c>
      <c r="F43" s="1">
        <v>1.9808299999999999E-7</v>
      </c>
      <c r="G43">
        <v>38595</v>
      </c>
      <c r="H43" s="1">
        <v>2.57129E-7</v>
      </c>
      <c r="I43">
        <v>38595</v>
      </c>
      <c r="J43" s="1">
        <v>2.57129E-7</v>
      </c>
      <c r="K43">
        <f t="shared" si="0"/>
        <v>29.808716548113679</v>
      </c>
      <c r="M43"/>
      <c r="Q43"/>
    </row>
    <row r="44" spans="1:17" x14ac:dyDescent="0.2">
      <c r="A44" t="s">
        <v>1029</v>
      </c>
      <c r="B44">
        <v>590652</v>
      </c>
      <c r="C44" s="1">
        <v>2.5761500000000002E-7</v>
      </c>
      <c r="D44">
        <f>((C44-F44)/F44)*100</f>
        <v>29.936649484016108</v>
      </c>
      <c r="E44">
        <v>590652</v>
      </c>
      <c r="F44" s="1">
        <v>1.9826200000000001E-7</v>
      </c>
      <c r="G44">
        <v>590652</v>
      </c>
      <c r="H44" s="1">
        <v>2.5761399999999999E-7</v>
      </c>
      <c r="I44">
        <v>590652</v>
      </c>
      <c r="J44" s="1">
        <v>2.5761399999999999E-7</v>
      </c>
      <c r="K44">
        <f t="shared" si="0"/>
        <v>29.936145100927046</v>
      </c>
      <c r="M44"/>
      <c r="Q44"/>
    </row>
    <row r="45" spans="1:17" x14ac:dyDescent="0.2">
      <c r="A45" t="s">
        <v>1030</v>
      </c>
      <c r="B45">
        <v>5124571</v>
      </c>
      <c r="C45" s="1">
        <v>2.6479799999999999E-7</v>
      </c>
      <c r="D45">
        <f>((C45-F45)/F45)*100</f>
        <v>30.873667406378658</v>
      </c>
      <c r="E45">
        <v>5124571</v>
      </c>
      <c r="F45" s="1">
        <v>2.0233099999999999E-7</v>
      </c>
      <c r="G45">
        <v>5124571</v>
      </c>
      <c r="H45" s="1">
        <v>2.6479700000000001E-7</v>
      </c>
      <c r="I45">
        <v>5124571</v>
      </c>
      <c r="J45" s="1">
        <v>2.6479700000000001E-7</v>
      </c>
      <c r="K45">
        <f t="shared" si="0"/>
        <v>30.87317316674164</v>
      </c>
      <c r="M45"/>
      <c r="Q45"/>
    </row>
    <row r="46" spans="1:17" x14ac:dyDescent="0.2">
      <c r="A46" t="s">
        <v>1031</v>
      </c>
      <c r="B46"/>
      <c r="D46" s="1"/>
      <c r="E46">
        <v>630422619</v>
      </c>
      <c r="F46" s="1">
        <v>2.0233099999999999E-7</v>
      </c>
      <c r="G46">
        <v>630422619</v>
      </c>
      <c r="H46" s="1">
        <v>2.6479700000000001E-7</v>
      </c>
      <c r="I46"/>
      <c r="M46"/>
      <c r="Q46"/>
    </row>
    <row r="47" spans="1:17" x14ac:dyDescent="0.2">
      <c r="A47" t="s">
        <v>1037</v>
      </c>
      <c r="B47"/>
      <c r="D47" s="1"/>
      <c r="E47">
        <v>54057207</v>
      </c>
      <c r="F47">
        <v>3.2000000000000003E-4</v>
      </c>
      <c r="G47">
        <v>54057207</v>
      </c>
      <c r="H47">
        <v>3.3607199999999998E-4</v>
      </c>
      <c r="I47">
        <v>54057207</v>
      </c>
      <c r="J47">
        <v>3.3607199999999998E-4</v>
      </c>
      <c r="K47">
        <f>((J47-F47)/F47)*100</f>
        <v>5.022499999999984</v>
      </c>
      <c r="M47"/>
      <c r="Q47"/>
    </row>
    <row r="48" spans="1:17" x14ac:dyDescent="0.2">
      <c r="A48" t="s">
        <v>1038</v>
      </c>
      <c r="B48"/>
      <c r="D48" s="1"/>
      <c r="F48"/>
      <c r="I48">
        <v>630422619</v>
      </c>
      <c r="J48" s="1">
        <v>2.6479700000000001E-7</v>
      </c>
      <c r="M48"/>
      <c r="Q48"/>
    </row>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sheetData>
  <mergeCells count="9">
    <mergeCell ref="M1:O1"/>
    <mergeCell ref="Q1:S1"/>
    <mergeCell ref="B36:D36"/>
    <mergeCell ref="E36:F36"/>
    <mergeCell ref="G36:H36"/>
    <mergeCell ref="I36:J36"/>
    <mergeCell ref="B1:D1"/>
    <mergeCell ref="F1:H1"/>
    <mergeCell ref="I1:K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F75C4-0DDA-4A54-9C8A-2AE3BBB710B7}">
  <dimension ref="A1:Q15"/>
  <sheetViews>
    <sheetView zoomScale="73" zoomScaleNormal="41" workbookViewId="0">
      <selection activeCell="G30" sqref="G30"/>
    </sheetView>
  </sheetViews>
  <sheetFormatPr baseColWidth="10" defaultColWidth="8.83203125" defaultRowHeight="15" x14ac:dyDescent="0.2"/>
  <cols>
    <col min="7" max="7" width="11.6640625" bestFit="1" customWidth="1"/>
    <col min="8" max="8" width="9.83203125" bestFit="1" customWidth="1"/>
    <col min="11" max="11" width="13.1640625" bestFit="1" customWidth="1"/>
    <col min="12" max="12" width="16.33203125" bestFit="1" customWidth="1"/>
    <col min="13" max="13" width="13.1640625" customWidth="1"/>
    <col min="14" max="14" width="15" bestFit="1" customWidth="1"/>
    <col min="15" max="15" width="13.6640625" bestFit="1" customWidth="1"/>
  </cols>
  <sheetData>
    <row r="1" spans="1:17" x14ac:dyDescent="0.2">
      <c r="A1" t="s">
        <v>784</v>
      </c>
      <c r="B1" t="s">
        <v>1121</v>
      </c>
      <c r="C1" t="s">
        <v>1142</v>
      </c>
      <c r="D1" t="s">
        <v>1123</v>
      </c>
      <c r="E1" t="s">
        <v>1143</v>
      </c>
      <c r="F1" t="s">
        <v>1133</v>
      </c>
      <c r="G1" t="s">
        <v>1144</v>
      </c>
      <c r="H1" t="s">
        <v>1145</v>
      </c>
      <c r="J1" t="s">
        <v>784</v>
      </c>
      <c r="K1" t="s">
        <v>1121</v>
      </c>
      <c r="L1" t="s">
        <v>1142</v>
      </c>
      <c r="M1" t="s">
        <v>1123</v>
      </c>
      <c r="N1" t="s">
        <v>1143</v>
      </c>
      <c r="O1" t="s">
        <v>1133</v>
      </c>
      <c r="P1" t="s">
        <v>1144</v>
      </c>
      <c r="Q1" t="s">
        <v>1145</v>
      </c>
    </row>
    <row r="2" spans="1:17" x14ac:dyDescent="0.2">
      <c r="A2" t="s">
        <v>834</v>
      </c>
      <c r="B2">
        <v>1.6953402999999999E-2</v>
      </c>
      <c r="C2">
        <v>0.71710586899999995</v>
      </c>
      <c r="D2">
        <v>0.11244756</v>
      </c>
      <c r="E2">
        <v>0.118721988</v>
      </c>
      <c r="F2">
        <v>0.113772972</v>
      </c>
      <c r="G2">
        <v>0.35600429214537099</v>
      </c>
      <c r="H2">
        <v>0.35538480523973698</v>
      </c>
      <c r="J2" t="s">
        <v>834</v>
      </c>
      <c r="K2">
        <v>2.0152320000000001</v>
      </c>
      <c r="L2">
        <v>4.0960000000000001</v>
      </c>
      <c r="M2">
        <v>6.3324160000000003</v>
      </c>
      <c r="N2">
        <v>6.2177280000000001</v>
      </c>
      <c r="O2">
        <v>6.2709760000000001</v>
      </c>
      <c r="P2">
        <v>30.924800000000001</v>
      </c>
      <c r="Q2">
        <v>30.539776</v>
      </c>
    </row>
    <row r="3" spans="1:17" x14ac:dyDescent="0.2">
      <c r="A3" t="s">
        <v>835</v>
      </c>
      <c r="B3">
        <v>4.5382770000000003E-2</v>
      </c>
      <c r="C3">
        <v>0.77282153899999995</v>
      </c>
      <c r="D3">
        <v>0.21960044500000001</v>
      </c>
      <c r="E3">
        <v>0.226832702</v>
      </c>
      <c r="F3">
        <v>0.221840754</v>
      </c>
      <c r="G3">
        <v>0.36084339395165399</v>
      </c>
      <c r="H3">
        <v>0.36112267989665198</v>
      </c>
      <c r="J3" t="s">
        <v>835</v>
      </c>
      <c r="K3">
        <v>2.1503999999999999</v>
      </c>
      <c r="L3">
        <v>4.4851200000000002</v>
      </c>
      <c r="M3">
        <v>6.303744</v>
      </c>
      <c r="N3">
        <v>6.2136319999999996</v>
      </c>
      <c r="O3">
        <v>6.1521920000000003</v>
      </c>
      <c r="P3">
        <v>31.436800000000002</v>
      </c>
      <c r="Q3">
        <v>32.083967999999999</v>
      </c>
    </row>
    <row r="4" spans="1:17" x14ac:dyDescent="0.2">
      <c r="A4" t="s">
        <v>836</v>
      </c>
      <c r="B4">
        <v>1.2560768E-2</v>
      </c>
      <c r="C4">
        <v>0.69587020300000002</v>
      </c>
      <c r="D4">
        <v>9.7503664000000004E-2</v>
      </c>
      <c r="E4">
        <v>0.102652994</v>
      </c>
      <c r="F4">
        <v>0.100072827</v>
      </c>
      <c r="G4">
        <v>0.340483750216662</v>
      </c>
      <c r="H4">
        <v>0.38132703490555198</v>
      </c>
      <c r="J4" t="s">
        <v>836</v>
      </c>
      <c r="K4">
        <v>2.011136</v>
      </c>
      <c r="L4">
        <v>4.0222720000000001</v>
      </c>
      <c r="M4">
        <v>6.2054400000000003</v>
      </c>
      <c r="N4">
        <v>6.1235200000000001</v>
      </c>
      <c r="O4">
        <v>6.0784640000000003</v>
      </c>
      <c r="P4">
        <v>31.100928</v>
      </c>
      <c r="Q4">
        <v>30.474240000000002</v>
      </c>
    </row>
    <row r="5" spans="1:17" x14ac:dyDescent="0.2">
      <c r="A5" t="s">
        <v>837</v>
      </c>
      <c r="B5">
        <v>1.3638323000000001E-2</v>
      </c>
      <c r="C5">
        <v>0.72679737099999997</v>
      </c>
      <c r="D5">
        <v>0.10509741</v>
      </c>
      <c r="E5">
        <v>0.110802336</v>
      </c>
      <c r="F5">
        <v>0.105313641</v>
      </c>
      <c r="G5">
        <v>0.350411488674581</v>
      </c>
      <c r="H5">
        <v>0.35771398339420502</v>
      </c>
      <c r="J5" t="s">
        <v>837</v>
      </c>
      <c r="K5">
        <v>2.0152320000000001</v>
      </c>
      <c r="L5">
        <v>4.1451520000000004</v>
      </c>
      <c r="M5">
        <v>6.283264</v>
      </c>
      <c r="N5">
        <v>6.2095359999999999</v>
      </c>
      <c r="O5">
        <v>6.1685759999999998</v>
      </c>
      <c r="P5">
        <v>31.571967999999998</v>
      </c>
      <c r="Q5">
        <v>30.769151999999998</v>
      </c>
    </row>
    <row r="6" spans="1:17" x14ac:dyDescent="0.2">
      <c r="A6" t="s">
        <v>838</v>
      </c>
      <c r="B6">
        <v>9.4328199999999997E-3</v>
      </c>
      <c r="C6">
        <v>0.69602752400000001</v>
      </c>
      <c r="D6">
        <v>9.4771300000000003E-2</v>
      </c>
      <c r="E6">
        <v>0.100050083</v>
      </c>
      <c r="F6">
        <v>9.5055674000000007E-2</v>
      </c>
      <c r="G6">
        <v>0.35218038875609597</v>
      </c>
      <c r="H6">
        <v>0.34629368409514399</v>
      </c>
      <c r="J6" t="s">
        <v>838</v>
      </c>
      <c r="K6">
        <v>2.2773759999999998</v>
      </c>
      <c r="L6">
        <v>4.0427520000000001</v>
      </c>
      <c r="M6">
        <v>6.0784640000000003</v>
      </c>
      <c r="N6">
        <v>6.0170240000000002</v>
      </c>
      <c r="O6">
        <v>5.9637760000000002</v>
      </c>
      <c r="P6">
        <v>30.928896000000002</v>
      </c>
      <c r="Q6">
        <v>30.949376000000001</v>
      </c>
    </row>
    <row r="7" spans="1:17" x14ac:dyDescent="0.2">
      <c r="A7" t="s">
        <v>839</v>
      </c>
      <c r="B7">
        <v>1.6098626000000001E-2</v>
      </c>
      <c r="C7">
        <v>0.72603528500000003</v>
      </c>
      <c r="D7">
        <v>0.110762124</v>
      </c>
      <c r="E7">
        <v>0.118666935</v>
      </c>
      <c r="F7">
        <v>0.110468444</v>
      </c>
      <c r="G7">
        <v>0.3466861480847</v>
      </c>
      <c r="H7">
        <v>0.35680489800870402</v>
      </c>
      <c r="J7" t="s">
        <v>839</v>
      </c>
      <c r="K7">
        <v>2.0152320000000001</v>
      </c>
      <c r="L7">
        <v>4.1041920000000003</v>
      </c>
      <c r="M7">
        <v>6.1890559999999999</v>
      </c>
      <c r="N7">
        <v>6.2095359999999999</v>
      </c>
      <c r="O7">
        <v>6.2136319999999996</v>
      </c>
      <c r="P7">
        <v>31.285247999999999</v>
      </c>
      <c r="Q7">
        <v>31.027200000000001</v>
      </c>
    </row>
    <row r="8" spans="1:17" x14ac:dyDescent="0.2">
      <c r="A8" t="s">
        <v>840</v>
      </c>
      <c r="B8">
        <v>1.3807616E-2</v>
      </c>
      <c r="C8">
        <v>0.79731789200000003</v>
      </c>
      <c r="D8">
        <v>0.103812877</v>
      </c>
      <c r="E8">
        <v>0.10818058799999999</v>
      </c>
      <c r="F8">
        <v>0.10284903500000001</v>
      </c>
      <c r="G8">
        <v>0.34957290627062299</v>
      </c>
      <c r="H8">
        <v>0.35848832037299799</v>
      </c>
      <c r="J8" t="s">
        <v>840</v>
      </c>
      <c r="K8">
        <v>2.2773759999999998</v>
      </c>
      <c r="L8">
        <v>6.1276159999999997</v>
      </c>
      <c r="M8">
        <v>6.230016</v>
      </c>
      <c r="N8">
        <v>6.0743679999999998</v>
      </c>
      <c r="O8">
        <v>6.1685759999999998</v>
      </c>
      <c r="P8">
        <v>32.448512000000001</v>
      </c>
      <c r="Q8">
        <v>30.887936</v>
      </c>
    </row>
    <row r="9" spans="1:17" x14ac:dyDescent="0.2">
      <c r="A9" t="s">
        <v>841</v>
      </c>
      <c r="B9">
        <v>6.6142083000000004E-2</v>
      </c>
      <c r="C9">
        <v>2.0490610810000001</v>
      </c>
      <c r="D9">
        <v>0.221237831</v>
      </c>
      <c r="E9">
        <v>0.22956998200000001</v>
      </c>
      <c r="F9">
        <v>0.223540244</v>
      </c>
      <c r="G9">
        <v>0.367333277128636</v>
      </c>
      <c r="H9">
        <v>0.40125190466642302</v>
      </c>
      <c r="J9" t="s">
        <v>841</v>
      </c>
      <c r="K9">
        <v>2.1872639999999999</v>
      </c>
      <c r="L9">
        <v>9.1422720000000002</v>
      </c>
      <c r="M9">
        <v>6.1849600000000002</v>
      </c>
      <c r="N9">
        <v>6.1235200000000001</v>
      </c>
      <c r="O9">
        <v>6.1890559999999999</v>
      </c>
      <c r="P9">
        <v>34.553856000000003</v>
      </c>
      <c r="Q9">
        <v>32.632832000000001</v>
      </c>
    </row>
    <row r="10" spans="1:17" x14ac:dyDescent="0.2">
      <c r="A10" t="s">
        <v>842</v>
      </c>
      <c r="B10">
        <v>8.8852788000000002E-2</v>
      </c>
      <c r="C10">
        <v>1.100666763</v>
      </c>
      <c r="D10">
        <v>0.23065189999999999</v>
      </c>
      <c r="E10">
        <v>0.238241487</v>
      </c>
      <c r="F10">
        <v>0.233140597</v>
      </c>
      <c r="G10">
        <v>0.35535245481878502</v>
      </c>
      <c r="H10">
        <v>0.40653518214821799</v>
      </c>
      <c r="J10" t="s">
        <v>842</v>
      </c>
      <c r="K10">
        <v>2.2405119999999998</v>
      </c>
      <c r="L10">
        <v>5.2142080000000002</v>
      </c>
      <c r="M10">
        <v>6.3406079999999996</v>
      </c>
      <c r="N10">
        <v>6.3406079999999996</v>
      </c>
      <c r="O10">
        <v>6.2423039999999999</v>
      </c>
      <c r="P10">
        <v>32.043008</v>
      </c>
      <c r="Q10">
        <v>32.808959999999999</v>
      </c>
    </row>
    <row r="11" spans="1:17" x14ac:dyDescent="0.2">
      <c r="A11" t="s">
        <v>843</v>
      </c>
      <c r="B11">
        <v>2.2081136000000001E-2</v>
      </c>
      <c r="C11">
        <v>43.019294616000003</v>
      </c>
      <c r="D11">
        <v>0.133368608</v>
      </c>
      <c r="E11">
        <v>0.13105389100000001</v>
      </c>
      <c r="F11">
        <v>0.13125976</v>
      </c>
      <c r="G11">
        <v>0.35219176765531301</v>
      </c>
      <c r="H11">
        <v>0.35600841231644098</v>
      </c>
      <c r="J11" t="s">
        <v>843</v>
      </c>
      <c r="K11">
        <v>2.4248319999999999</v>
      </c>
      <c r="L11">
        <v>10.944512</v>
      </c>
      <c r="M11">
        <v>6.557696</v>
      </c>
      <c r="N11">
        <v>6.5863680000000002</v>
      </c>
      <c r="O11">
        <v>6.4757759999999998</v>
      </c>
      <c r="P11">
        <v>32.575488</v>
      </c>
      <c r="Q11">
        <v>30.519296000000001</v>
      </c>
    </row>
    <row r="12" spans="1:17" x14ac:dyDescent="0.2">
      <c r="A12" t="s">
        <v>845</v>
      </c>
      <c r="B12">
        <v>0.74863363699999996</v>
      </c>
      <c r="C12">
        <v>1.090108571</v>
      </c>
      <c r="D12">
        <v>1.103876946</v>
      </c>
      <c r="E12">
        <v>1.1165375120000001</v>
      </c>
      <c r="F12">
        <v>1.110123379</v>
      </c>
      <c r="G12">
        <v>0.42094170581549401</v>
      </c>
      <c r="H12">
        <v>1.4852784844115301</v>
      </c>
      <c r="J12" t="s">
        <v>845</v>
      </c>
      <c r="K12">
        <v>10.530816</v>
      </c>
      <c r="L12">
        <v>7.528448</v>
      </c>
      <c r="M12">
        <v>6.8198400000000001</v>
      </c>
      <c r="N12">
        <v>6.7706879999999998</v>
      </c>
      <c r="O12">
        <v>6.7338240000000003</v>
      </c>
      <c r="P12">
        <v>41.422848000000002</v>
      </c>
      <c r="Q12">
        <v>82.153471999999994</v>
      </c>
    </row>
    <row r="13" spans="1:17" x14ac:dyDescent="0.2">
      <c r="A13" t="s">
        <v>846</v>
      </c>
      <c r="B13">
        <v>1.3838523E-2</v>
      </c>
      <c r="C13">
        <v>5.9707260900000003</v>
      </c>
      <c r="D13">
        <v>0.103748514</v>
      </c>
      <c r="E13">
        <v>0.107384961</v>
      </c>
      <c r="F13">
        <v>0.10867394900000001</v>
      </c>
      <c r="G13">
        <v>0.4473332837224</v>
      </c>
      <c r="H13">
        <v>0.35742154810577598</v>
      </c>
      <c r="J13" t="s">
        <v>846</v>
      </c>
      <c r="K13">
        <v>2.4043519999999998</v>
      </c>
      <c r="L13">
        <v>16.273408</v>
      </c>
      <c r="M13">
        <v>6.2545919999999997</v>
      </c>
      <c r="N13">
        <v>6.2668799999999996</v>
      </c>
      <c r="O13">
        <v>6.2054400000000003</v>
      </c>
      <c r="P13">
        <v>41.910271999999999</v>
      </c>
      <c r="Q13">
        <v>30.900224000000001</v>
      </c>
    </row>
    <row r="14" spans="1:17" x14ac:dyDescent="0.2">
      <c r="A14" t="s">
        <v>847</v>
      </c>
      <c r="B14">
        <v>5.4173114000000001E-2</v>
      </c>
      <c r="C14">
        <v>1.5522600259999999</v>
      </c>
      <c r="D14">
        <v>0.221674606</v>
      </c>
      <c r="E14">
        <v>0.22412981400000001</v>
      </c>
      <c r="F14">
        <v>0.22820383899999999</v>
      </c>
      <c r="G14">
        <v>1.1525586657225999</v>
      </c>
      <c r="H14">
        <v>0.399933689273893</v>
      </c>
      <c r="J14" t="s">
        <v>847</v>
      </c>
      <c r="K14">
        <v>2.53952</v>
      </c>
      <c r="L14">
        <v>9.1709440000000004</v>
      </c>
      <c r="M14">
        <v>6.4675840000000004</v>
      </c>
      <c r="N14">
        <v>6.4716800000000001</v>
      </c>
      <c r="O14">
        <v>6.4716800000000001</v>
      </c>
      <c r="P14">
        <v>71.548928000000004</v>
      </c>
      <c r="Q14">
        <v>31.674368000000001</v>
      </c>
    </row>
    <row r="15" spans="1:17" x14ac:dyDescent="0.2">
      <c r="A15" t="s">
        <v>848</v>
      </c>
      <c r="B15">
        <v>0.23247991500000001</v>
      </c>
      <c r="C15">
        <v>3.8128432609999998</v>
      </c>
      <c r="D15">
        <v>2.024685963</v>
      </c>
      <c r="E15">
        <v>0.38593401300000002</v>
      </c>
      <c r="F15">
        <v>0.39378183500000002</v>
      </c>
      <c r="G15">
        <v>2.0445491718128301</v>
      </c>
      <c r="H15">
        <v>0.60312035121023599</v>
      </c>
      <c r="J15" t="s">
        <v>848</v>
      </c>
      <c r="K15">
        <v>4.9397760000000002</v>
      </c>
      <c r="L15">
        <v>10.911744000000001</v>
      </c>
      <c r="M15">
        <v>108.04428799999999</v>
      </c>
      <c r="N15">
        <v>8.3066879999999994</v>
      </c>
      <c r="O15">
        <v>9.8672640000000005</v>
      </c>
      <c r="P15">
        <v>106.078208</v>
      </c>
      <c r="Q15">
        <v>39.194623999999997</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26529-3690-408D-8AE0-2A1D3C36061D}">
  <dimension ref="A1"/>
  <sheetViews>
    <sheetView workbookViewId="0"/>
  </sheetViews>
  <sheetFormatPr baseColWidth="10" defaultColWidth="8.83203125" defaultRowHeight="15" x14ac:dyDescent="0.2"/>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4C3DD-CEAC-45E9-8BE8-9645C3CF2358}">
  <dimension ref="A1:N7"/>
  <sheetViews>
    <sheetView zoomScale="78" zoomScaleNormal="38" workbookViewId="0">
      <selection activeCell="W15" sqref="W15"/>
    </sheetView>
  </sheetViews>
  <sheetFormatPr baseColWidth="10" defaultColWidth="8.83203125" defaultRowHeight="15" x14ac:dyDescent="0.2"/>
  <cols>
    <col min="4" max="4" width="13.5" bestFit="1" customWidth="1"/>
    <col min="10" max="11" width="8.83203125" customWidth="1"/>
    <col min="16" max="16" width="8.6640625" bestFit="1" customWidth="1"/>
  </cols>
  <sheetData>
    <row r="1" spans="1:14" x14ac:dyDescent="0.2">
      <c r="A1" t="s">
        <v>784</v>
      </c>
      <c r="B1" t="s">
        <v>1121</v>
      </c>
      <c r="C1" t="s">
        <v>1123</v>
      </c>
      <c r="D1" t="s">
        <v>1143</v>
      </c>
      <c r="E1" t="s">
        <v>1133</v>
      </c>
      <c r="F1" t="s">
        <v>831</v>
      </c>
      <c r="J1" t="s">
        <v>784</v>
      </c>
      <c r="K1" t="s">
        <v>1121</v>
      </c>
      <c r="L1" t="s">
        <v>1123</v>
      </c>
      <c r="M1" t="s">
        <v>1143</v>
      </c>
      <c r="N1" t="s">
        <v>1133</v>
      </c>
    </row>
    <row r="2" spans="1:14" x14ac:dyDescent="0.2">
      <c r="A2" t="s">
        <v>1019</v>
      </c>
      <c r="B2">
        <v>3.6760888999999998E-2</v>
      </c>
      <c r="C2">
        <v>0.112576778</v>
      </c>
      <c r="D2">
        <v>0.11676247300000001</v>
      </c>
      <c r="E2">
        <v>0.102610805</v>
      </c>
      <c r="J2" t="s">
        <v>1019</v>
      </c>
      <c r="K2">
        <v>4.6284799999999997</v>
      </c>
      <c r="L2">
        <v>6.3283199999999997</v>
      </c>
      <c r="M2">
        <v>6.1972480000000001</v>
      </c>
      <c r="N2">
        <v>6.1931520000000004</v>
      </c>
    </row>
    <row r="3" spans="1:14" x14ac:dyDescent="0.2">
      <c r="A3" t="s">
        <v>1020</v>
      </c>
      <c r="B3">
        <v>2.8130930780000001</v>
      </c>
      <c r="C3">
        <v>2.84156977</v>
      </c>
      <c r="D3">
        <v>3.1006338119999999</v>
      </c>
      <c r="E3">
        <v>2.8968663480000001</v>
      </c>
      <c r="J3" t="s">
        <v>1020</v>
      </c>
      <c r="K3">
        <v>45.707264000000002</v>
      </c>
      <c r="L3">
        <v>6.6969599999999998</v>
      </c>
      <c r="M3">
        <v>6.5986560000000001</v>
      </c>
      <c r="N3">
        <v>6.5617919999999996</v>
      </c>
    </row>
    <row r="4" spans="1:14" x14ac:dyDescent="0.2">
      <c r="A4" t="s">
        <v>1021</v>
      </c>
      <c r="B4">
        <v>47.590023115999998</v>
      </c>
      <c r="C4">
        <v>48.333348209999997</v>
      </c>
      <c r="D4">
        <v>49.136650009</v>
      </c>
      <c r="E4">
        <v>48.459245586999998</v>
      </c>
      <c r="J4" t="s">
        <v>1021</v>
      </c>
      <c r="K4">
        <v>415.62521600000002</v>
      </c>
      <c r="L4">
        <v>6.9918719999999999</v>
      </c>
      <c r="M4">
        <v>6.8567039999999997</v>
      </c>
      <c r="N4">
        <v>6.9017600000000003</v>
      </c>
    </row>
    <row r="5" spans="1:14" x14ac:dyDescent="0.2">
      <c r="A5" t="s">
        <v>1028</v>
      </c>
      <c r="B5">
        <v>1.4992862360000001</v>
      </c>
      <c r="C5">
        <v>1.176530842</v>
      </c>
      <c r="D5">
        <v>1.1896825529999999</v>
      </c>
      <c r="E5">
        <v>1.153946672</v>
      </c>
      <c r="J5" t="s">
        <v>1028</v>
      </c>
      <c r="K5">
        <v>13.348864000000001</v>
      </c>
      <c r="L5">
        <v>7.2581119999999997</v>
      </c>
      <c r="M5">
        <v>6.7215360000000004</v>
      </c>
      <c r="N5">
        <v>6.7624959999999996</v>
      </c>
    </row>
    <row r="6" spans="1:14" x14ac:dyDescent="0.2">
      <c r="A6" t="s">
        <v>1029</v>
      </c>
      <c r="B6">
        <v>23.549590503000001</v>
      </c>
      <c r="C6">
        <v>16.807068467000001</v>
      </c>
      <c r="D6">
        <v>16.816384222</v>
      </c>
      <c r="E6">
        <v>17.221681088</v>
      </c>
      <c r="J6" t="s">
        <v>1029</v>
      </c>
      <c r="K6">
        <v>168.78796800000001</v>
      </c>
      <c r="L6">
        <v>13.021184</v>
      </c>
      <c r="M6">
        <v>7.5161600000000002</v>
      </c>
      <c r="N6">
        <v>7.6513280000000004</v>
      </c>
    </row>
    <row r="7" spans="1:14" x14ac:dyDescent="0.2">
      <c r="A7" t="s">
        <v>1030</v>
      </c>
      <c r="B7">
        <v>213.71024798400001</v>
      </c>
      <c r="C7">
        <v>152.107668872</v>
      </c>
      <c r="D7">
        <v>149.539492276</v>
      </c>
      <c r="E7">
        <v>149.64532529300001</v>
      </c>
      <c r="J7" t="s">
        <v>1030</v>
      </c>
      <c r="K7">
        <v>1129.6890880000001</v>
      </c>
      <c r="L7">
        <v>78.917631999999998</v>
      </c>
      <c r="M7">
        <v>8.3025920000000006</v>
      </c>
      <c r="N7">
        <v>8.6958079999999995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c6eb9b64-1931-47cb-8c18-beaa2b56ae02" xsi:nil="true"/>
    <lcf76f155ced4ddcb4097134ff3c332f xmlns="fdfd9ad7-10cb-46cf-ba90-e72a3540ec5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4D4CADFC0FEA6499D9F6981718ED478" ma:contentTypeVersion="19" ma:contentTypeDescription="Create a new document." ma:contentTypeScope="" ma:versionID="4bd36176e8aee7670d895ea5fa6a9f52">
  <xsd:schema xmlns:xsd="http://www.w3.org/2001/XMLSchema" xmlns:xs="http://www.w3.org/2001/XMLSchema" xmlns:p="http://schemas.microsoft.com/office/2006/metadata/properties" xmlns:ns1="http://schemas.microsoft.com/sharepoint/v3" xmlns:ns2="fdfd9ad7-10cb-46cf-ba90-e72a3540ec59" xmlns:ns3="c6eb9b64-1931-47cb-8c18-beaa2b56ae02" targetNamespace="http://schemas.microsoft.com/office/2006/metadata/properties" ma:root="true" ma:fieldsID="8fe37c538058e0946878a9a017ed8480" ns1:_="" ns2:_="" ns3:_="">
    <xsd:import namespace="http://schemas.microsoft.com/sharepoint/v3"/>
    <xsd:import namespace="fdfd9ad7-10cb-46cf-ba90-e72a3540ec59"/>
    <xsd:import namespace="c6eb9b64-1931-47cb-8c18-beaa2b56ae0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fd9ad7-10cb-46cf-ba90-e72a3540ec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d4b6758f-1101-41c6-bce0-972164c0a48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eb9b64-1931-47cb-8c18-beaa2b56ae02"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dd52bcf0-ec41-4f97-a977-e42bedda19eb}" ma:internalName="TaxCatchAll" ma:showField="CatchAllData" ma:web="c6eb9b64-1931-47cb-8c18-beaa2b56ae02">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721F33-5C22-46D4-AA17-14B33F4DC79C}">
  <ds:schemaRefs>
    <ds:schemaRef ds:uri="http://schemas.microsoft.com/sharepoint/v3/contenttype/forms"/>
  </ds:schemaRefs>
</ds:datastoreItem>
</file>

<file path=customXml/itemProps2.xml><?xml version="1.0" encoding="utf-8"?>
<ds:datastoreItem xmlns:ds="http://schemas.openxmlformats.org/officeDocument/2006/customXml" ds:itemID="{4FEBCBED-5FF9-4CCF-BA95-02697011E0DD}">
  <ds:schemaRefs>
    <ds:schemaRef ds:uri="http://schemas.microsoft.com/office/2006/documentManagement/types"/>
    <ds:schemaRef ds:uri="fdfd9ad7-10cb-46cf-ba90-e72a3540ec59"/>
    <ds:schemaRef ds:uri="http://purl.org/dc/terms/"/>
    <ds:schemaRef ds:uri="http://schemas.microsoft.com/sharepoint/v3"/>
    <ds:schemaRef ds:uri="http://schemas.microsoft.com/office/infopath/2007/PartnerControls"/>
    <ds:schemaRef ds:uri="http://schemas.microsoft.com/office/2006/metadata/properties"/>
    <ds:schemaRef ds:uri="http://schemas.openxmlformats.org/package/2006/metadata/core-properties"/>
    <ds:schemaRef ds:uri="http://www.w3.org/XML/1998/namespace"/>
    <ds:schemaRef ds:uri="c6eb9b64-1931-47cb-8c18-beaa2b56ae02"/>
    <ds:schemaRef ds:uri="http://purl.org/dc/dcmitype/"/>
    <ds:schemaRef ds:uri="http://purl.org/dc/elements/1.1/"/>
  </ds:schemaRefs>
</ds:datastoreItem>
</file>

<file path=customXml/itemProps3.xml><?xml version="1.0" encoding="utf-8"?>
<ds:datastoreItem xmlns:ds="http://schemas.openxmlformats.org/officeDocument/2006/customXml" ds:itemID="{E20E0D19-5FF1-49D2-821F-BFA6CDFBDA8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first_run</vt:lpstr>
      <vt:lpstr>XFTA</vt:lpstr>
      <vt:lpstr>XFTA-CCF</vt:lpstr>
      <vt:lpstr>SAPHIRE</vt:lpstr>
      <vt:lpstr>SAPHIRE-CCF</vt:lpstr>
      <vt:lpstr>SCRAM</vt:lpstr>
      <vt:lpstr>SCRAM-Prob-NON-CCF</vt:lpstr>
      <vt:lpstr>SCRAM-ccf</vt:lpstr>
      <vt:lpstr>SCRAM-Prob-CCF</vt:lpstr>
      <vt:lpstr>results XFTA</vt:lpstr>
      <vt:lpstr>results-xfta-ccf</vt:lpstr>
      <vt:lpstr>Results SAPHIRE</vt:lpstr>
      <vt:lpstr>results-saphire-ccf</vt:lpstr>
      <vt:lpstr>Results SCRAM-non-ccf</vt:lpstr>
      <vt:lpstr>Results-SCRAM-CCF</vt:lpstr>
      <vt:lpstr>result-all-time-memory-non-ccf</vt:lpstr>
      <vt:lpstr>results-all-time-memory-ccf</vt:lpstr>
      <vt:lpstr>Results--mcs-prob-non-ccf</vt:lpstr>
      <vt:lpstr>Results-mcs-prob-ccf</vt:lpstr>
      <vt:lpstr>Sheet2</vt:lpstr>
      <vt:lpstr>Sheet4</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asmaa salem</dc:creator>
  <cp:keywords/>
  <dc:description/>
  <cp:lastModifiedBy>Arjun Earthperson</cp:lastModifiedBy>
  <cp:revision/>
  <dcterms:created xsi:type="dcterms:W3CDTF">2023-03-11T21:49:13Z</dcterms:created>
  <dcterms:modified xsi:type="dcterms:W3CDTF">2025-04-30T01:18:18Z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0x01010074D4CADFC0FEA6499D9F6981718ED478</vt:lpwstr>
  </property>
  <property fmtid="{D5CDD505-2E9C-101B-9397-08002B2CF9AE}" pid="3" name="MediaServiceImageTags">
    <vt:lpwstr/>
  </property>
</Properties>
</file>